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546104\Documents\Current BOM Tool\"/>
    </mc:Choice>
  </mc:AlternateContent>
  <xr:revisionPtr revIDLastSave="0" documentId="13_ncr:1_{508FCFAD-AD3B-41F6-A413-01677F259DD5}" xr6:coauthVersionLast="47" xr6:coauthVersionMax="47" xr10:uidLastSave="{00000000-0000-0000-0000-000000000000}"/>
  <bookViews>
    <workbookView xWindow="-120" yWindow="-120" windowWidth="29040" windowHeight="15720" xr2:uid="{9CC1089B-733F-44C3-B922-2776D5B52316}"/>
  </bookViews>
  <sheets>
    <sheet name="Home" sheetId="5" r:id="rId1"/>
    <sheet name="Passwords" sheetId="14" state="hidden" r:id="rId2"/>
    <sheet name="Order Face Printer" sheetId="9" state="hidden" r:id="rId3"/>
    <sheet name="BOM Comparison Tool" sheetId="1" state="hidden" r:id="rId4"/>
    <sheet name="BOM Builder" sheetId="15" state="hidden" r:id="rId5"/>
    <sheet name="BOM Checker" sheetId="11" state="hidden" r:id="rId6"/>
    <sheet name="BOM Printer" sheetId="4" state="hidden" r:id="rId7"/>
    <sheet name="Update Notes" sheetId="6" state="hidden" r:id="rId8"/>
  </sheets>
  <definedNames>
    <definedName name="_xlnm._FilterDatabase" localSheetId="6" hidden="1">'BOM Printer'!$A$9:$J$36</definedName>
    <definedName name="_xlnm.Print_Area" localSheetId="5">'BOM Checker'!$B$5:$G$8</definedName>
    <definedName name="_xlnm.Print_Area" localSheetId="6">'BOM Printer'!$B$5:$I$8</definedName>
    <definedName name="_xlnm.Print_Titles" localSheetId="5">'BOM Checker'!$5:$8</definedName>
    <definedName name="_xlnm.Print_Titles" localSheetId="6">'BOM Printer'!$5:$8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4" l="1"/>
  <c r="K36" i="1" l="1"/>
  <c r="K28" i="1" l="1"/>
  <c r="W112" i="11" l="1"/>
  <c r="W170" i="11" l="1"/>
  <c r="J10" i="11" l="1"/>
  <c r="Y5" i="11" s="1"/>
  <c r="J11" i="11"/>
  <c r="X6" i="11" s="1"/>
  <c r="W10" i="11"/>
  <c r="X197" i="11"/>
  <c r="W197" i="11"/>
  <c r="W134" i="11"/>
  <c r="X134" i="11"/>
  <c r="W135" i="11"/>
  <c r="X135" i="11"/>
  <c r="W136" i="11"/>
  <c r="X136" i="11"/>
  <c r="W137" i="11"/>
  <c r="X137" i="11"/>
  <c r="W138" i="11"/>
  <c r="X138" i="11"/>
  <c r="W139" i="11"/>
  <c r="X139" i="11"/>
  <c r="W140" i="11"/>
  <c r="X140" i="11"/>
  <c r="W141" i="11"/>
  <c r="X141" i="11"/>
  <c r="W142" i="11"/>
  <c r="X142" i="11"/>
  <c r="W143" i="11"/>
  <c r="X143" i="11"/>
  <c r="W144" i="11"/>
  <c r="X144" i="11"/>
  <c r="W145" i="11"/>
  <c r="X145" i="11"/>
  <c r="W146" i="11"/>
  <c r="X146" i="11"/>
  <c r="W147" i="11"/>
  <c r="X147" i="11"/>
  <c r="W148" i="11"/>
  <c r="X148" i="11"/>
  <c r="W149" i="11"/>
  <c r="X149" i="11"/>
  <c r="W150" i="11"/>
  <c r="X150" i="11"/>
  <c r="W151" i="11"/>
  <c r="X151" i="11"/>
  <c r="W152" i="11"/>
  <c r="X152" i="11"/>
  <c r="W153" i="11"/>
  <c r="X153" i="11"/>
  <c r="W154" i="11"/>
  <c r="X154" i="11"/>
  <c r="W155" i="11"/>
  <c r="X155" i="11"/>
  <c r="W156" i="11"/>
  <c r="X156" i="11"/>
  <c r="W157" i="11"/>
  <c r="X157" i="11"/>
  <c r="W158" i="11"/>
  <c r="X158" i="11"/>
  <c r="W159" i="11"/>
  <c r="X159" i="11"/>
  <c r="W160" i="11"/>
  <c r="X160" i="11"/>
  <c r="W161" i="11"/>
  <c r="X161" i="11"/>
  <c r="W162" i="11"/>
  <c r="X162" i="11"/>
  <c r="W163" i="11"/>
  <c r="X163" i="11"/>
  <c r="W164" i="11"/>
  <c r="X164" i="11"/>
  <c r="W165" i="11"/>
  <c r="X165" i="11"/>
  <c r="W166" i="11"/>
  <c r="X166" i="11"/>
  <c r="W167" i="11"/>
  <c r="X167" i="11"/>
  <c r="W168" i="11"/>
  <c r="X168" i="11"/>
  <c r="W169" i="11"/>
  <c r="X169" i="11"/>
  <c r="X170" i="11"/>
  <c r="W171" i="11"/>
  <c r="X171" i="11"/>
  <c r="W172" i="11"/>
  <c r="X172" i="11"/>
  <c r="W173" i="11"/>
  <c r="X173" i="11"/>
  <c r="W174" i="11"/>
  <c r="X174" i="11"/>
  <c r="W175" i="11"/>
  <c r="X175" i="11"/>
  <c r="W176" i="11"/>
  <c r="X176" i="11"/>
  <c r="W177" i="11"/>
  <c r="X177" i="11"/>
  <c r="W178" i="11"/>
  <c r="X178" i="11"/>
  <c r="W179" i="11"/>
  <c r="X179" i="11"/>
  <c r="W180" i="11"/>
  <c r="X180" i="11"/>
  <c r="W181" i="11"/>
  <c r="X181" i="11"/>
  <c r="W182" i="11"/>
  <c r="X182" i="11"/>
  <c r="W183" i="11"/>
  <c r="X183" i="11"/>
  <c r="W184" i="11"/>
  <c r="X184" i="11"/>
  <c r="W185" i="11"/>
  <c r="X185" i="11"/>
  <c r="W186" i="11"/>
  <c r="X186" i="11"/>
  <c r="W187" i="11"/>
  <c r="X187" i="11"/>
  <c r="W188" i="11"/>
  <c r="X188" i="11"/>
  <c r="W189" i="11"/>
  <c r="X189" i="11"/>
  <c r="W190" i="11"/>
  <c r="X190" i="11"/>
  <c r="W191" i="11"/>
  <c r="X191" i="11"/>
  <c r="W192" i="11"/>
  <c r="X192" i="11"/>
  <c r="W193" i="11"/>
  <c r="X193" i="11"/>
  <c r="W194" i="11"/>
  <c r="X194" i="11"/>
  <c r="W195" i="11"/>
  <c r="X195" i="11"/>
  <c r="W196" i="11"/>
  <c r="X196" i="11"/>
  <c r="W131" i="11"/>
  <c r="W111" i="11"/>
  <c r="X111" i="11"/>
  <c r="X112" i="11"/>
  <c r="W113" i="11"/>
  <c r="X113" i="11"/>
  <c r="W114" i="11"/>
  <c r="X114" i="11"/>
  <c r="W115" i="11"/>
  <c r="X115" i="11"/>
  <c r="W116" i="11"/>
  <c r="X116" i="11"/>
  <c r="W117" i="11"/>
  <c r="X117" i="11"/>
  <c r="W118" i="11"/>
  <c r="X118" i="11"/>
  <c r="W119" i="11"/>
  <c r="X119" i="11"/>
  <c r="W120" i="11"/>
  <c r="X120" i="11"/>
  <c r="W121" i="11"/>
  <c r="X121" i="11"/>
  <c r="W122" i="11"/>
  <c r="X122" i="11"/>
  <c r="W123" i="11"/>
  <c r="X123" i="11"/>
  <c r="W124" i="11"/>
  <c r="X124" i="11"/>
  <c r="W125" i="11"/>
  <c r="X125" i="11"/>
  <c r="W126" i="11"/>
  <c r="X126" i="11"/>
  <c r="W127" i="11"/>
  <c r="X127" i="11"/>
  <c r="W128" i="11"/>
  <c r="X128" i="11"/>
  <c r="W129" i="11"/>
  <c r="X129" i="11"/>
  <c r="W130" i="11"/>
  <c r="X130" i="11"/>
  <c r="X131" i="11"/>
  <c r="W132" i="11"/>
  <c r="X132" i="11"/>
  <c r="W133" i="11"/>
  <c r="X133" i="11"/>
  <c r="W107" i="11"/>
  <c r="X107" i="11"/>
  <c r="W108" i="11"/>
  <c r="X108" i="11"/>
  <c r="W109" i="11"/>
  <c r="X109" i="11"/>
  <c r="W110" i="11"/>
  <c r="X110" i="11"/>
  <c r="W57" i="11"/>
  <c r="X57" i="11"/>
  <c r="W58" i="11"/>
  <c r="X58" i="11"/>
  <c r="W59" i="11"/>
  <c r="X59" i="11"/>
  <c r="W60" i="11"/>
  <c r="X60" i="11"/>
  <c r="W61" i="11"/>
  <c r="X61" i="11"/>
  <c r="W62" i="11"/>
  <c r="X62" i="11"/>
  <c r="W63" i="11"/>
  <c r="X63" i="11"/>
  <c r="W64" i="11"/>
  <c r="X64" i="11"/>
  <c r="W65" i="11"/>
  <c r="X65" i="11"/>
  <c r="W66" i="11"/>
  <c r="X66" i="11"/>
  <c r="W67" i="11"/>
  <c r="X67" i="11"/>
  <c r="W68" i="11"/>
  <c r="X68" i="11"/>
  <c r="W69" i="11"/>
  <c r="X69" i="11"/>
  <c r="W70" i="11"/>
  <c r="X70" i="11"/>
  <c r="W71" i="11"/>
  <c r="X71" i="11"/>
  <c r="W72" i="11"/>
  <c r="X72" i="11"/>
  <c r="W73" i="11"/>
  <c r="X73" i="11"/>
  <c r="W74" i="11"/>
  <c r="X74" i="11"/>
  <c r="W75" i="11"/>
  <c r="X75" i="11"/>
  <c r="W76" i="11"/>
  <c r="X76" i="11"/>
  <c r="W77" i="11"/>
  <c r="X77" i="11"/>
  <c r="W78" i="11"/>
  <c r="X78" i="11"/>
  <c r="W79" i="11"/>
  <c r="X79" i="11"/>
  <c r="W80" i="11"/>
  <c r="X80" i="11"/>
  <c r="W81" i="11"/>
  <c r="X81" i="11"/>
  <c r="W82" i="11"/>
  <c r="X82" i="11"/>
  <c r="W83" i="11"/>
  <c r="X83" i="11"/>
  <c r="W84" i="11"/>
  <c r="X84" i="11"/>
  <c r="W85" i="11"/>
  <c r="X85" i="11"/>
  <c r="W86" i="11"/>
  <c r="X86" i="11"/>
  <c r="W87" i="11"/>
  <c r="X87" i="11"/>
  <c r="W88" i="11"/>
  <c r="X88" i="11"/>
  <c r="W89" i="11"/>
  <c r="X89" i="11"/>
  <c r="W90" i="11"/>
  <c r="X90" i="11"/>
  <c r="W91" i="11"/>
  <c r="X91" i="11"/>
  <c r="W92" i="11"/>
  <c r="X92" i="11"/>
  <c r="W93" i="11"/>
  <c r="X93" i="11"/>
  <c r="W94" i="11"/>
  <c r="X94" i="11"/>
  <c r="W95" i="11"/>
  <c r="X95" i="11"/>
  <c r="W96" i="11"/>
  <c r="X96" i="11"/>
  <c r="W97" i="11"/>
  <c r="X97" i="11"/>
  <c r="W98" i="11"/>
  <c r="X98" i="11"/>
  <c r="W99" i="11"/>
  <c r="X99" i="11"/>
  <c r="W100" i="11"/>
  <c r="X100" i="11"/>
  <c r="W101" i="11"/>
  <c r="X101" i="11"/>
  <c r="W102" i="11"/>
  <c r="X102" i="11"/>
  <c r="W103" i="11"/>
  <c r="X103" i="11"/>
  <c r="W104" i="11"/>
  <c r="X104" i="11"/>
  <c r="W105" i="11"/>
  <c r="X105" i="11"/>
  <c r="W106" i="11"/>
  <c r="X106" i="11"/>
  <c r="W41" i="11"/>
  <c r="X41" i="11"/>
  <c r="W42" i="11"/>
  <c r="X42" i="11"/>
  <c r="W43" i="11"/>
  <c r="X43" i="11"/>
  <c r="W44" i="11"/>
  <c r="X44" i="11"/>
  <c r="W45" i="11"/>
  <c r="X45" i="11"/>
  <c r="W46" i="11"/>
  <c r="X46" i="11"/>
  <c r="W47" i="11"/>
  <c r="X47" i="11"/>
  <c r="W48" i="11"/>
  <c r="X48" i="11"/>
  <c r="W49" i="11"/>
  <c r="X49" i="11"/>
  <c r="W50" i="11"/>
  <c r="X50" i="11"/>
  <c r="W51" i="11"/>
  <c r="X51" i="11"/>
  <c r="W52" i="11"/>
  <c r="X52" i="11"/>
  <c r="W53" i="11"/>
  <c r="X53" i="11"/>
  <c r="W54" i="11"/>
  <c r="X54" i="11"/>
  <c r="W55" i="11"/>
  <c r="X55" i="11"/>
  <c r="W56" i="11"/>
  <c r="X56" i="11"/>
  <c r="W40" i="11"/>
  <c r="X40" i="11"/>
  <c r="X10" i="11"/>
  <c r="W11" i="11"/>
  <c r="X11" i="11"/>
  <c r="X13" i="11"/>
  <c r="X14" i="11"/>
  <c r="X15" i="11"/>
  <c r="X16" i="11"/>
  <c r="X17" i="11"/>
  <c r="X18" i="11"/>
  <c r="X19" i="11"/>
  <c r="X20" i="11"/>
  <c r="X21" i="11"/>
  <c r="X22" i="11"/>
  <c r="X23" i="11"/>
  <c r="X24" i="11"/>
  <c r="X25" i="11"/>
  <c r="X26" i="11"/>
  <c r="X27" i="11"/>
  <c r="X28" i="11"/>
  <c r="X29" i="11"/>
  <c r="X30" i="11"/>
  <c r="X31" i="11"/>
  <c r="X32" i="11"/>
  <c r="X33" i="11"/>
  <c r="X34" i="11"/>
  <c r="X35" i="11"/>
  <c r="X36" i="11"/>
  <c r="X37" i="11"/>
  <c r="X38" i="11"/>
  <c r="X39" i="11"/>
  <c r="X12" i="11"/>
  <c r="W13" i="11"/>
  <c r="W14" i="11"/>
  <c r="W15" i="11"/>
  <c r="W16" i="11"/>
  <c r="W17" i="11"/>
  <c r="W18" i="11"/>
  <c r="W19" i="11"/>
  <c r="W20" i="11"/>
  <c r="W21" i="11"/>
  <c r="W22" i="11"/>
  <c r="W23" i="11"/>
  <c r="W24" i="11"/>
  <c r="W25" i="11"/>
  <c r="W26" i="11"/>
  <c r="W27" i="11"/>
  <c r="W28" i="11"/>
  <c r="W29" i="11"/>
  <c r="W30" i="11"/>
  <c r="W31" i="11"/>
  <c r="W32" i="11"/>
  <c r="W33" i="11"/>
  <c r="W34" i="11"/>
  <c r="W35" i="11"/>
  <c r="W36" i="11"/>
  <c r="W37" i="11"/>
  <c r="W38" i="11"/>
  <c r="W39" i="11"/>
  <c r="W12" i="11"/>
  <c r="Y6" i="11" l="1"/>
  <c r="X5" i="11"/>
  <c r="Z5" i="11"/>
  <c r="W6" i="11"/>
  <c r="Z6" i="11"/>
  <c r="W5" i="11"/>
  <c r="AC5" i="11" l="1"/>
  <c r="AC6" i="11"/>
  <c r="AB5" i="11"/>
  <c r="AB6" i="11"/>
  <c r="J25" i="11" l="1"/>
  <c r="J13" i="11"/>
  <c r="J14" i="11"/>
  <c r="J24" i="11" l="1"/>
  <c r="J23" i="11"/>
  <c r="J5" i="11"/>
  <c r="J12" i="11"/>
  <c r="J15" i="11"/>
  <c r="J16" i="11"/>
  <c r="J17" i="11"/>
  <c r="J18" i="11"/>
  <c r="J19" i="11"/>
  <c r="J20" i="11"/>
  <c r="J21" i="11"/>
  <c r="J22" i="11"/>
  <c r="B2" i="11"/>
  <c r="X36" i="1" l="1"/>
  <c r="AC36" i="1" s="1"/>
  <c r="AF18" i="1"/>
  <c r="J18" i="1" s="1"/>
  <c r="AG18" i="1"/>
  <c r="AF19" i="1"/>
  <c r="J19" i="1" s="1"/>
  <c r="AG19" i="1"/>
  <c r="AF20" i="1"/>
  <c r="J20" i="1" s="1"/>
  <c r="AG20" i="1"/>
  <c r="AF21" i="1"/>
  <c r="J21" i="1" s="1"/>
  <c r="AG21" i="1"/>
  <c r="AF22" i="1"/>
  <c r="J22" i="1" s="1"/>
  <c r="AG22" i="1"/>
  <c r="AF23" i="1"/>
  <c r="J23" i="1" s="1"/>
  <c r="AG23" i="1"/>
  <c r="V23" i="1" s="1"/>
  <c r="AF24" i="1"/>
  <c r="J24" i="1" s="1"/>
  <c r="AG24" i="1"/>
  <c r="AF25" i="1"/>
  <c r="J25" i="1" s="1"/>
  <c r="AG25" i="1"/>
  <c r="V25" i="1" s="1"/>
  <c r="AF26" i="1"/>
  <c r="J26" i="1" s="1"/>
  <c r="AG26" i="1"/>
  <c r="AF27" i="1"/>
  <c r="J27" i="1" s="1"/>
  <c r="AG27" i="1"/>
  <c r="AF28" i="1"/>
  <c r="J28" i="1" s="1"/>
  <c r="AG28" i="1"/>
  <c r="AF29" i="1"/>
  <c r="J29" i="1" s="1"/>
  <c r="AG29" i="1"/>
  <c r="V29" i="1" s="1"/>
  <c r="AF30" i="1"/>
  <c r="J30" i="1" s="1"/>
  <c r="AG30" i="1"/>
  <c r="AF31" i="1"/>
  <c r="J31" i="1" s="1"/>
  <c r="AG31" i="1"/>
  <c r="V31" i="1" s="1"/>
  <c r="AF32" i="1"/>
  <c r="J32" i="1" s="1"/>
  <c r="AG32" i="1"/>
  <c r="AF33" i="1"/>
  <c r="J33" i="1" s="1"/>
  <c r="AG33" i="1"/>
  <c r="AF34" i="1"/>
  <c r="J34" i="1" s="1"/>
  <c r="AG34" i="1"/>
  <c r="AF35" i="1"/>
  <c r="J35" i="1" s="1"/>
  <c r="AG35" i="1"/>
  <c r="V35" i="1" s="1"/>
  <c r="AF36" i="1"/>
  <c r="J36" i="1" s="1"/>
  <c r="AG36" i="1"/>
  <c r="AF37" i="1"/>
  <c r="J37" i="1" s="1"/>
  <c r="AG37" i="1"/>
  <c r="V37" i="1" s="1"/>
  <c r="AF38" i="1"/>
  <c r="J38" i="1" s="1"/>
  <c r="AG38" i="1"/>
  <c r="V38" i="1" s="1"/>
  <c r="AF39" i="1"/>
  <c r="J39" i="1" s="1"/>
  <c r="AG39" i="1"/>
  <c r="AF40" i="1"/>
  <c r="J40" i="1" s="1"/>
  <c r="AG40" i="1"/>
  <c r="AF41" i="1"/>
  <c r="J41" i="1" s="1"/>
  <c r="AG41" i="1"/>
  <c r="AF42" i="1"/>
  <c r="J42" i="1" s="1"/>
  <c r="AG42" i="1"/>
  <c r="AF43" i="1"/>
  <c r="J43" i="1" s="1"/>
  <c r="AG43" i="1"/>
  <c r="V43" i="1" s="1"/>
  <c r="AF44" i="1"/>
  <c r="J44" i="1" s="1"/>
  <c r="AG44" i="1"/>
  <c r="AF45" i="1"/>
  <c r="J45" i="1" s="1"/>
  <c r="AG45" i="1"/>
  <c r="AF46" i="1"/>
  <c r="J46" i="1" s="1"/>
  <c r="AG46" i="1"/>
  <c r="AF47" i="1"/>
  <c r="J47" i="1" s="1"/>
  <c r="AG47" i="1"/>
  <c r="V47" i="1" s="1"/>
  <c r="AF48" i="1"/>
  <c r="J48" i="1" s="1"/>
  <c r="AG48" i="1"/>
  <c r="AF49" i="1"/>
  <c r="J49" i="1" s="1"/>
  <c r="AG49" i="1"/>
  <c r="AF50" i="1"/>
  <c r="J50" i="1" s="1"/>
  <c r="AG50" i="1"/>
  <c r="V50" i="1" s="1"/>
  <c r="AF51" i="1"/>
  <c r="J51" i="1" s="1"/>
  <c r="AG51" i="1"/>
  <c r="AF52" i="1"/>
  <c r="J52" i="1" s="1"/>
  <c r="AG52" i="1"/>
  <c r="AF53" i="1"/>
  <c r="J53" i="1" s="1"/>
  <c r="AG53" i="1"/>
  <c r="AF54" i="1"/>
  <c r="J54" i="1" s="1"/>
  <c r="AG54" i="1"/>
  <c r="AF55" i="1"/>
  <c r="J55" i="1" s="1"/>
  <c r="AG55" i="1"/>
  <c r="V55" i="1" s="1"/>
  <c r="AF56" i="1"/>
  <c r="J56" i="1" s="1"/>
  <c r="AG56" i="1"/>
  <c r="AF57" i="1"/>
  <c r="J57" i="1" s="1"/>
  <c r="AG57" i="1"/>
  <c r="AF58" i="1"/>
  <c r="J58" i="1" s="1"/>
  <c r="AG58" i="1"/>
  <c r="AF59" i="1"/>
  <c r="J59" i="1" s="1"/>
  <c r="AG59" i="1"/>
  <c r="V59" i="1" s="1"/>
  <c r="AF60" i="1"/>
  <c r="J60" i="1" s="1"/>
  <c r="AG60" i="1"/>
  <c r="AF61" i="1"/>
  <c r="J61" i="1" s="1"/>
  <c r="AG61" i="1"/>
  <c r="AF62" i="1"/>
  <c r="J62" i="1" s="1"/>
  <c r="AG62" i="1"/>
  <c r="V62" i="1" s="1"/>
  <c r="AF63" i="1"/>
  <c r="J63" i="1" s="1"/>
  <c r="AG63" i="1"/>
  <c r="AF64" i="1"/>
  <c r="J64" i="1" s="1"/>
  <c r="AG64" i="1"/>
  <c r="AF65" i="1"/>
  <c r="J65" i="1" s="1"/>
  <c r="AG65" i="1"/>
  <c r="AF66" i="1"/>
  <c r="J66" i="1" s="1"/>
  <c r="AG66" i="1"/>
  <c r="AF67" i="1"/>
  <c r="J67" i="1" s="1"/>
  <c r="AG67" i="1"/>
  <c r="V67" i="1" s="1"/>
  <c r="AF68" i="1"/>
  <c r="J68" i="1" s="1"/>
  <c r="AG68" i="1"/>
  <c r="AF69" i="1"/>
  <c r="J69" i="1" s="1"/>
  <c r="AG69" i="1"/>
  <c r="AF70" i="1"/>
  <c r="J70" i="1" s="1"/>
  <c r="AG70" i="1"/>
  <c r="AF71" i="1"/>
  <c r="J71" i="1" s="1"/>
  <c r="AG71" i="1"/>
  <c r="V71" i="1" s="1"/>
  <c r="AF72" i="1"/>
  <c r="J72" i="1" s="1"/>
  <c r="AG72" i="1"/>
  <c r="AF73" i="1"/>
  <c r="J73" i="1" s="1"/>
  <c r="AG73" i="1"/>
  <c r="AF74" i="1"/>
  <c r="J74" i="1" s="1"/>
  <c r="AG74" i="1"/>
  <c r="V74" i="1" s="1"/>
  <c r="AF75" i="1"/>
  <c r="J75" i="1" s="1"/>
  <c r="AG75" i="1"/>
  <c r="AF76" i="1"/>
  <c r="J76" i="1" s="1"/>
  <c r="AG76" i="1"/>
  <c r="AF77" i="1"/>
  <c r="J77" i="1" s="1"/>
  <c r="AG77" i="1"/>
  <c r="AF78" i="1"/>
  <c r="J78" i="1" s="1"/>
  <c r="AG78" i="1"/>
  <c r="AF79" i="1"/>
  <c r="J79" i="1" s="1"/>
  <c r="AG79" i="1"/>
  <c r="V79" i="1" s="1"/>
  <c r="AF80" i="1"/>
  <c r="J80" i="1" s="1"/>
  <c r="AG80" i="1"/>
  <c r="V80" i="1" s="1"/>
  <c r="AF81" i="1"/>
  <c r="J81" i="1" s="1"/>
  <c r="AG81" i="1"/>
  <c r="AF82" i="1"/>
  <c r="J82" i="1" s="1"/>
  <c r="AG82" i="1"/>
  <c r="AF83" i="1"/>
  <c r="J83" i="1" s="1"/>
  <c r="AG83" i="1"/>
  <c r="V83" i="1" s="1"/>
  <c r="AF84" i="1"/>
  <c r="J84" i="1" s="1"/>
  <c r="AG84" i="1"/>
  <c r="AF85" i="1"/>
  <c r="J85" i="1" s="1"/>
  <c r="AG85" i="1"/>
  <c r="AF86" i="1"/>
  <c r="J86" i="1" s="1"/>
  <c r="AG86" i="1"/>
  <c r="V86" i="1" s="1"/>
  <c r="AF87" i="1"/>
  <c r="J87" i="1" s="1"/>
  <c r="AG87" i="1"/>
  <c r="AF88" i="1"/>
  <c r="J88" i="1" s="1"/>
  <c r="AG88" i="1"/>
  <c r="AF89" i="1"/>
  <c r="J89" i="1" s="1"/>
  <c r="AG89" i="1"/>
  <c r="AF90" i="1"/>
  <c r="J90" i="1" s="1"/>
  <c r="AG90" i="1"/>
  <c r="AF91" i="1"/>
  <c r="J91" i="1" s="1"/>
  <c r="AG91" i="1"/>
  <c r="V91" i="1" s="1"/>
  <c r="AF92" i="1"/>
  <c r="J92" i="1" s="1"/>
  <c r="AG92" i="1"/>
  <c r="V92" i="1" s="1"/>
  <c r="AF93" i="1"/>
  <c r="J93" i="1" s="1"/>
  <c r="AG93" i="1"/>
  <c r="V93" i="1" s="1"/>
  <c r="AF94" i="1"/>
  <c r="J94" i="1" s="1"/>
  <c r="AG94" i="1"/>
  <c r="AF95" i="1"/>
  <c r="J95" i="1" s="1"/>
  <c r="AG95" i="1"/>
  <c r="V95" i="1" s="1"/>
  <c r="AF96" i="1"/>
  <c r="J96" i="1" s="1"/>
  <c r="AG96" i="1"/>
  <c r="AF97" i="1"/>
  <c r="J97" i="1" s="1"/>
  <c r="AG97" i="1"/>
  <c r="AF98" i="1"/>
  <c r="J98" i="1" s="1"/>
  <c r="AG98" i="1"/>
  <c r="V98" i="1" s="1"/>
  <c r="AF99" i="1"/>
  <c r="J99" i="1" s="1"/>
  <c r="AG99" i="1"/>
  <c r="AF100" i="1"/>
  <c r="J100" i="1" s="1"/>
  <c r="AG100" i="1"/>
  <c r="AF101" i="1"/>
  <c r="J101" i="1" s="1"/>
  <c r="AG101" i="1"/>
  <c r="AF102" i="1"/>
  <c r="J102" i="1" s="1"/>
  <c r="AG102" i="1"/>
  <c r="AF103" i="1"/>
  <c r="J103" i="1" s="1"/>
  <c r="AG103" i="1"/>
  <c r="V103" i="1" s="1"/>
  <c r="AF104" i="1"/>
  <c r="J104" i="1" s="1"/>
  <c r="AG104" i="1"/>
  <c r="V104" i="1" s="1"/>
  <c r="AF105" i="1"/>
  <c r="J105" i="1" s="1"/>
  <c r="AG105" i="1"/>
  <c r="V105" i="1" s="1"/>
  <c r="AF106" i="1"/>
  <c r="J106" i="1" s="1"/>
  <c r="AG106" i="1"/>
  <c r="AF107" i="1"/>
  <c r="J107" i="1" s="1"/>
  <c r="AG107" i="1"/>
  <c r="V107" i="1" s="1"/>
  <c r="AF108" i="1"/>
  <c r="J108" i="1" s="1"/>
  <c r="AG108" i="1"/>
  <c r="AF109" i="1"/>
  <c r="J109" i="1" s="1"/>
  <c r="AG109" i="1"/>
  <c r="AF110" i="1"/>
  <c r="J110" i="1" s="1"/>
  <c r="AG110" i="1"/>
  <c r="V110" i="1" s="1"/>
  <c r="AF111" i="1"/>
  <c r="J111" i="1" s="1"/>
  <c r="AG111" i="1"/>
  <c r="V111" i="1" s="1"/>
  <c r="AF112" i="1"/>
  <c r="J112" i="1" s="1"/>
  <c r="AG112" i="1"/>
  <c r="AF113" i="1"/>
  <c r="J113" i="1" s="1"/>
  <c r="AG113" i="1"/>
  <c r="AF114" i="1"/>
  <c r="J114" i="1" s="1"/>
  <c r="AG114" i="1"/>
  <c r="AF115" i="1"/>
  <c r="J115" i="1" s="1"/>
  <c r="AG115" i="1"/>
  <c r="V115" i="1" s="1"/>
  <c r="X18" i="1"/>
  <c r="AC18" i="1" s="1"/>
  <c r="X19" i="1"/>
  <c r="AC19" i="1" s="1"/>
  <c r="X20" i="1"/>
  <c r="AC20" i="1" s="1"/>
  <c r="X21" i="1"/>
  <c r="AC21" i="1" s="1"/>
  <c r="X22" i="1"/>
  <c r="AC22" i="1" s="1"/>
  <c r="X23" i="1"/>
  <c r="AC23" i="1" s="1"/>
  <c r="X24" i="1"/>
  <c r="AC24" i="1" s="1"/>
  <c r="X25" i="1"/>
  <c r="AC25" i="1" s="1"/>
  <c r="X26" i="1"/>
  <c r="AC26" i="1" s="1"/>
  <c r="X27" i="1"/>
  <c r="AC27" i="1" s="1"/>
  <c r="X28" i="1"/>
  <c r="AC28" i="1" s="1"/>
  <c r="X29" i="1"/>
  <c r="AC29" i="1" s="1"/>
  <c r="X30" i="1"/>
  <c r="AC30" i="1" s="1"/>
  <c r="X31" i="1"/>
  <c r="AC31" i="1" s="1"/>
  <c r="X32" i="1"/>
  <c r="AC32" i="1" s="1"/>
  <c r="X33" i="1"/>
  <c r="AC33" i="1" s="1"/>
  <c r="X34" i="1"/>
  <c r="AC34" i="1" s="1"/>
  <c r="X35" i="1"/>
  <c r="AC35" i="1" s="1"/>
  <c r="X37" i="1"/>
  <c r="AC37" i="1" s="1"/>
  <c r="X38" i="1"/>
  <c r="AC38" i="1" s="1"/>
  <c r="X39" i="1"/>
  <c r="AC39" i="1" s="1"/>
  <c r="X40" i="1"/>
  <c r="AC40" i="1" s="1"/>
  <c r="X41" i="1"/>
  <c r="AC41" i="1" s="1"/>
  <c r="X42" i="1"/>
  <c r="AC42" i="1" s="1"/>
  <c r="X43" i="1"/>
  <c r="AC43" i="1" s="1"/>
  <c r="X44" i="1"/>
  <c r="AC44" i="1" s="1"/>
  <c r="X45" i="1"/>
  <c r="AC45" i="1" s="1"/>
  <c r="X46" i="1"/>
  <c r="AC46" i="1" s="1"/>
  <c r="X47" i="1"/>
  <c r="AC47" i="1" s="1"/>
  <c r="X48" i="1"/>
  <c r="AC48" i="1" s="1"/>
  <c r="X49" i="1"/>
  <c r="AC49" i="1" s="1"/>
  <c r="X50" i="1"/>
  <c r="AC50" i="1" s="1"/>
  <c r="X51" i="1"/>
  <c r="AC51" i="1" s="1"/>
  <c r="X52" i="1"/>
  <c r="AC52" i="1" s="1"/>
  <c r="X53" i="1"/>
  <c r="AC53" i="1" s="1"/>
  <c r="X54" i="1"/>
  <c r="AC54" i="1" s="1"/>
  <c r="X55" i="1"/>
  <c r="AC55" i="1" s="1"/>
  <c r="X56" i="1"/>
  <c r="AC56" i="1" s="1"/>
  <c r="X57" i="1"/>
  <c r="AC57" i="1" s="1"/>
  <c r="X58" i="1"/>
  <c r="AC58" i="1" s="1"/>
  <c r="X59" i="1"/>
  <c r="AC59" i="1" s="1"/>
  <c r="X60" i="1"/>
  <c r="AC60" i="1" s="1"/>
  <c r="X61" i="1"/>
  <c r="AC61" i="1" s="1"/>
  <c r="X62" i="1"/>
  <c r="AC62" i="1" s="1"/>
  <c r="X63" i="1"/>
  <c r="AC63" i="1" s="1"/>
  <c r="X64" i="1"/>
  <c r="AC64" i="1" s="1"/>
  <c r="X65" i="1"/>
  <c r="AC65" i="1" s="1"/>
  <c r="X66" i="1"/>
  <c r="AC66" i="1" s="1"/>
  <c r="X67" i="1"/>
  <c r="AC67" i="1" s="1"/>
  <c r="X68" i="1"/>
  <c r="AC68" i="1" s="1"/>
  <c r="X69" i="1"/>
  <c r="AC69" i="1" s="1"/>
  <c r="X70" i="1"/>
  <c r="AC70" i="1" s="1"/>
  <c r="X71" i="1"/>
  <c r="AC71" i="1" s="1"/>
  <c r="X72" i="1"/>
  <c r="AC72" i="1" s="1"/>
  <c r="X73" i="1"/>
  <c r="AC73" i="1" s="1"/>
  <c r="X74" i="1"/>
  <c r="AC74" i="1" s="1"/>
  <c r="X75" i="1"/>
  <c r="AC75" i="1" s="1"/>
  <c r="X76" i="1"/>
  <c r="AC76" i="1" s="1"/>
  <c r="X77" i="1"/>
  <c r="AC77" i="1" s="1"/>
  <c r="X78" i="1"/>
  <c r="AC78" i="1" s="1"/>
  <c r="X79" i="1"/>
  <c r="AC79" i="1" s="1"/>
  <c r="X80" i="1"/>
  <c r="AC80" i="1" s="1"/>
  <c r="X81" i="1"/>
  <c r="AC81" i="1" s="1"/>
  <c r="X82" i="1"/>
  <c r="AC82" i="1" s="1"/>
  <c r="X83" i="1"/>
  <c r="AC83" i="1" s="1"/>
  <c r="X84" i="1"/>
  <c r="AC84" i="1" s="1"/>
  <c r="X85" i="1"/>
  <c r="AC85" i="1" s="1"/>
  <c r="X86" i="1"/>
  <c r="AC86" i="1" s="1"/>
  <c r="X87" i="1"/>
  <c r="AC87" i="1" s="1"/>
  <c r="X88" i="1"/>
  <c r="AC88" i="1" s="1"/>
  <c r="X89" i="1"/>
  <c r="AC89" i="1" s="1"/>
  <c r="X90" i="1"/>
  <c r="AC90" i="1" s="1"/>
  <c r="X91" i="1"/>
  <c r="AC91" i="1" s="1"/>
  <c r="X92" i="1"/>
  <c r="AC92" i="1" s="1"/>
  <c r="X93" i="1"/>
  <c r="AC93" i="1" s="1"/>
  <c r="X94" i="1"/>
  <c r="AC94" i="1" s="1"/>
  <c r="X95" i="1"/>
  <c r="AC95" i="1" s="1"/>
  <c r="X96" i="1"/>
  <c r="AC96" i="1" s="1"/>
  <c r="X97" i="1"/>
  <c r="AC97" i="1" s="1"/>
  <c r="X98" i="1"/>
  <c r="AC98" i="1" s="1"/>
  <c r="X99" i="1"/>
  <c r="AC99" i="1" s="1"/>
  <c r="X100" i="1"/>
  <c r="AC100" i="1" s="1"/>
  <c r="X101" i="1"/>
  <c r="AC101" i="1" s="1"/>
  <c r="X102" i="1"/>
  <c r="AC102" i="1" s="1"/>
  <c r="X103" i="1"/>
  <c r="AC103" i="1" s="1"/>
  <c r="X104" i="1"/>
  <c r="AC104" i="1" s="1"/>
  <c r="X105" i="1"/>
  <c r="AC105" i="1" s="1"/>
  <c r="X106" i="1"/>
  <c r="AC106" i="1" s="1"/>
  <c r="X107" i="1"/>
  <c r="AC107" i="1" s="1"/>
  <c r="X108" i="1"/>
  <c r="AC108" i="1" s="1"/>
  <c r="X109" i="1"/>
  <c r="AC109" i="1" s="1"/>
  <c r="X110" i="1"/>
  <c r="AC110" i="1" s="1"/>
  <c r="X111" i="1"/>
  <c r="AC111" i="1" s="1"/>
  <c r="X112" i="1"/>
  <c r="AC112" i="1" s="1"/>
  <c r="X113" i="1"/>
  <c r="AC113" i="1" s="1"/>
  <c r="X114" i="1"/>
  <c r="AC114" i="1" s="1"/>
  <c r="X115" i="1"/>
  <c r="AC115" i="1" s="1"/>
  <c r="U18" i="1"/>
  <c r="AE18" i="1" s="1"/>
  <c r="U19" i="1"/>
  <c r="AE19" i="1" s="1"/>
  <c r="U20" i="1"/>
  <c r="AE20" i="1" s="1"/>
  <c r="U21" i="1"/>
  <c r="AE21" i="1" s="1"/>
  <c r="U22" i="1"/>
  <c r="AE22" i="1" s="1"/>
  <c r="U23" i="1"/>
  <c r="AE23" i="1" s="1"/>
  <c r="U24" i="1"/>
  <c r="AE24" i="1" s="1"/>
  <c r="U25" i="1"/>
  <c r="AE25" i="1" s="1"/>
  <c r="U26" i="1"/>
  <c r="AE26" i="1" s="1"/>
  <c r="U27" i="1"/>
  <c r="AE27" i="1" s="1"/>
  <c r="U28" i="1"/>
  <c r="AE28" i="1" s="1"/>
  <c r="U29" i="1"/>
  <c r="AE29" i="1" s="1"/>
  <c r="U30" i="1"/>
  <c r="AE30" i="1" s="1"/>
  <c r="U31" i="1"/>
  <c r="AE31" i="1" s="1"/>
  <c r="U32" i="1"/>
  <c r="AE32" i="1" s="1"/>
  <c r="U33" i="1"/>
  <c r="AE33" i="1" s="1"/>
  <c r="U34" i="1"/>
  <c r="AE34" i="1" s="1"/>
  <c r="U35" i="1"/>
  <c r="AE35" i="1" s="1"/>
  <c r="U36" i="1"/>
  <c r="AE36" i="1" s="1"/>
  <c r="U37" i="1"/>
  <c r="AE37" i="1" s="1"/>
  <c r="U38" i="1"/>
  <c r="AE38" i="1" s="1"/>
  <c r="U39" i="1"/>
  <c r="AE39" i="1" s="1"/>
  <c r="U40" i="1"/>
  <c r="AE40" i="1" s="1"/>
  <c r="U41" i="1"/>
  <c r="AE41" i="1" s="1"/>
  <c r="U42" i="1"/>
  <c r="AE42" i="1" s="1"/>
  <c r="U43" i="1"/>
  <c r="AE43" i="1" s="1"/>
  <c r="U44" i="1"/>
  <c r="AE44" i="1" s="1"/>
  <c r="U45" i="1"/>
  <c r="AE45" i="1" s="1"/>
  <c r="U46" i="1"/>
  <c r="AE46" i="1" s="1"/>
  <c r="U47" i="1"/>
  <c r="AE47" i="1" s="1"/>
  <c r="U48" i="1"/>
  <c r="AE48" i="1" s="1"/>
  <c r="U49" i="1"/>
  <c r="AE49" i="1" s="1"/>
  <c r="U50" i="1"/>
  <c r="AE50" i="1" s="1"/>
  <c r="U51" i="1"/>
  <c r="AE51" i="1" s="1"/>
  <c r="U52" i="1"/>
  <c r="AE52" i="1" s="1"/>
  <c r="U53" i="1"/>
  <c r="AE53" i="1" s="1"/>
  <c r="U54" i="1"/>
  <c r="AE54" i="1" s="1"/>
  <c r="U55" i="1"/>
  <c r="AE55" i="1" s="1"/>
  <c r="U56" i="1"/>
  <c r="AE56" i="1" s="1"/>
  <c r="U57" i="1"/>
  <c r="AE57" i="1" s="1"/>
  <c r="U58" i="1"/>
  <c r="AE58" i="1" s="1"/>
  <c r="U59" i="1"/>
  <c r="AE59" i="1" s="1"/>
  <c r="U60" i="1"/>
  <c r="AE60" i="1" s="1"/>
  <c r="U61" i="1"/>
  <c r="AE61" i="1" s="1"/>
  <c r="U62" i="1"/>
  <c r="AE62" i="1" s="1"/>
  <c r="U63" i="1"/>
  <c r="AE63" i="1" s="1"/>
  <c r="U64" i="1"/>
  <c r="AE64" i="1" s="1"/>
  <c r="U65" i="1"/>
  <c r="AE65" i="1" s="1"/>
  <c r="U66" i="1"/>
  <c r="AE66" i="1" s="1"/>
  <c r="U67" i="1"/>
  <c r="AE67" i="1" s="1"/>
  <c r="U68" i="1"/>
  <c r="AE68" i="1" s="1"/>
  <c r="U69" i="1"/>
  <c r="AE69" i="1" s="1"/>
  <c r="U70" i="1"/>
  <c r="AE70" i="1" s="1"/>
  <c r="U71" i="1"/>
  <c r="AE71" i="1" s="1"/>
  <c r="U72" i="1"/>
  <c r="AE72" i="1" s="1"/>
  <c r="U73" i="1"/>
  <c r="AE73" i="1" s="1"/>
  <c r="U74" i="1"/>
  <c r="AE74" i="1" s="1"/>
  <c r="U75" i="1"/>
  <c r="AE75" i="1" s="1"/>
  <c r="U76" i="1"/>
  <c r="AE76" i="1" s="1"/>
  <c r="U77" i="1"/>
  <c r="AE77" i="1" s="1"/>
  <c r="U78" i="1"/>
  <c r="AE78" i="1" s="1"/>
  <c r="U79" i="1"/>
  <c r="AE79" i="1" s="1"/>
  <c r="U80" i="1"/>
  <c r="AE80" i="1" s="1"/>
  <c r="U81" i="1"/>
  <c r="AE81" i="1" s="1"/>
  <c r="U82" i="1"/>
  <c r="AE82" i="1" s="1"/>
  <c r="U83" i="1"/>
  <c r="AE83" i="1" s="1"/>
  <c r="U84" i="1"/>
  <c r="AE84" i="1" s="1"/>
  <c r="U85" i="1"/>
  <c r="AE85" i="1" s="1"/>
  <c r="U86" i="1"/>
  <c r="AE86" i="1" s="1"/>
  <c r="U87" i="1"/>
  <c r="AE87" i="1" s="1"/>
  <c r="U88" i="1"/>
  <c r="AE88" i="1" s="1"/>
  <c r="U89" i="1"/>
  <c r="AE89" i="1" s="1"/>
  <c r="U90" i="1"/>
  <c r="AE90" i="1" s="1"/>
  <c r="U91" i="1"/>
  <c r="AE91" i="1" s="1"/>
  <c r="U92" i="1"/>
  <c r="AE92" i="1" s="1"/>
  <c r="U93" i="1"/>
  <c r="AE93" i="1" s="1"/>
  <c r="U94" i="1"/>
  <c r="AE94" i="1" s="1"/>
  <c r="U95" i="1"/>
  <c r="AE95" i="1" s="1"/>
  <c r="U96" i="1"/>
  <c r="AE96" i="1" s="1"/>
  <c r="U97" i="1"/>
  <c r="AE97" i="1" s="1"/>
  <c r="U98" i="1"/>
  <c r="AE98" i="1" s="1"/>
  <c r="U99" i="1"/>
  <c r="AE99" i="1" s="1"/>
  <c r="U100" i="1"/>
  <c r="AE100" i="1" s="1"/>
  <c r="U101" i="1"/>
  <c r="AE101" i="1" s="1"/>
  <c r="U102" i="1"/>
  <c r="AE102" i="1" s="1"/>
  <c r="U103" i="1"/>
  <c r="AE103" i="1" s="1"/>
  <c r="U104" i="1"/>
  <c r="AE104" i="1" s="1"/>
  <c r="U105" i="1"/>
  <c r="AE105" i="1" s="1"/>
  <c r="U106" i="1"/>
  <c r="AE106" i="1" s="1"/>
  <c r="U107" i="1"/>
  <c r="AE107" i="1" s="1"/>
  <c r="U108" i="1"/>
  <c r="AE108" i="1" s="1"/>
  <c r="U109" i="1"/>
  <c r="AE109" i="1" s="1"/>
  <c r="U110" i="1"/>
  <c r="AE110" i="1" s="1"/>
  <c r="U111" i="1"/>
  <c r="AE111" i="1" s="1"/>
  <c r="U112" i="1"/>
  <c r="AE112" i="1" s="1"/>
  <c r="U113" i="1"/>
  <c r="AE113" i="1" s="1"/>
  <c r="U114" i="1"/>
  <c r="AE114" i="1" s="1"/>
  <c r="U115" i="1"/>
  <c r="AE115" i="1" s="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8" i="1"/>
  <c r="W19" i="1"/>
  <c r="W20" i="1"/>
  <c r="W21" i="1"/>
  <c r="W22" i="1"/>
  <c r="W23" i="1"/>
  <c r="W24" i="1"/>
  <c r="W25" i="1"/>
  <c r="W26" i="1"/>
  <c r="W27" i="1"/>
  <c r="W28" i="1"/>
  <c r="W29" i="1"/>
  <c r="W30" i="1"/>
  <c r="W31" i="1"/>
  <c r="W32" i="1"/>
  <c r="W33" i="1"/>
  <c r="W34" i="1"/>
  <c r="W35" i="1"/>
  <c r="W36" i="1"/>
  <c r="W37" i="1"/>
  <c r="W38" i="1"/>
  <c r="W39" i="1"/>
  <c r="W17" i="1"/>
  <c r="X17" i="1"/>
  <c r="U17" i="1"/>
  <c r="V106" i="1" l="1"/>
  <c r="AB106" i="1" s="1"/>
  <c r="AD106" i="1" s="1"/>
  <c r="V109" i="1"/>
  <c r="AB109" i="1" s="1"/>
  <c r="AD109" i="1" s="1"/>
  <c r="V112" i="1"/>
  <c r="AB112" i="1" s="1"/>
  <c r="AD112" i="1" s="1"/>
  <c r="V114" i="1"/>
  <c r="AB114" i="1" s="1"/>
  <c r="AD114" i="1" s="1"/>
  <c r="V108" i="1"/>
  <c r="AB108" i="1" s="1"/>
  <c r="AD108" i="1" s="1"/>
  <c r="V113" i="1"/>
  <c r="AB113" i="1" s="1"/>
  <c r="AD113" i="1" s="1"/>
  <c r="V82" i="1"/>
  <c r="AB82" i="1" s="1"/>
  <c r="AD82" i="1" s="1"/>
  <c r="V40" i="1"/>
  <c r="AB40" i="1" s="1"/>
  <c r="AD40" i="1" s="1"/>
  <c r="V88" i="1"/>
  <c r="AB88" i="1" s="1"/>
  <c r="AD88" i="1" s="1"/>
  <c r="V34" i="1"/>
  <c r="AB34" i="1" s="1"/>
  <c r="AD34" i="1" s="1"/>
  <c r="V99" i="1"/>
  <c r="AB99" i="1" s="1"/>
  <c r="AD99" i="1" s="1"/>
  <c r="V87" i="1"/>
  <c r="AB87" i="1" s="1"/>
  <c r="AD87" i="1" s="1"/>
  <c r="V81" i="1"/>
  <c r="AB81" i="1" s="1"/>
  <c r="AD81" i="1" s="1"/>
  <c r="V75" i="1"/>
  <c r="AB75" i="1" s="1"/>
  <c r="AD75" i="1" s="1"/>
  <c r="V69" i="1"/>
  <c r="AB69" i="1" s="1"/>
  <c r="AD69" i="1" s="1"/>
  <c r="V63" i="1"/>
  <c r="AB63" i="1" s="1"/>
  <c r="AD63" i="1" s="1"/>
  <c r="V57" i="1"/>
  <c r="AB57" i="1" s="1"/>
  <c r="AD57" i="1" s="1"/>
  <c r="V51" i="1"/>
  <c r="AB51" i="1" s="1"/>
  <c r="AD51" i="1" s="1"/>
  <c r="V45" i="1"/>
  <c r="AB45" i="1" s="1"/>
  <c r="AD45" i="1" s="1"/>
  <c r="V39" i="1"/>
  <c r="AB39" i="1" s="1"/>
  <c r="AD39" i="1" s="1"/>
  <c r="V33" i="1"/>
  <c r="AB33" i="1" s="1"/>
  <c r="AD33" i="1" s="1"/>
  <c r="V27" i="1"/>
  <c r="AB27" i="1" s="1"/>
  <c r="AD27" i="1" s="1"/>
  <c r="V21" i="1"/>
  <c r="AB21" i="1" s="1"/>
  <c r="AD21" i="1" s="1"/>
  <c r="V100" i="1"/>
  <c r="AB100" i="1" s="1"/>
  <c r="AD100" i="1" s="1"/>
  <c r="V28" i="1"/>
  <c r="AB28" i="1" s="1"/>
  <c r="AD28" i="1" s="1"/>
  <c r="V94" i="1"/>
  <c r="AB94" i="1" s="1"/>
  <c r="AD94" i="1" s="1"/>
  <c r="V22" i="1"/>
  <c r="AB22" i="1" s="1"/>
  <c r="AD22" i="1" s="1"/>
  <c r="V68" i="1"/>
  <c r="AB68" i="1" s="1"/>
  <c r="AD68" i="1" s="1"/>
  <c r="V56" i="1"/>
  <c r="AB56" i="1" s="1"/>
  <c r="AD56" i="1" s="1"/>
  <c r="V44" i="1"/>
  <c r="AB44" i="1" s="1"/>
  <c r="AD44" i="1" s="1"/>
  <c r="V32" i="1"/>
  <c r="AB32" i="1" s="1"/>
  <c r="AD32" i="1" s="1"/>
  <c r="V26" i="1"/>
  <c r="AB26" i="1" s="1"/>
  <c r="AD26" i="1" s="1"/>
  <c r="V20" i="1"/>
  <c r="AB20" i="1" s="1"/>
  <c r="AD20" i="1" s="1"/>
  <c r="V76" i="1"/>
  <c r="AB76" i="1" s="1"/>
  <c r="AD76" i="1" s="1"/>
  <c r="V52" i="1"/>
  <c r="AB52" i="1" s="1"/>
  <c r="AD52" i="1" s="1"/>
  <c r="V97" i="1"/>
  <c r="AB97" i="1" s="1"/>
  <c r="AD97" i="1" s="1"/>
  <c r="V85" i="1"/>
  <c r="AB85" i="1" s="1"/>
  <c r="AD85" i="1" s="1"/>
  <c r="V73" i="1"/>
  <c r="AB73" i="1" s="1"/>
  <c r="AD73" i="1" s="1"/>
  <c r="V61" i="1"/>
  <c r="AB61" i="1" s="1"/>
  <c r="AD61" i="1" s="1"/>
  <c r="V49" i="1"/>
  <c r="AB49" i="1" s="1"/>
  <c r="AD49" i="1" s="1"/>
  <c r="V19" i="1"/>
  <c r="AB19" i="1" s="1"/>
  <c r="AD19" i="1" s="1"/>
  <c r="V64" i="1"/>
  <c r="AB64" i="1" s="1"/>
  <c r="AD64" i="1" s="1"/>
  <c r="V70" i="1"/>
  <c r="AB70" i="1" s="1"/>
  <c r="AD70" i="1" s="1"/>
  <c r="V102" i="1"/>
  <c r="AB102" i="1" s="1"/>
  <c r="AD102" i="1" s="1"/>
  <c r="V96" i="1"/>
  <c r="AB96" i="1" s="1"/>
  <c r="AD96" i="1" s="1"/>
  <c r="V90" i="1"/>
  <c r="AB90" i="1" s="1"/>
  <c r="AD90" i="1" s="1"/>
  <c r="V84" i="1"/>
  <c r="AB84" i="1" s="1"/>
  <c r="AD84" i="1" s="1"/>
  <c r="V78" i="1"/>
  <c r="AB78" i="1" s="1"/>
  <c r="AD78" i="1" s="1"/>
  <c r="V72" i="1"/>
  <c r="AB72" i="1" s="1"/>
  <c r="AD72" i="1" s="1"/>
  <c r="V66" i="1"/>
  <c r="AB66" i="1" s="1"/>
  <c r="AD66" i="1" s="1"/>
  <c r="V60" i="1"/>
  <c r="AB60" i="1" s="1"/>
  <c r="AD60" i="1" s="1"/>
  <c r="V54" i="1"/>
  <c r="AB54" i="1" s="1"/>
  <c r="AD54" i="1" s="1"/>
  <c r="V48" i="1"/>
  <c r="AB48" i="1" s="1"/>
  <c r="AD48" i="1" s="1"/>
  <c r="V42" i="1"/>
  <c r="AB42" i="1" s="1"/>
  <c r="AD42" i="1" s="1"/>
  <c r="V36" i="1"/>
  <c r="AB36" i="1" s="1"/>
  <c r="AD36" i="1" s="1"/>
  <c r="V30" i="1"/>
  <c r="AB30" i="1" s="1"/>
  <c r="AD30" i="1" s="1"/>
  <c r="V24" i="1"/>
  <c r="AB24" i="1" s="1"/>
  <c r="AD24" i="1" s="1"/>
  <c r="V18" i="1"/>
  <c r="AB18" i="1" s="1"/>
  <c r="AD18" i="1" s="1"/>
  <c r="V58" i="1"/>
  <c r="AB58" i="1" s="1"/>
  <c r="AD58" i="1" s="1"/>
  <c r="V46" i="1"/>
  <c r="AB46" i="1" s="1"/>
  <c r="AD46" i="1" s="1"/>
  <c r="V101" i="1"/>
  <c r="AB101" i="1" s="1"/>
  <c r="AD101" i="1" s="1"/>
  <c r="V89" i="1"/>
  <c r="AB89" i="1" s="1"/>
  <c r="AD89" i="1" s="1"/>
  <c r="V77" i="1"/>
  <c r="AB77" i="1" s="1"/>
  <c r="AD77" i="1" s="1"/>
  <c r="V65" i="1"/>
  <c r="AB65" i="1" s="1"/>
  <c r="AD65" i="1" s="1"/>
  <c r="V53" i="1"/>
  <c r="AB53" i="1" s="1"/>
  <c r="AD53" i="1" s="1"/>
  <c r="V41" i="1"/>
  <c r="AB41" i="1" s="1"/>
  <c r="AD41" i="1" s="1"/>
  <c r="AB37" i="1"/>
  <c r="AD37" i="1" s="1"/>
  <c r="AB23" i="1"/>
  <c r="AD23" i="1" s="1"/>
  <c r="AB110" i="1"/>
  <c r="AD110" i="1" s="1"/>
  <c r="AB104" i="1"/>
  <c r="AD104" i="1" s="1"/>
  <c r="AB98" i="1"/>
  <c r="AD98" i="1" s="1"/>
  <c r="AB92" i="1"/>
  <c r="AD92" i="1" s="1"/>
  <c r="AB86" i="1"/>
  <c r="AD86" i="1" s="1"/>
  <c r="AB80" i="1"/>
  <c r="AD80" i="1" s="1"/>
  <c r="AB74" i="1"/>
  <c r="AD74" i="1" s="1"/>
  <c r="AB62" i="1"/>
  <c r="AD62" i="1" s="1"/>
  <c r="AB50" i="1"/>
  <c r="AD50" i="1" s="1"/>
  <c r="AB38" i="1"/>
  <c r="AD38" i="1" s="1"/>
  <c r="AB29" i="1"/>
  <c r="AD29" i="1" s="1"/>
  <c r="AB25" i="1"/>
  <c r="AD25" i="1" s="1"/>
  <c r="AB111" i="1"/>
  <c r="AD111" i="1" s="1"/>
  <c r="AB105" i="1"/>
  <c r="AD105" i="1" s="1"/>
  <c r="AB93" i="1"/>
  <c r="AD93" i="1" s="1"/>
  <c r="AB115" i="1"/>
  <c r="AD115" i="1" s="1"/>
  <c r="AB107" i="1"/>
  <c r="AD107" i="1" s="1"/>
  <c r="AB103" i="1"/>
  <c r="AD103" i="1" s="1"/>
  <c r="AB95" i="1"/>
  <c r="AD95" i="1" s="1"/>
  <c r="AB91" i="1"/>
  <c r="AD91" i="1" s="1"/>
  <c r="AB83" i="1"/>
  <c r="AD83" i="1" s="1"/>
  <c r="AB79" i="1"/>
  <c r="AD79" i="1" s="1"/>
  <c r="AB71" i="1"/>
  <c r="AD71" i="1" s="1"/>
  <c r="AB67" i="1"/>
  <c r="AD67" i="1" s="1"/>
  <c r="AB59" i="1"/>
  <c r="AD59" i="1" s="1"/>
  <c r="AB55" i="1"/>
  <c r="AD55" i="1" s="1"/>
  <c r="AB47" i="1"/>
  <c r="AD47" i="1" s="1"/>
  <c r="AB43" i="1"/>
  <c r="AD43" i="1" s="1"/>
  <c r="AB35" i="1"/>
  <c r="AD35" i="1" s="1"/>
  <c r="AB31" i="1"/>
  <c r="AD31" i="1" s="1"/>
  <c r="N115" i="1"/>
  <c r="AG116" i="1"/>
  <c r="AF116" i="1"/>
  <c r="J116" i="1" s="1"/>
  <c r="L116" i="1"/>
  <c r="K116" i="1"/>
  <c r="I116" i="1"/>
  <c r="L115" i="1"/>
  <c r="K115" i="1"/>
  <c r="I115" i="1"/>
  <c r="Q114" i="1"/>
  <c r="L114" i="1"/>
  <c r="R114" i="1" s="1"/>
  <c r="K114" i="1"/>
  <c r="I114" i="1"/>
  <c r="T114" i="1" s="1"/>
  <c r="Q113" i="1"/>
  <c r="L113" i="1"/>
  <c r="R113" i="1" s="1"/>
  <c r="K113" i="1"/>
  <c r="I113" i="1"/>
  <c r="T113" i="1" s="1"/>
  <c r="Q112" i="1"/>
  <c r="L112" i="1"/>
  <c r="R112" i="1" s="1"/>
  <c r="K112" i="1"/>
  <c r="I112" i="1"/>
  <c r="T112" i="1" s="1"/>
  <c r="Q111" i="1"/>
  <c r="L111" i="1"/>
  <c r="R111" i="1" s="1"/>
  <c r="K111" i="1"/>
  <c r="I111" i="1"/>
  <c r="T111" i="1" s="1"/>
  <c r="Q110" i="1"/>
  <c r="L110" i="1"/>
  <c r="R110" i="1" s="1"/>
  <c r="K110" i="1"/>
  <c r="I110" i="1"/>
  <c r="T110" i="1" s="1"/>
  <c r="Q109" i="1"/>
  <c r="L109" i="1"/>
  <c r="R109" i="1" s="1"/>
  <c r="K109" i="1"/>
  <c r="I109" i="1"/>
  <c r="T109" i="1" s="1"/>
  <c r="Q108" i="1"/>
  <c r="L108" i="1"/>
  <c r="R108" i="1" s="1"/>
  <c r="K108" i="1"/>
  <c r="I108" i="1"/>
  <c r="T108" i="1" s="1"/>
  <c r="L107" i="1"/>
  <c r="R107" i="1" s="1"/>
  <c r="K107" i="1"/>
  <c r="I107" i="1"/>
  <c r="T107" i="1" s="1"/>
  <c r="L106" i="1"/>
  <c r="R106" i="1" s="1"/>
  <c r="K106" i="1"/>
  <c r="I106" i="1"/>
  <c r="T106" i="1" s="1"/>
  <c r="L105" i="1"/>
  <c r="R105" i="1" s="1"/>
  <c r="K105" i="1"/>
  <c r="I105" i="1"/>
  <c r="T105" i="1" s="1"/>
  <c r="L104" i="1"/>
  <c r="R104" i="1" s="1"/>
  <c r="K104" i="1"/>
  <c r="I104" i="1"/>
  <c r="T104" i="1" s="1"/>
  <c r="Q103" i="1"/>
  <c r="L103" i="1"/>
  <c r="R103" i="1" s="1"/>
  <c r="K103" i="1"/>
  <c r="I103" i="1"/>
  <c r="T103" i="1" s="1"/>
  <c r="Q102" i="1"/>
  <c r="L102" i="1"/>
  <c r="R102" i="1" s="1"/>
  <c r="K102" i="1"/>
  <c r="I102" i="1"/>
  <c r="T102" i="1" s="1"/>
  <c r="L101" i="1"/>
  <c r="R101" i="1" s="1"/>
  <c r="K101" i="1"/>
  <c r="I101" i="1"/>
  <c r="T101" i="1" s="1"/>
  <c r="L100" i="1"/>
  <c r="R100" i="1" s="1"/>
  <c r="K100" i="1"/>
  <c r="I100" i="1"/>
  <c r="T100" i="1" s="1"/>
  <c r="Q99" i="1"/>
  <c r="L99" i="1"/>
  <c r="R99" i="1" s="1"/>
  <c r="K99" i="1"/>
  <c r="I99" i="1"/>
  <c r="T99" i="1" s="1"/>
  <c r="Q98" i="1"/>
  <c r="L98" i="1"/>
  <c r="R98" i="1" s="1"/>
  <c r="K98" i="1"/>
  <c r="I98" i="1"/>
  <c r="T98" i="1" s="1"/>
  <c r="Q97" i="1"/>
  <c r="L97" i="1"/>
  <c r="R97" i="1" s="1"/>
  <c r="K97" i="1"/>
  <c r="I97" i="1"/>
  <c r="T97" i="1" s="1"/>
  <c r="Q96" i="1"/>
  <c r="L96" i="1"/>
  <c r="R96" i="1" s="1"/>
  <c r="K96" i="1"/>
  <c r="I96" i="1"/>
  <c r="T96" i="1" s="1"/>
  <c r="L95" i="1"/>
  <c r="R95" i="1" s="1"/>
  <c r="K95" i="1"/>
  <c r="I95" i="1"/>
  <c r="T95" i="1" s="1"/>
  <c r="Q94" i="1"/>
  <c r="L94" i="1"/>
  <c r="R94" i="1" s="1"/>
  <c r="K94" i="1"/>
  <c r="I94" i="1"/>
  <c r="T94" i="1" s="1"/>
  <c r="Q93" i="1"/>
  <c r="L93" i="1"/>
  <c r="R93" i="1" s="1"/>
  <c r="K93" i="1"/>
  <c r="I93" i="1"/>
  <c r="T93" i="1" s="1"/>
  <c r="Q92" i="1"/>
  <c r="L92" i="1"/>
  <c r="R92" i="1" s="1"/>
  <c r="K92" i="1"/>
  <c r="I92" i="1"/>
  <c r="T92" i="1" s="1"/>
  <c r="L91" i="1"/>
  <c r="R91" i="1" s="1"/>
  <c r="K91" i="1"/>
  <c r="I91" i="1"/>
  <c r="T91" i="1" s="1"/>
  <c r="Q90" i="1"/>
  <c r="L90" i="1"/>
  <c r="R90" i="1" s="1"/>
  <c r="K90" i="1"/>
  <c r="I90" i="1"/>
  <c r="T90" i="1" s="1"/>
  <c r="L89" i="1"/>
  <c r="R89" i="1" s="1"/>
  <c r="K89" i="1"/>
  <c r="I89" i="1"/>
  <c r="T89" i="1" s="1"/>
  <c r="L88" i="1"/>
  <c r="R88" i="1" s="1"/>
  <c r="K88" i="1"/>
  <c r="I88" i="1"/>
  <c r="T88" i="1" s="1"/>
  <c r="Q87" i="1"/>
  <c r="L87" i="1"/>
  <c r="R87" i="1" s="1"/>
  <c r="K87" i="1"/>
  <c r="I87" i="1"/>
  <c r="T87" i="1" s="1"/>
  <c r="Q86" i="1"/>
  <c r="L86" i="1"/>
  <c r="R86" i="1" s="1"/>
  <c r="K86" i="1"/>
  <c r="I86" i="1"/>
  <c r="T86" i="1" s="1"/>
  <c r="Q85" i="1"/>
  <c r="L85" i="1"/>
  <c r="R85" i="1" s="1"/>
  <c r="K85" i="1"/>
  <c r="I85" i="1"/>
  <c r="T85" i="1" s="1"/>
  <c r="Q84" i="1"/>
  <c r="L84" i="1"/>
  <c r="R84" i="1" s="1"/>
  <c r="K84" i="1"/>
  <c r="I84" i="1"/>
  <c r="T84" i="1" s="1"/>
  <c r="L83" i="1"/>
  <c r="R83" i="1" s="1"/>
  <c r="K83" i="1"/>
  <c r="I83" i="1"/>
  <c r="T83" i="1" s="1"/>
  <c r="L82" i="1"/>
  <c r="R82" i="1" s="1"/>
  <c r="K82" i="1"/>
  <c r="I82" i="1"/>
  <c r="T82" i="1" s="1"/>
  <c r="Q81" i="1"/>
  <c r="L81" i="1"/>
  <c r="R81" i="1" s="1"/>
  <c r="K81" i="1"/>
  <c r="I81" i="1"/>
  <c r="T81" i="1" s="1"/>
  <c r="Q80" i="1"/>
  <c r="L80" i="1"/>
  <c r="R80" i="1" s="1"/>
  <c r="K80" i="1"/>
  <c r="I80" i="1"/>
  <c r="T80" i="1" s="1"/>
  <c r="Q79" i="1"/>
  <c r="L79" i="1"/>
  <c r="R79" i="1" s="1"/>
  <c r="K79" i="1"/>
  <c r="I79" i="1"/>
  <c r="T79" i="1" s="1"/>
  <c r="Q78" i="1"/>
  <c r="L78" i="1"/>
  <c r="R78" i="1" s="1"/>
  <c r="K78" i="1"/>
  <c r="I78" i="1"/>
  <c r="T78" i="1" s="1"/>
  <c r="L77" i="1"/>
  <c r="R77" i="1" s="1"/>
  <c r="K77" i="1"/>
  <c r="I77" i="1"/>
  <c r="T77" i="1" s="1"/>
  <c r="Q76" i="1"/>
  <c r="L76" i="1"/>
  <c r="R76" i="1" s="1"/>
  <c r="K76" i="1"/>
  <c r="I76" i="1"/>
  <c r="T76" i="1" s="1"/>
  <c r="Q75" i="1"/>
  <c r="L75" i="1"/>
  <c r="R75" i="1" s="1"/>
  <c r="K75" i="1"/>
  <c r="I75" i="1"/>
  <c r="T75" i="1" s="1"/>
  <c r="Q74" i="1"/>
  <c r="L74" i="1"/>
  <c r="R74" i="1" s="1"/>
  <c r="K74" i="1"/>
  <c r="I74" i="1"/>
  <c r="T74" i="1" s="1"/>
  <c r="L73" i="1"/>
  <c r="R73" i="1" s="1"/>
  <c r="K73" i="1"/>
  <c r="I73" i="1"/>
  <c r="T73" i="1" s="1"/>
  <c r="Q72" i="1"/>
  <c r="L72" i="1"/>
  <c r="R72" i="1" s="1"/>
  <c r="K72" i="1"/>
  <c r="I72" i="1"/>
  <c r="T72" i="1" s="1"/>
  <c r="L71" i="1"/>
  <c r="R71" i="1" s="1"/>
  <c r="K71" i="1"/>
  <c r="I71" i="1"/>
  <c r="T71" i="1" s="1"/>
  <c r="L70" i="1"/>
  <c r="R70" i="1" s="1"/>
  <c r="K70" i="1"/>
  <c r="I70" i="1"/>
  <c r="T70" i="1" s="1"/>
  <c r="Q69" i="1"/>
  <c r="L69" i="1"/>
  <c r="R69" i="1" s="1"/>
  <c r="K69" i="1"/>
  <c r="I69" i="1"/>
  <c r="T69" i="1" s="1"/>
  <c r="Q68" i="1"/>
  <c r="L68" i="1"/>
  <c r="R68" i="1" s="1"/>
  <c r="K68" i="1"/>
  <c r="I68" i="1"/>
  <c r="T68" i="1" s="1"/>
  <c r="Q67" i="1"/>
  <c r="L67" i="1"/>
  <c r="R67" i="1" s="1"/>
  <c r="K67" i="1"/>
  <c r="I67" i="1"/>
  <c r="T67" i="1" s="1"/>
  <c r="L66" i="1"/>
  <c r="R66" i="1" s="1"/>
  <c r="K66" i="1"/>
  <c r="I66" i="1"/>
  <c r="T66" i="1" s="1"/>
  <c r="L65" i="1"/>
  <c r="R65" i="1" s="1"/>
  <c r="K65" i="1"/>
  <c r="I65" i="1"/>
  <c r="T65" i="1" s="1"/>
  <c r="L64" i="1"/>
  <c r="R64" i="1" s="1"/>
  <c r="K64" i="1"/>
  <c r="I64" i="1"/>
  <c r="T64" i="1" s="1"/>
  <c r="Q63" i="1"/>
  <c r="L63" i="1"/>
  <c r="R63" i="1" s="1"/>
  <c r="K63" i="1"/>
  <c r="I63" i="1"/>
  <c r="T63" i="1" s="1"/>
  <c r="Q62" i="1"/>
  <c r="L62" i="1"/>
  <c r="R62" i="1" s="1"/>
  <c r="K62" i="1"/>
  <c r="I62" i="1"/>
  <c r="T62" i="1" s="1"/>
  <c r="Q61" i="1"/>
  <c r="L61" i="1"/>
  <c r="R61" i="1" s="1"/>
  <c r="K61" i="1"/>
  <c r="I61" i="1"/>
  <c r="T61" i="1" s="1"/>
  <c r="L60" i="1"/>
  <c r="R60" i="1" s="1"/>
  <c r="K60" i="1"/>
  <c r="I60" i="1"/>
  <c r="T60" i="1" s="1"/>
  <c r="Q59" i="1"/>
  <c r="L59" i="1"/>
  <c r="K59" i="1"/>
  <c r="I59" i="1"/>
  <c r="T59" i="1" s="1"/>
  <c r="Q58" i="1"/>
  <c r="L58" i="1"/>
  <c r="R58" i="1" s="1"/>
  <c r="K58" i="1"/>
  <c r="I58" i="1"/>
  <c r="T58" i="1" s="1"/>
  <c r="Q57" i="1"/>
  <c r="L57" i="1"/>
  <c r="R57" i="1" s="1"/>
  <c r="K57" i="1"/>
  <c r="I57" i="1"/>
  <c r="T57" i="1" s="1"/>
  <c r="Q56" i="1"/>
  <c r="L56" i="1"/>
  <c r="R56" i="1" s="1"/>
  <c r="K56" i="1"/>
  <c r="I56" i="1"/>
  <c r="T56" i="1" s="1"/>
  <c r="Q55" i="1"/>
  <c r="L55" i="1"/>
  <c r="R55" i="1" s="1"/>
  <c r="K55" i="1"/>
  <c r="I55" i="1"/>
  <c r="T55" i="1" s="1"/>
  <c r="L54" i="1"/>
  <c r="R54" i="1" s="1"/>
  <c r="K54" i="1"/>
  <c r="I54" i="1"/>
  <c r="T54" i="1" s="1"/>
  <c r="L53" i="1"/>
  <c r="R53" i="1" s="1"/>
  <c r="K53" i="1"/>
  <c r="I53" i="1"/>
  <c r="T53" i="1" s="1"/>
  <c r="Q52" i="1"/>
  <c r="L52" i="1"/>
  <c r="K52" i="1"/>
  <c r="I52" i="1"/>
  <c r="T52" i="1" s="1"/>
  <c r="Q51" i="1"/>
  <c r="L51" i="1"/>
  <c r="R51" i="1" s="1"/>
  <c r="K51" i="1"/>
  <c r="I51" i="1"/>
  <c r="T51" i="1" s="1"/>
  <c r="L50" i="1"/>
  <c r="R50" i="1" s="1"/>
  <c r="K50" i="1"/>
  <c r="I50" i="1"/>
  <c r="T50" i="1" s="1"/>
  <c r="L49" i="1"/>
  <c r="R49" i="1" s="1"/>
  <c r="K49" i="1"/>
  <c r="I49" i="1"/>
  <c r="T49" i="1" s="1"/>
  <c r="L48" i="1"/>
  <c r="R48" i="1" s="1"/>
  <c r="K48" i="1"/>
  <c r="I48" i="1"/>
  <c r="T48" i="1" s="1"/>
  <c r="Q47" i="1"/>
  <c r="L47" i="1"/>
  <c r="R47" i="1" s="1"/>
  <c r="K47" i="1"/>
  <c r="I47" i="1"/>
  <c r="T47" i="1" s="1"/>
  <c r="L46" i="1"/>
  <c r="R46" i="1" s="1"/>
  <c r="K46" i="1"/>
  <c r="I46" i="1"/>
  <c r="T46" i="1" s="1"/>
  <c r="L45" i="1"/>
  <c r="R45" i="1" s="1"/>
  <c r="K45" i="1"/>
  <c r="I45" i="1"/>
  <c r="T45" i="1" s="1"/>
  <c r="L44" i="1"/>
  <c r="R44" i="1" s="1"/>
  <c r="K44" i="1"/>
  <c r="I44" i="1"/>
  <c r="T44" i="1" s="1"/>
  <c r="L43" i="1"/>
  <c r="R43" i="1" s="1"/>
  <c r="K43" i="1"/>
  <c r="I43" i="1"/>
  <c r="T43" i="1" s="1"/>
  <c r="Q42" i="1"/>
  <c r="L42" i="1"/>
  <c r="R42" i="1" s="1"/>
  <c r="K42" i="1"/>
  <c r="I42" i="1"/>
  <c r="T42" i="1" s="1"/>
  <c r="Q41" i="1"/>
  <c r="L41" i="1"/>
  <c r="R41" i="1" s="1"/>
  <c r="K41" i="1"/>
  <c r="I41" i="1"/>
  <c r="T41" i="1" s="1"/>
  <c r="L40" i="1"/>
  <c r="R40" i="1" s="1"/>
  <c r="K40" i="1"/>
  <c r="I40" i="1"/>
  <c r="T40" i="1" s="1"/>
  <c r="Q39" i="1"/>
  <c r="L39" i="1"/>
  <c r="R39" i="1" s="1"/>
  <c r="K39" i="1"/>
  <c r="I39" i="1"/>
  <c r="T39" i="1" s="1"/>
  <c r="L38" i="1"/>
  <c r="R38" i="1" s="1"/>
  <c r="K38" i="1"/>
  <c r="I38" i="1"/>
  <c r="T38" i="1" s="1"/>
  <c r="L37" i="1"/>
  <c r="R37" i="1" s="1"/>
  <c r="K37" i="1"/>
  <c r="I37" i="1"/>
  <c r="T37" i="1" s="1"/>
  <c r="Q36" i="1"/>
  <c r="L36" i="1"/>
  <c r="R36" i="1" s="1"/>
  <c r="I36" i="1"/>
  <c r="T36" i="1" s="1"/>
  <c r="Q35" i="1"/>
  <c r="L35" i="1"/>
  <c r="R35" i="1" s="1"/>
  <c r="K35" i="1"/>
  <c r="I35" i="1"/>
  <c r="T35" i="1" s="1"/>
  <c r="L34" i="1"/>
  <c r="R34" i="1" s="1"/>
  <c r="K34" i="1"/>
  <c r="I34" i="1"/>
  <c r="T34" i="1" s="1"/>
  <c r="Q33" i="1"/>
  <c r="L33" i="1"/>
  <c r="R33" i="1" s="1"/>
  <c r="K33" i="1"/>
  <c r="I33" i="1"/>
  <c r="T33" i="1" s="1"/>
  <c r="L32" i="1"/>
  <c r="R32" i="1" s="1"/>
  <c r="K32" i="1"/>
  <c r="I32" i="1"/>
  <c r="T32" i="1" s="1"/>
  <c r="L31" i="1"/>
  <c r="R31" i="1" s="1"/>
  <c r="K31" i="1"/>
  <c r="I31" i="1"/>
  <c r="T31" i="1" s="1"/>
  <c r="L30" i="1"/>
  <c r="R30" i="1" s="1"/>
  <c r="K30" i="1"/>
  <c r="I30" i="1"/>
  <c r="T30" i="1" s="1"/>
  <c r="Q29" i="1"/>
  <c r="L29" i="1"/>
  <c r="R29" i="1" s="1"/>
  <c r="K29" i="1"/>
  <c r="I29" i="1"/>
  <c r="T29" i="1" s="1"/>
  <c r="L28" i="1"/>
  <c r="R28" i="1" s="1"/>
  <c r="I28" i="1"/>
  <c r="T28" i="1" s="1"/>
  <c r="L27" i="1"/>
  <c r="R27" i="1" s="1"/>
  <c r="K27" i="1"/>
  <c r="I27" i="1"/>
  <c r="T27" i="1" s="1"/>
  <c r="L26" i="1"/>
  <c r="R26" i="1" s="1"/>
  <c r="K26" i="1"/>
  <c r="I26" i="1"/>
  <c r="T26" i="1" s="1"/>
  <c r="L25" i="1"/>
  <c r="R25" i="1" s="1"/>
  <c r="K25" i="1"/>
  <c r="I25" i="1"/>
  <c r="T25" i="1" s="1"/>
  <c r="Q24" i="1"/>
  <c r="L24" i="1"/>
  <c r="R24" i="1" s="1"/>
  <c r="K24" i="1"/>
  <c r="I24" i="1"/>
  <c r="T24" i="1" s="1"/>
  <c r="Q23" i="1"/>
  <c r="L23" i="1"/>
  <c r="R23" i="1" s="1"/>
  <c r="K23" i="1"/>
  <c r="I23" i="1"/>
  <c r="T23" i="1" s="1"/>
  <c r="L22" i="1"/>
  <c r="R22" i="1" s="1"/>
  <c r="K22" i="1"/>
  <c r="I22" i="1"/>
  <c r="T22" i="1" s="1"/>
  <c r="L21" i="1"/>
  <c r="R21" i="1" s="1"/>
  <c r="K21" i="1"/>
  <c r="I21" i="1"/>
  <c r="T21" i="1" s="1"/>
  <c r="L20" i="1"/>
  <c r="R20" i="1" s="1"/>
  <c r="K20" i="1"/>
  <c r="I20" i="1"/>
  <c r="T20" i="1" s="1"/>
  <c r="L19" i="1"/>
  <c r="R19" i="1" s="1"/>
  <c r="K19" i="1"/>
  <c r="I19" i="1"/>
  <c r="T19" i="1" s="1"/>
  <c r="L18" i="1"/>
  <c r="R18" i="1" s="1"/>
  <c r="K18" i="1"/>
  <c r="I18" i="1"/>
  <c r="T18" i="1" s="1"/>
  <c r="AG17" i="1"/>
  <c r="V17" i="1" s="1"/>
  <c r="AF17" i="1"/>
  <c r="J17" i="1" s="1"/>
  <c r="AC17" i="1"/>
  <c r="AE17" i="1"/>
  <c r="L17" i="1"/>
  <c r="R17" i="1" s="1"/>
  <c r="K17" i="1"/>
  <c r="I17" i="1"/>
  <c r="T17" i="1" s="1"/>
  <c r="Q45" i="1" l="1"/>
  <c r="S45" i="1" s="1"/>
  <c r="Q17" i="1"/>
  <c r="S17" i="1" s="1"/>
  <c r="S86" i="1"/>
  <c r="S92" i="1"/>
  <c r="M109" i="1"/>
  <c r="N109" i="1" s="1"/>
  <c r="S39" i="1"/>
  <c r="S41" i="1"/>
  <c r="S47" i="1"/>
  <c r="S63" i="1"/>
  <c r="S96" i="1"/>
  <c r="S81" i="1"/>
  <c r="S94" i="1"/>
  <c r="S56" i="1"/>
  <c r="S51" i="1"/>
  <c r="S79" i="1"/>
  <c r="S93" i="1"/>
  <c r="S55" i="1"/>
  <c r="S74" i="1"/>
  <c r="S98" i="1"/>
  <c r="S23" i="1"/>
  <c r="S68" i="1"/>
  <c r="S102" i="1"/>
  <c r="S35" i="1"/>
  <c r="S29" i="1"/>
  <c r="S58" i="1"/>
  <c r="M108" i="1"/>
  <c r="N108" i="1" s="1"/>
  <c r="S99" i="1"/>
  <c r="S76" i="1"/>
  <c r="S36" i="1"/>
  <c r="M113" i="1"/>
  <c r="N113" i="1" s="1"/>
  <c r="S57" i="1"/>
  <c r="S42" i="1"/>
  <c r="S72" i="1"/>
  <c r="S69" i="1"/>
  <c r="S24" i="1"/>
  <c r="S110" i="1"/>
  <c r="S61" i="1"/>
  <c r="M110" i="1"/>
  <c r="N110" i="1" s="1"/>
  <c r="S114" i="1"/>
  <c r="S62" i="1"/>
  <c r="S80" i="1"/>
  <c r="S84" i="1"/>
  <c r="S108" i="1"/>
  <c r="S112" i="1"/>
  <c r="S87" i="1"/>
  <c r="S33" i="1"/>
  <c r="Q19" i="1"/>
  <c r="S19" i="1" s="1"/>
  <c r="Q28" i="1"/>
  <c r="S28" i="1" s="1"/>
  <c r="Q26" i="1"/>
  <c r="S26" i="1" s="1"/>
  <c r="Q20" i="1"/>
  <c r="S20" i="1" s="1"/>
  <c r="Q34" i="1"/>
  <c r="S34" i="1" s="1"/>
  <c r="Q38" i="1"/>
  <c r="S38" i="1" s="1"/>
  <c r="Q49" i="1"/>
  <c r="S49" i="1" s="1"/>
  <c r="R59" i="1"/>
  <c r="S59" i="1" s="1"/>
  <c r="Q21" i="1"/>
  <c r="S21" i="1" s="1"/>
  <c r="Q31" i="1"/>
  <c r="S31" i="1" s="1"/>
  <c r="R52" i="1"/>
  <c r="S52" i="1" s="1"/>
  <c r="Q25" i="1"/>
  <c r="S25" i="1" s="1"/>
  <c r="Q82" i="1"/>
  <c r="S82" i="1" s="1"/>
  <c r="Q43" i="1"/>
  <c r="S43" i="1" s="1"/>
  <c r="Q27" i="1"/>
  <c r="S27" i="1" s="1"/>
  <c r="Q18" i="1"/>
  <c r="S18" i="1" s="1"/>
  <c r="Q48" i="1"/>
  <c r="S48" i="1" s="1"/>
  <c r="Q37" i="1"/>
  <c r="S37" i="1" s="1"/>
  <c r="Q64" i="1"/>
  <c r="S64" i="1" s="1"/>
  <c r="Q22" i="1"/>
  <c r="S22" i="1" s="1"/>
  <c r="Q32" i="1"/>
  <c r="S32" i="1" s="1"/>
  <c r="Q60" i="1"/>
  <c r="S60" i="1" s="1"/>
  <c r="Q70" i="1"/>
  <c r="S70" i="1" s="1"/>
  <c r="Q30" i="1"/>
  <c r="S30" i="1" s="1"/>
  <c r="Q66" i="1"/>
  <c r="S66" i="1" s="1"/>
  <c r="Q46" i="1"/>
  <c r="S46" i="1" s="1"/>
  <c r="Q50" i="1"/>
  <c r="S50" i="1" s="1"/>
  <c r="Q54" i="1"/>
  <c r="S54" i="1" s="1"/>
  <c r="AB17" i="1"/>
  <c r="AD17" i="1" s="1"/>
  <c r="M45" i="1" s="1"/>
  <c r="Q40" i="1"/>
  <c r="S40" i="1" s="1"/>
  <c r="Q44" i="1"/>
  <c r="S44" i="1" s="1"/>
  <c r="Q53" i="1"/>
  <c r="S53" i="1" s="1"/>
  <c r="Q71" i="1"/>
  <c r="S71" i="1" s="1"/>
  <c r="Q104" i="1"/>
  <c r="S104" i="1" s="1"/>
  <c r="Q77" i="1"/>
  <c r="S77" i="1" s="1"/>
  <c r="S85" i="1"/>
  <c r="S103" i="1"/>
  <c r="Q100" i="1"/>
  <c r="S100" i="1" s="1"/>
  <c r="S109" i="1"/>
  <c r="Q83" i="1"/>
  <c r="S83" i="1" s="1"/>
  <c r="Q91" i="1"/>
  <c r="S91" i="1" s="1"/>
  <c r="Q101" i="1"/>
  <c r="S101" i="1" s="1"/>
  <c r="Q105" i="1"/>
  <c r="S105" i="1" s="1"/>
  <c r="S111" i="1"/>
  <c r="M112" i="1"/>
  <c r="N112" i="1" s="1"/>
  <c r="S113" i="1"/>
  <c r="S78" i="1"/>
  <c r="Q88" i="1"/>
  <c r="S88" i="1" s="1"/>
  <c r="Q107" i="1"/>
  <c r="S107" i="1" s="1"/>
  <c r="M114" i="1"/>
  <c r="N114" i="1" s="1"/>
  <c r="Q89" i="1"/>
  <c r="S89" i="1" s="1"/>
  <c r="S97" i="1"/>
  <c r="Q106" i="1"/>
  <c r="S106" i="1" s="1"/>
  <c r="S67" i="1"/>
  <c r="Q95" i="1"/>
  <c r="S95" i="1" s="1"/>
  <c r="S75" i="1"/>
  <c r="S90" i="1"/>
  <c r="Q65" i="1"/>
  <c r="S65" i="1" s="1"/>
  <c r="Q73" i="1"/>
  <c r="S73" i="1" s="1"/>
  <c r="M111" i="1"/>
  <c r="N111" i="1" s="1"/>
  <c r="M19" i="1" l="1"/>
  <c r="M43" i="1"/>
  <c r="N43" i="1" s="1"/>
  <c r="Y40" i="1"/>
  <c r="Y18" i="1"/>
  <c r="Z18" i="1" s="1"/>
  <c r="Y32" i="1"/>
  <c r="Z32" i="1" s="1"/>
  <c r="Y57" i="1"/>
  <c r="Z57" i="1" s="1"/>
  <c r="Y52" i="1"/>
  <c r="Z52" i="1" s="1"/>
  <c r="Y56" i="1"/>
  <c r="Z56" i="1" s="1"/>
  <c r="Y45" i="1"/>
  <c r="Z45" i="1" s="1"/>
  <c r="Y19" i="1"/>
  <c r="Y44" i="1"/>
  <c r="Z44" i="1" s="1"/>
  <c r="Y68" i="1"/>
  <c r="Z68" i="1" s="1"/>
  <c r="Y81" i="1"/>
  <c r="Z81" i="1" s="1"/>
  <c r="Y88" i="1"/>
  <c r="Z88" i="1" s="1"/>
  <c r="Y20" i="1"/>
  <c r="Z20" i="1" s="1"/>
  <c r="Y33" i="1"/>
  <c r="Z33" i="1" s="1"/>
  <c r="Y69" i="1"/>
  <c r="Z69" i="1" s="1"/>
  <c r="Y21" i="1"/>
  <c r="Z21" i="1" s="1"/>
  <c r="Y34" i="1"/>
  <c r="Y46" i="1"/>
  <c r="Z46" i="1" s="1"/>
  <c r="Y58" i="1"/>
  <c r="Z58" i="1" s="1"/>
  <c r="Y70" i="1"/>
  <c r="Z70" i="1" s="1"/>
  <c r="Y82" i="1"/>
  <c r="Z82" i="1" s="1"/>
  <c r="Y94" i="1"/>
  <c r="Z94" i="1" s="1"/>
  <c r="Y106" i="1"/>
  <c r="Z106" i="1" s="1"/>
  <c r="Y76" i="1"/>
  <c r="Z76" i="1" s="1"/>
  <c r="Y112" i="1"/>
  <c r="Z112" i="1" s="1"/>
  <c r="Y39" i="1"/>
  <c r="Z39" i="1" s="1"/>
  <c r="Y87" i="1"/>
  <c r="Z87" i="1" s="1"/>
  <c r="Y100" i="1"/>
  <c r="Z100" i="1" s="1"/>
  <c r="Y51" i="1"/>
  <c r="Z51" i="1" s="1"/>
  <c r="Y75" i="1"/>
  <c r="Z75" i="1" s="1"/>
  <c r="Y63" i="1"/>
  <c r="Z63" i="1" s="1"/>
  <c r="Y99" i="1"/>
  <c r="Z99" i="1" s="1"/>
  <c r="Y27" i="1"/>
  <c r="Z27" i="1" s="1"/>
  <c r="Y64" i="1"/>
  <c r="Z64" i="1" s="1"/>
  <c r="Y107" i="1"/>
  <c r="Z107" i="1" s="1"/>
  <c r="Y31" i="1"/>
  <c r="Z31" i="1" s="1"/>
  <c r="Y105" i="1"/>
  <c r="Z105" i="1" s="1"/>
  <c r="Y77" i="1"/>
  <c r="Z77" i="1" s="1"/>
  <c r="Y37" i="1"/>
  <c r="Z37" i="1" s="1"/>
  <c r="Y65" i="1"/>
  <c r="Z65" i="1" s="1"/>
  <c r="Y71" i="1"/>
  <c r="Z71" i="1" s="1"/>
  <c r="Y80" i="1"/>
  <c r="Z80" i="1" s="1"/>
  <c r="Y115" i="1"/>
  <c r="Y43" i="1"/>
  <c r="Z43" i="1" s="1"/>
  <c r="Y93" i="1"/>
  <c r="Z93" i="1" s="1"/>
  <c r="Y53" i="1"/>
  <c r="Z53" i="1" s="1"/>
  <c r="Y108" i="1"/>
  <c r="Z108" i="1" s="1"/>
  <c r="Y110" i="1"/>
  <c r="Z110" i="1" s="1"/>
  <c r="Y74" i="1"/>
  <c r="Z74" i="1" s="1"/>
  <c r="Y55" i="1"/>
  <c r="Z55" i="1" s="1"/>
  <c r="Y41" i="1"/>
  <c r="Y96" i="1"/>
  <c r="Z96" i="1" s="1"/>
  <c r="Y114" i="1"/>
  <c r="Z114" i="1" s="1"/>
  <c r="Y67" i="1"/>
  <c r="Z67" i="1" s="1"/>
  <c r="Y35" i="1"/>
  <c r="Z35" i="1" s="1"/>
  <c r="Y28" i="1"/>
  <c r="Z28" i="1" s="1"/>
  <c r="Y84" i="1"/>
  <c r="Z84" i="1" s="1"/>
  <c r="Y102" i="1"/>
  <c r="Z102" i="1" s="1"/>
  <c r="Y104" i="1"/>
  <c r="Z104" i="1" s="1"/>
  <c r="Y62" i="1"/>
  <c r="Z62" i="1" s="1"/>
  <c r="Y91" i="1"/>
  <c r="Z91" i="1" s="1"/>
  <c r="Y26" i="1"/>
  <c r="Z26" i="1" s="1"/>
  <c r="Y72" i="1"/>
  <c r="Z72" i="1" s="1"/>
  <c r="Y90" i="1"/>
  <c r="Z90" i="1" s="1"/>
  <c r="Y85" i="1"/>
  <c r="Z85" i="1" s="1"/>
  <c r="Y54" i="1"/>
  <c r="Z54" i="1" s="1"/>
  <c r="Y22" i="1"/>
  <c r="Y25" i="1"/>
  <c r="Z25" i="1" s="1"/>
  <c r="Y103" i="1"/>
  <c r="Z103" i="1" s="1"/>
  <c r="Y109" i="1"/>
  <c r="Z109" i="1" s="1"/>
  <c r="Y60" i="1"/>
  <c r="Z60" i="1" s="1"/>
  <c r="Y78" i="1"/>
  <c r="Z78" i="1" s="1"/>
  <c r="Y42" i="1"/>
  <c r="Z42" i="1" s="1"/>
  <c r="Y98" i="1"/>
  <c r="Z98" i="1" s="1"/>
  <c r="Y50" i="1"/>
  <c r="Z50" i="1" s="1"/>
  <c r="Y83" i="1"/>
  <c r="Z83" i="1" s="1"/>
  <c r="Y47" i="1"/>
  <c r="Z47" i="1" s="1"/>
  <c r="Y97" i="1"/>
  <c r="Z97" i="1" s="1"/>
  <c r="Y48" i="1"/>
  <c r="Z48" i="1" s="1"/>
  <c r="Y66" i="1"/>
  <c r="Z66" i="1" s="1"/>
  <c r="Y95" i="1"/>
  <c r="Z95" i="1" s="1"/>
  <c r="Y59" i="1"/>
  <c r="Z59" i="1" s="1"/>
  <c r="Y36" i="1"/>
  <c r="Z36" i="1" s="1"/>
  <c r="Y92" i="1"/>
  <c r="Z92" i="1" s="1"/>
  <c r="Y38" i="1"/>
  <c r="Z38" i="1" s="1"/>
  <c r="Y79" i="1"/>
  <c r="Z79" i="1" s="1"/>
  <c r="Y113" i="1"/>
  <c r="Z113" i="1" s="1"/>
  <c r="Y73" i="1"/>
  <c r="Z73" i="1" s="1"/>
  <c r="Y23" i="1"/>
  <c r="Z23" i="1" s="1"/>
  <c r="Y29" i="1"/>
  <c r="Z29" i="1" s="1"/>
  <c r="Y101" i="1"/>
  <c r="Z101" i="1" s="1"/>
  <c r="Y61" i="1"/>
  <c r="Z61" i="1" s="1"/>
  <c r="Y30" i="1"/>
  <c r="Z30" i="1" s="1"/>
  <c r="Y86" i="1"/>
  <c r="Z86" i="1" s="1"/>
  <c r="Y111" i="1"/>
  <c r="Y89" i="1"/>
  <c r="Z89" i="1" s="1"/>
  <c r="Y49" i="1"/>
  <c r="Z49" i="1" s="1"/>
  <c r="Y24" i="1"/>
  <c r="Z24" i="1" s="1"/>
  <c r="N45" i="1"/>
  <c r="M55" i="1"/>
  <c r="M86" i="1"/>
  <c r="M85" i="1"/>
  <c r="M44" i="1"/>
  <c r="N44" i="1" s="1"/>
  <c r="M26" i="1"/>
  <c r="M102" i="1"/>
  <c r="M67" i="1"/>
  <c r="M95" i="1"/>
  <c r="M107" i="1"/>
  <c r="N107" i="1" s="1"/>
  <c r="M61" i="1"/>
  <c r="M65" i="1"/>
  <c r="M92" i="1"/>
  <c r="M70" i="1"/>
  <c r="M53" i="1"/>
  <c r="M105" i="1"/>
  <c r="N105" i="1" s="1"/>
  <c r="M62" i="1"/>
  <c r="M97" i="1"/>
  <c r="M98" i="1"/>
  <c r="M99" i="1"/>
  <c r="M81" i="1"/>
  <c r="M32" i="1"/>
  <c r="Y17" i="1"/>
  <c r="Z17" i="1" s="1"/>
  <c r="M33" i="1"/>
  <c r="M80" i="1"/>
  <c r="M77" i="1"/>
  <c r="M71" i="1"/>
  <c r="M50" i="1"/>
  <c r="M42" i="1"/>
  <c r="N42" i="1" s="1"/>
  <c r="M57" i="1"/>
  <c r="M73" i="1"/>
  <c r="M89" i="1"/>
  <c r="M40" i="1"/>
  <c r="M60" i="1"/>
  <c r="M22" i="1"/>
  <c r="M24" i="1"/>
  <c r="N24" i="1" s="1"/>
  <c r="M104" i="1"/>
  <c r="M46" i="1"/>
  <c r="M59" i="1"/>
  <c r="M20" i="1"/>
  <c r="M106" i="1"/>
  <c r="N106" i="1" s="1"/>
  <c r="M69" i="1"/>
  <c r="M83" i="1"/>
  <c r="M25" i="1"/>
  <c r="M30" i="1"/>
  <c r="N30" i="1" s="1"/>
  <c r="M49" i="1"/>
  <c r="M87" i="1"/>
  <c r="M68" i="1"/>
  <c r="M78" i="1"/>
  <c r="M75" i="1"/>
  <c r="M72" i="1"/>
  <c r="M58" i="1"/>
  <c r="M96" i="1"/>
  <c r="M93" i="1"/>
  <c r="M29" i="1"/>
  <c r="N29" i="1" s="1"/>
  <c r="M23" i="1"/>
  <c r="M35" i="1"/>
  <c r="M41" i="1"/>
  <c r="M74" i="1"/>
  <c r="M47" i="1"/>
  <c r="M17" i="1"/>
  <c r="N17" i="1" s="1"/>
  <c r="M31" i="1"/>
  <c r="M88" i="1"/>
  <c r="M38" i="1"/>
  <c r="M18" i="1"/>
  <c r="N18" i="1" s="1"/>
  <c r="M51" i="1"/>
  <c r="M37" i="1"/>
  <c r="N37" i="1" s="1"/>
  <c r="M27" i="1"/>
  <c r="M84" i="1"/>
  <c r="M101" i="1"/>
  <c r="M90" i="1"/>
  <c r="M76" i="1"/>
  <c r="M91" i="1"/>
  <c r="M21" i="1"/>
  <c r="N21" i="1" s="1"/>
  <c r="M28" i="1"/>
  <c r="N28" i="1" s="1"/>
  <c r="M34" i="1"/>
  <c r="M79" i="1"/>
  <c r="M94" i="1"/>
  <c r="M100" i="1"/>
  <c r="M54" i="1"/>
  <c r="M64" i="1"/>
  <c r="M82" i="1"/>
  <c r="M56" i="1"/>
  <c r="M48" i="1"/>
  <c r="M63" i="1"/>
  <c r="M66" i="1"/>
  <c r="M103" i="1"/>
  <c r="M39" i="1"/>
  <c r="N39" i="1" s="1"/>
  <c r="M36" i="1"/>
  <c r="M52" i="1"/>
  <c r="N19" i="1" l="1"/>
  <c r="N20" i="1"/>
  <c r="N27" i="1"/>
  <c r="N98" i="1"/>
  <c r="N93" i="1"/>
  <c r="N79" i="1"/>
  <c r="N62" i="1"/>
  <c r="N34" i="1"/>
  <c r="N58" i="1"/>
  <c r="N50" i="1"/>
  <c r="N63" i="1"/>
  <c r="N31" i="1"/>
  <c r="N75" i="1"/>
  <c r="N46" i="1"/>
  <c r="N77" i="1"/>
  <c r="N70" i="1"/>
  <c r="N55" i="1"/>
  <c r="N25" i="1"/>
  <c r="N36" i="1"/>
  <c r="N104" i="1"/>
  <c r="N48" i="1"/>
  <c r="N33" i="1"/>
  <c r="N83" i="1"/>
  <c r="N91" i="1"/>
  <c r="N92" i="1"/>
  <c r="N68" i="1"/>
  <c r="N65" i="1"/>
  <c r="N74" i="1"/>
  <c r="N61" i="1"/>
  <c r="N52" i="1"/>
  <c r="N78" i="1"/>
  <c r="N76" i="1"/>
  <c r="N56" i="1"/>
  <c r="N87" i="1"/>
  <c r="N101" i="1"/>
  <c r="N49" i="1"/>
  <c r="N89" i="1"/>
  <c r="N80" i="1"/>
  <c r="N47" i="1"/>
  <c r="N90" i="1"/>
  <c r="N82" i="1"/>
  <c r="N41" i="1"/>
  <c r="N60" i="1"/>
  <c r="N32" i="1"/>
  <c r="N64" i="1"/>
  <c r="N84" i="1"/>
  <c r="N35" i="1"/>
  <c r="N40" i="1"/>
  <c r="N81" i="1"/>
  <c r="N95" i="1"/>
  <c r="N99" i="1"/>
  <c r="N67" i="1"/>
  <c r="N102" i="1"/>
  <c r="N97" i="1"/>
  <c r="N54" i="1"/>
  <c r="N100" i="1"/>
  <c r="N94" i="1"/>
  <c r="N57" i="1"/>
  <c r="N23" i="1"/>
  <c r="N73" i="1"/>
  <c r="N69" i="1"/>
  <c r="N96" i="1"/>
  <c r="N38" i="1"/>
  <c r="N51" i="1"/>
  <c r="N26" i="1"/>
  <c r="N103" i="1"/>
  <c r="N85" i="1"/>
  <c r="N66" i="1"/>
  <c r="N88" i="1"/>
  <c r="N72" i="1"/>
  <c r="N59" i="1"/>
  <c r="N71" i="1"/>
  <c r="N53" i="1"/>
  <c r="N86" i="1"/>
  <c r="Z41" i="1"/>
  <c r="Z34" i="1"/>
  <c r="N22" i="1"/>
  <c r="A1" i="1"/>
  <c r="Z19" i="1"/>
  <c r="Z40" i="1"/>
  <c r="Z115" i="1"/>
  <c r="Z111" i="1"/>
  <c r="Z22" i="1"/>
</calcChain>
</file>

<file path=xl/sharedStrings.xml><?xml version="1.0" encoding="utf-8"?>
<sst xmlns="http://schemas.openxmlformats.org/spreadsheetml/2006/main" count="915" uniqueCount="322">
  <si>
    <t>Description</t>
  </si>
  <si>
    <t>Quantity</t>
  </si>
  <si>
    <t>Matching Part on BOM 2</t>
  </si>
  <si>
    <t>HIDDEN CALCUALTORS - BOM 1</t>
  </si>
  <si>
    <t>Matching Part on BOM 1</t>
  </si>
  <si>
    <t>HIDDEN CALCUALTORS - BOM 2</t>
  </si>
  <si>
    <t>Part Number</t>
  </si>
  <si>
    <t>Location</t>
  </si>
  <si>
    <t>PASTE BOM 1 INFO BELOW</t>
  </si>
  <si>
    <t>CPN</t>
  </si>
  <si>
    <t>PASTE BOM 2 INFO BELOW</t>
  </si>
  <si>
    <t xml:space="preserve">                                          </t>
  </si>
  <si>
    <t>ITEM
NO.</t>
  </si>
  <si>
    <t>PART NAME</t>
  </si>
  <si>
    <t>PART NUMBER</t>
  </si>
  <si>
    <t>QTY</t>
  </si>
  <si>
    <t>PLANNING
OR
REQ</t>
  </si>
  <si>
    <t>STOCKROOM
LOCATION</t>
  </si>
  <si>
    <t>MAKE FROM</t>
  </si>
  <si>
    <t>MAKE FROM
QTY</t>
  </si>
  <si>
    <t>PART:</t>
  </si>
  <si>
    <t>DESCRIPTION:</t>
  </si>
  <si>
    <t>THINGS TO ADD</t>
  </si>
  <si>
    <t>NEED TO CLEAN UP CODE, ONE MODULE FOR RESETING LOCATION. CLEAN UP BOM PRINTER AND BOM COMPARISON</t>
  </si>
  <si>
    <t>UPDATES</t>
  </si>
  <si>
    <t>For assisstance or questions please contact marc.monnette@parker.com</t>
  </si>
  <si>
    <t>Navigation</t>
  </si>
  <si>
    <t>Line</t>
  </si>
  <si>
    <t>screen 6a screen against orders log - ask tod williams where the data warehouse is for the order log</t>
  </si>
  <si>
    <t xml:space="preserve">         Cylinder and Accumulator Division: Order Face Printer (WIP)</t>
  </si>
  <si>
    <t>Cylinder and Accumulator Division: BOM Checker</t>
  </si>
  <si>
    <t>Key Search Terms</t>
  </si>
  <si>
    <t>HEAD:</t>
  </si>
  <si>
    <t>CAP:</t>
  </si>
  <si>
    <t>PLUGS:</t>
  </si>
  <si>
    <t>GLAND:</t>
  </si>
  <si>
    <t>NEEDLE VALVE:</t>
  </si>
  <si>
    <t>STOP TUBE:</t>
  </si>
  <si>
    <t>CYLINDER BODY:</t>
  </si>
  <si>
    <t>TIE RODS:</t>
  </si>
  <si>
    <t>PISTON ROD:</t>
  </si>
  <si>
    <t>RETAINER:</t>
  </si>
  <si>
    <t>*PLUG*</t>
  </si>
  <si>
    <t>*PLUGS*</t>
  </si>
  <si>
    <t>*COVER*</t>
  </si>
  <si>
    <t>*GLAND*</t>
  </si>
  <si>
    <t>*GLD*</t>
  </si>
  <si>
    <t>*NDL*</t>
  </si>
  <si>
    <t>*NDL VALVE*</t>
  </si>
  <si>
    <t>*NEEDLE*</t>
  </si>
  <si>
    <t>*RETAINER*</t>
  </si>
  <si>
    <t>*NEEDLE VALVE*</t>
  </si>
  <si>
    <t>*TIE RODS*</t>
  </si>
  <si>
    <t>*PISTON ROD*</t>
  </si>
  <si>
    <t>*STOP TUBE*</t>
  </si>
  <si>
    <t>*CYL BODY*</t>
  </si>
  <si>
    <t>*TIE ROD*</t>
  </si>
  <si>
    <t>*PR1*</t>
  </si>
  <si>
    <t>*RD*</t>
  </si>
  <si>
    <t>*RTNR*</t>
  </si>
  <si>
    <t>WEARBAND:</t>
  </si>
  <si>
    <t>*WEARBAND*</t>
  </si>
  <si>
    <t>HEX NUT:</t>
  </si>
  <si>
    <t>*HEX NUT*</t>
  </si>
  <si>
    <t>PISTON:</t>
  </si>
  <si>
    <t>HEAD*</t>
  </si>
  <si>
    <t>❌</t>
  </si>
  <si>
    <t>CAP*</t>
  </si>
  <si>
    <t>✔</t>
  </si>
  <si>
    <t>*CYL.BODY*</t>
  </si>
  <si>
    <t>*-HD*</t>
  </si>
  <si>
    <t>*-CP*</t>
  </si>
  <si>
    <t>COVER:</t>
  </si>
  <si>
    <t>*PORT PROTECTOR*</t>
  </si>
  <si>
    <t>PISTON UNIV*</t>
  </si>
  <si>
    <t>WASHER:</t>
  </si>
  <si>
    <t>*WASHER*</t>
  </si>
  <si>
    <t>*WSHR*</t>
  </si>
  <si>
    <t>*WEAR RING*</t>
  </si>
  <si>
    <t>*WEAR *</t>
  </si>
  <si>
    <t>*GL-ASSY*</t>
  </si>
  <si>
    <t>FLANGE:</t>
  </si>
  <si>
    <t>*FLANGE*</t>
  </si>
  <si>
    <t>*FLNG*</t>
  </si>
  <si>
    <t>HEAD AND CAP PORTING</t>
  </si>
  <si>
    <t>03 - ISO-6149-1 Port and Needle Valve</t>
  </si>
  <si>
    <t>04 - Oversize BSPT, One Size Over Per Linesheet Page 153A</t>
  </si>
  <si>
    <t>05 - SAE Port, Inch Straight Thread Port per Drawing 0693640000</t>
  </si>
  <si>
    <t>06 - Oversize Metric Port, One Size Over ES-088</t>
  </si>
  <si>
    <t>08 - Limit Switch, Threaded GO Switch Machining, end of stroke</t>
  </si>
  <si>
    <t>0C - Check Valve</t>
  </si>
  <si>
    <t>0G - Metric Port Per ES-088 (except for HMI, AHM, MHP &amp; SHM Cylinders)</t>
  </si>
  <si>
    <t>0L - Undersize SAE Port, One Size Under</t>
  </si>
  <si>
    <t>0Q - Undersize SAE Port, Two Sizes Under</t>
  </si>
  <si>
    <t>0V - Limit Switch</t>
  </si>
  <si>
    <t>0A - Needle and Check Valve (Do not use for new designs of cartridge needle vavles)</t>
  </si>
  <si>
    <t>00 - Nothing, Blank</t>
  </si>
  <si>
    <t>01 - NPTF Port, Dryseal USA Standard Taper Pipe Thread</t>
  </si>
  <si>
    <t>0Y - ISO-6149-1 Metric Straight Thread Port per Drawing 146928</t>
  </si>
  <si>
    <t>1A- * 1/16 NPTF Port machined into standard port position. Only to be used on Non-cushioned heads and caps. See ES-029.</t>
  </si>
  <si>
    <t>1B- * 1/8 NPTF Port machined into standard port position. Only to be used on Non-cushioned heads and caps. See ES-029.</t>
  </si>
  <si>
    <t>1J - * 1.50 NPTF Port machined into standard port position. Only to be used on Non-Cushioned heads and caps and on bore sizes where the 1.50 NPTF port or larger is the standard port size. See ES-029</t>
  </si>
  <si>
    <t>1C - * ¼ NPTF Port machined into standard port position. Only to be used on Non-cushioned heads and caps. See ES-029.</t>
  </si>
  <si>
    <t>1D - * 3/8 NPTF Port machined into standard port position. Only to be used on Non-cushioned heads and caps. See ES-029.</t>
  </si>
  <si>
    <t>1E - * ½ NPTF Port machined into standard port position. Only to be used on Non-cushioned heads and caps. See ES-029. where 1/2 NPTF port size or larger is the standard port size. See ES-029</t>
  </si>
  <si>
    <t>1F - * ¾ NPTF Port machined into standard port position. Only to be used on Non-Cushioned heads and caps and on bore sizes where the ¾ NPTF port size or larger is the standard port size. See ES-029</t>
  </si>
  <si>
    <t>1G - * 1 inch NPTF Port machined into standard port position. Only to be used on Non-Cushioned heads and caps and on bore sizes where the 1 Inch size or larger is the standard port size. See ES-029 NPTF port</t>
  </si>
  <si>
    <t>1H - * 1.25 NPTF Port machined into standard port position. Only to be use on Non-cushioned heads and caps and on bore sizes where the 1.25 NPTF port or larger is the standard port size. See ES-029</t>
  </si>
  <si>
    <t>1K - * 2.00 NPTF Port machined into standard port position. Only to be used on Non-Cushioned heads and caps and on bore sizes where 2.00 NPTF port size or larger is the standard port size. See drawing ES-029</t>
  </si>
  <si>
    <t>1N - NPTF Port and Needle Valve Same Position</t>
  </si>
  <si>
    <t>1L - * 2.50 NPTF Port machined into standard port position. Only to be used on Non-Cushioned heads and caps and on bore sizes where the 2.50 NPTF port size or larger is the standard port size. See ES-029</t>
  </si>
  <si>
    <t>1M - * 3.00 NPTF Port machined into standard port position. Only to be used on Non-Cushioned heads and caps and on bore sizes where the 3.00 NPTF port size or larger is the standard port size. See ES-029. 010100</t>
  </si>
  <si>
    <t>AS - * #5 SAE Port 2A/3L, 1.50 Inch Bore Caps and Code 2 Heads</t>
  </si>
  <si>
    <t>AC - Cartridge needle valve and Check valve in same position</t>
  </si>
  <si>
    <t>SN - SAE Port, Inch Straight Thread Port &amp; Needle Valve same position Per Drawings 0896340000 thru 0896390000</t>
  </si>
  <si>
    <t>7N - Undersize BSPP Port One Size Under and Needle Valve Per Drawings 0965490000 thru 0965540000</t>
  </si>
  <si>
    <t>9N - Undersize BSPT Port One Size Under and Needle Valve Per Drawings 0965490000 thru 0965540000</t>
  </si>
  <si>
    <t>A2 - * #2 SAE Port machined into standard port position. Only to be used on Non-Cushioned heads and caps. See drawing 0693640000</t>
  </si>
  <si>
    <t>A3 - * #3 SAE Port machined into standard port position. Only to be used on Non-cushioned heads and caps. See drawing 0693640000</t>
  </si>
  <si>
    <t>A6 - * #6 SAE Port machined into standard port position. Only to be used on Non-Cushioned heads and caps. See drawing 0693640000</t>
  </si>
  <si>
    <t>A4 - * #4 SAE Port machined into standard port position. Only to be used on Non-Cushioned heads and caps. See drawing 0693640000</t>
  </si>
  <si>
    <t>A8 - * #8 SAE Port machined into standard port position. Only to be used on Non-Cushioned heads and caps and on bore sizes where #8 SAE port size or larger is the standard port size. See drawing 0693640000</t>
  </si>
  <si>
    <t>AA - * #10 SAE Port machined into standard port position. Only to be used on Non-Cushioned heads and caps and on bore sizes where the #10 SAE port size or larger is the standard port size. See drawing 0693640000</t>
  </si>
  <si>
    <t>AB - * #12 SAE Port machined into standard port position. Only to be used on Non-Cushioned heads and caps and on bore sizes where the #12 SAE port size or larger is the standard port size. See drawing 0693640000</t>
  </si>
  <si>
    <t>AD - * #16 SAE Port machined into standard port position. Only to be used on Non-cushioned heads and caps and on bore sizes where the #16 SAE port size or larger is the standard port size. See drawing 0693640000</t>
  </si>
  <si>
    <t>AE - * #20 SAE Port machined into standard port position. Only to be used on Non-cushioned heads and caps and on bore sizes where the #20 SAE port size or larger is the standard port size. See drawing 0693640000</t>
  </si>
  <si>
    <t>AF - * #24 SAE Port machined into standard port position. Only to be used on Non-cushioned heads and caps and on bore sizes where the #24 SAE port size or larger is the standard port size. See drawing 0693640000</t>
  </si>
  <si>
    <t>BD - Bolt-on-Manifold port machining Group D 0871290000</t>
  </si>
  <si>
    <t>BF - Bolt-on-Manifold port machining Group F (MOOG 72) 0871350000</t>
  </si>
  <si>
    <t>BG - Bolt-on-Manifold port machining Group G (D03) 0871300000</t>
  </si>
  <si>
    <t>BH - Bolt-on-Manifold port machining Group H (D05) 0871310000</t>
  </si>
  <si>
    <t>BJ - Bolt-on-Manifold port machining Group J (D06) 0871320000</t>
  </si>
  <si>
    <t>BK - Bolt-on-Manifold port machining Group K (D07) 0871330000</t>
  </si>
  <si>
    <t>BM - Bolt-on-Manifold port machining Group M (D08) 0871340000</t>
  </si>
  <si>
    <t>BP - Bolt-on-Manifold port machining Series HAS 0988890000</t>
  </si>
  <si>
    <t>CN - Needle valve with retainer plate per drawing SKB 163998</t>
  </si>
  <si>
    <t>E8 - Limit Switch Machining for EW Series Cylinder, Threaded Go-Switch Style</t>
  </si>
  <si>
    <t>FA - * Flange port Code 62 High Pressure size #8 per Drawing 1466130000</t>
  </si>
  <si>
    <t>FB - * Flange port Code 62 High Pressure size #12 per Drawing 1466130000</t>
  </si>
  <si>
    <t>FC- * Flange port Code 62 High Pressure size #16 per Drawing 1466130000</t>
  </si>
  <si>
    <t>BN - BSPT, British Standard Tapered Port and Needle Valve Per Drawings 0965430000 thru 0965480000</t>
  </si>
  <si>
    <t>BW - Limit Switch, CLS 1 &amp;4, non-milled face, end of stroke. See Table 4.1 for switch drawings.</t>
  </si>
  <si>
    <t>CA - Check and needle both with retainer plate on same face per drawing SKB163998</t>
  </si>
  <si>
    <t>CB - Counterbore for Tie Rod Nut per line sheet page 566 (See Section 2.3 for using code in part number)</t>
  </si>
  <si>
    <t>CD - Counterbore for Allen Nuts per line sheet page 566 (see Section 2.3 for using code in part number)</t>
  </si>
  <si>
    <t>CF - Fixed Cushion, non-adjustable, hydraulic only (no needle valve, cross drill to port same diameter as std. cushioning)</t>
  </si>
  <si>
    <t>CR - Needle and Check valve both with retainer plate on same face per Drawing SKB 163998</t>
  </si>
  <si>
    <t>DW- Limit Switch, CLS 1&amp;4, non-milled face, Stroke to Go. See Table 4.1 for switch drawings.</t>
  </si>
  <si>
    <t>EC - Drill out Threaded Tie Rod Hole and C'Bore for Tie Rod Nuts, (See Section 2.3 for placing code in part number)</t>
  </si>
  <si>
    <t>ED - Drill Out Threaded Tie Rod Holes (See Section 2.3 for placing code in part number)</t>
  </si>
  <si>
    <t>ET - Elongate Tie Rod Holes Linesheet 2A &amp; 3L Page 185 (See Section 2.3 for placing code in part number)</t>
  </si>
  <si>
    <t>EW - Limit Switch, EW Series Cylinder, Euchner Type Switches per Drawing 142932 and 145933</t>
  </si>
  <si>
    <t>FD - * Flange port Code 62 High Pressure size #20 per Drawing 1466130000</t>
  </si>
  <si>
    <t>FE-* Flange port Code 62 High Pressure size #24 per Drawing 1466130000</t>
  </si>
  <si>
    <t>FF - * Flange port Code 62 High Pressure size #32 per Drawing 1466130000</t>
  </si>
  <si>
    <t>G1 - Gland Drain and NPTF Port</t>
  </si>
  <si>
    <t>GA - Gland Drain, Cartridge Needle Valve, and Check Valve</t>
  </si>
  <si>
    <t>GB - Gland Drain and BSPT Port</t>
  </si>
  <si>
    <t>GC - Gland Drain and Cartridge Needle Valve</t>
  </si>
  <si>
    <t>GD - Gland Drain per PAGE 155</t>
  </si>
  <si>
    <t>GM - Gland Drain and Metric Port Per ES-088 For HMI, AHM, SHM, MHP</t>
  </si>
  <si>
    <t>GR - Gland Drain and BSPP Port</t>
  </si>
  <si>
    <t>GY - Gland Drain and ISO-6149-1 Port</t>
  </si>
  <si>
    <t>HB - Port machining for Sun Valve Body YVY, ZTN, ZTC, and ZTD SKA164590</t>
  </si>
  <si>
    <t>HC - Port machining for Sun Valve Body YVV, ZTF, ZTG and ZTH SKA164665</t>
  </si>
  <si>
    <t>FW - Limit Switch, EPS mod for bolt on type other than CLS-1&amp;4 and EPS-6&amp;7, non-milled face, end of stroke. See Table 4.1 for switch drawings.</t>
  </si>
  <si>
    <t>GF - Grind face of head or cap parallel to cylinder body groove within .002 inch. (See Sect 2.3 for placing code in part number)</t>
  </si>
  <si>
    <t>GN - Gland Drain and Needle Valve (do not use for new design of cartridge needle valve)</t>
  </si>
  <si>
    <t>HA - Port machining for Sun Valve Body YVQ, YVS, ZT J, ZTK, ZTL and ZTM SKA164912</t>
  </si>
  <si>
    <t>HD - Port machining for Sun Valve Body WJB, WJC, WJD, VZN, VZO and VZP SKA165534</t>
  </si>
  <si>
    <t>JN - Undersize NPTF, One Size Under, Port and Needle Valve Per Drawings 0965370000 thru 0965420000</t>
  </si>
  <si>
    <t>LE - Welded Lifting eye in position A per Drawing 133434 (6" bore and under) and 133435 (above 6" bore). (See Section 2.3 for placing code in part number)</t>
  </si>
  <si>
    <t>LL - Welded Lifting eye in position B per Drawing 133434 (6" bore and under) and 133435 (above 6" bore). (See Section 2.3 for placing code in part number)</t>
  </si>
  <si>
    <t>LN - Undersize SAE Port, One Size Under and Needle Valve Per Drawings 0965370000 thru 0965420000</t>
  </si>
  <si>
    <t>LT - LDT Linear Displacement Transducer Machining Per 0860130000, 0860140000, 0860160000, 0860170000, 0860180000, 0860190000, 0860210000, and 0860220000, 0975070000 Gen II and 0974970000 Gen II (See Section 2.3 for how to place code in part number, 9 &amp; 10 digit)</t>
  </si>
  <si>
    <t>LR - LRT Linear Resistance Transducer Per 1490020000 thru 1490100000 (Used for connector position on cap)</t>
  </si>
  <si>
    <t>GG - Gland Drain and Metric Port Per ES-088 Except for HMI, AHM, SHM, MHP</t>
  </si>
  <si>
    <t>GW - Limit Switch, Bolt on type other than CLS-1&amp;4 and EPS-6&amp;7, non-milled face, Stroke to Go (See Table 4.1 - - Drawing Numbers For Heads and Caps Machined for Switches)</t>
  </si>
  <si>
    <t>ML - Milled face 1 inch bore 2A/3L Head</t>
  </si>
  <si>
    <t>NA - (Replaced by code BA) Bolt-on-Manifold port machining Group A</t>
  </si>
  <si>
    <t>NB - (Replaced by code BD)Bolt-on-Manifold port machining Group D</t>
  </si>
  <si>
    <t>NC - (Replaced by code BG)Bolt-on-Manifold port machining Group G (D03)</t>
  </si>
  <si>
    <t>ND - (Replaced by code BH)Bolt-on-Manifold port machining Group H (DOS)</t>
  </si>
  <si>
    <t>NE - (Replaced by code BJ)Bolt-on-Manifold port machining Group J (D06)</t>
  </si>
  <si>
    <t>NF - (Replaced by code BK)Bolt-on-Manifold port machining Group K (D07)</t>
  </si>
  <si>
    <t>NG - (Replaced by code BM)Bolt-on-Manifold port machining Group M (D08)</t>
  </si>
  <si>
    <t>NH - (Replaced by code BF)Bolt-on-Manifold port machining Group F (MOOG 72)</t>
  </si>
  <si>
    <t>NR - Cartridge Needle valve per drawings, 0975450000 thru 0975480000</t>
  </si>
  <si>
    <t>PA - * Flange port code 61 size #8 per Drawing 1408100000</t>
  </si>
  <si>
    <t>PB-* Flange port code 61 size #12 per Drawing 1408100000</t>
  </si>
  <si>
    <t>PC-* Flange port code 61 size #16 per Drawing 1408100000</t>
  </si>
  <si>
    <t>PD - * Flange port code 61 size #20 per Drawing 1408100000</t>
  </si>
  <si>
    <t>PE-* Flange port code 61 size #24 per Drawing 1408100000</t>
  </si>
  <si>
    <t>PF - * Flange port code 61 size #32 per Drawing 1408100000</t>
  </si>
  <si>
    <t>PG - * Flange port code 61 size #40 per Drawing 1408100000</t>
  </si>
  <si>
    <t>PH - * Flange port code 61 size #48 per Drawing 1408100000</t>
  </si>
  <si>
    <t>PJ- * Flange port code 61 size #56 per Drawing 1408100000</t>
  </si>
  <si>
    <t>QN - Undersize SAE Port, Two Sizes Under and Needle Valve</t>
  </si>
  <si>
    <t>SB - Undersize BSPT Port Two Sizes Under Per ES-087</t>
  </si>
  <si>
    <t>SN - Undersize NPTF, Two Sizes Under and Needle Valve</t>
  </si>
  <si>
    <t>SR - Undersize BSPP Port Two Sizes Under Per ES-089</t>
  </si>
  <si>
    <t>TG - Undersize Metric Port Two Sizes Under Per ES-088</t>
  </si>
  <si>
    <t>TN - Undersize BSPT Port, Two Sizes Under and Needle Valve</t>
  </si>
  <si>
    <t>TY - Undersize ISO-6149-1 Port, Two Sizes Under Per Drawing 146928</t>
  </si>
  <si>
    <t>UG - Undersize Metric Port One Size Under Per ES-088</t>
  </si>
  <si>
    <t>UN - Undersize BSPP Port Two Sizes Under and Needle Valve</t>
  </si>
  <si>
    <t>UY - Undersize ISO-6149-1 Port One Size Under Per Drawing 146928</t>
  </si>
  <si>
    <t>V3 - #4 SAE Bleed Port Per Drawing 0855800000</t>
  </si>
  <si>
    <t>V4 - 1/8 NPTF Bleed Ports for HMI per Drawing 0978750000</t>
  </si>
  <si>
    <t>VS - (Reserved For New Bleed Fitting Design)</t>
  </si>
  <si>
    <t>V6 - Metric Air bleed per drawing HM1058</t>
  </si>
  <si>
    <t>V7 - #2 SAE Bleed port</t>
  </si>
  <si>
    <t>W4 - Oversize BSPT Welded Port Spud, One Size Over PAGE 153A</t>
  </si>
  <si>
    <t>WH - Oversize NPTF Welded Port Spud, One Size Over PAGE 153 and PAGE 160</t>
  </si>
  <si>
    <t>WP - Slide-thru Welded Port Spud Series HAS 0988880000</t>
  </si>
  <si>
    <t>WX - Oversize BSPP Welded Port Spud, One Size Over PAGE 153A</t>
  </si>
  <si>
    <t>MA-* Metric Flange port Code 61 size #8 per Drawing 1469260000/(0896420000 for HMI}</t>
  </si>
  <si>
    <t>MB - * Metric Flange port Code 61 size #12 per Drawing 1469260000/(0896420000 for HMI)</t>
  </si>
  <si>
    <t>MC - * Metric Flange port Code 61 size #16 per Drawing 1469260000/(0896420000 for HMI)</t>
  </si>
  <si>
    <t>MD - * Metric Flange port Code 61 size #20 per Drawing 1469260000/(0896420000 for HMI)</t>
  </si>
  <si>
    <t>ME - * Metric Flange port Code 61 size #24 per Drawing 1469260000/(0896420000 for HMI)</t>
  </si>
  <si>
    <t>MF - * Metric Flange port Code 61 size #32 per Drawing 1469260000/0896420000 for HMI}</t>
  </si>
  <si>
    <t>MG - *Metric Flange port Code 61 size #40 per Drawing 1469260000/(0896420000 for HMI)</t>
  </si>
  <si>
    <t>MH - * Metric Flange port Code 61 size #48 per Drawing 1469260000/(0896420000 for HMI)</t>
  </si>
  <si>
    <t>MJ - * Metric Flange port Code 61 size #56 per Drawing 1469260000/(0896420000 for HMI)</t>
  </si>
  <si>
    <t>RB - Tapped Head/Retainer Face for Rod Boot Retainer Screws (See Section 2.3 for placing code in part number)</t>
  </si>
  <si>
    <t>RN - BSPP British Standard Port and Needle Valve Per Drawings 0965430000 thru 0965480000</t>
  </si>
  <si>
    <t>SC - * #14 SAE Port machined into standard port position. Only to be used on Non-cushioned heads and caps and on bore sizes where the #14 SAE port size or larger is the standard port size. See drawing 0693640000</t>
  </si>
  <si>
    <t>SW - Seal Weld reference drawing HH426561 F1 (See Section 2.3 for placing code in part number)</t>
  </si>
  <si>
    <t>SZ - Designates a Special (Customer Specified Port, this is a number generated by Stacklt, when this number comes up the planner or engineer must assign a new ETO part number to the part)</t>
  </si>
  <si>
    <t>TB - Threaded tie rod holes drilled out and retainer/head face tapped for Rod boot retainer (See Section 2.3 for how to place code in part number for heads, Section 3.0 for retainers)</t>
  </si>
  <si>
    <t>WS - Wave scale electrical box machining PAGE 340 and PAGE 340-GEN II (Used for electrical head and mounting block position on cap)</t>
  </si>
  <si>
    <t>XD - Machining for Light Duty 2HX Cover per drawings 0860130000 thru 0860220000 (See Section 2.3 for how to place code in part number)</t>
  </si>
  <si>
    <t>XF - Intermediate cap for medium duty enclosure, 2HX, Style F &amp; G (See Section 2.3 for how to place code in part number, 9 &amp; 10 digit)</t>
  </si>
  <si>
    <t>ES-050 Full Description</t>
  </si>
  <si>
    <t>Symbol</t>
  </si>
  <si>
    <t>BA - Bolt-on-Manifold port machining Group A 0871280000</t>
  </si>
  <si>
    <t>AW - Limit Switch, EPS-6&amp;7, non-milled face, end of stroke. See Table 4.1 for switch drawings.</t>
  </si>
  <si>
    <t>7W - Limit Switch, Machining For Switches other than CLS-1&amp;4 and EPS-6&amp;7, milled face, Stroke to Go. See Table 4.1 for switch drawings.</t>
  </si>
  <si>
    <t>SW - Limit Switch, other than CLS-1&amp;4 and EPS-6&amp;7, milled face, end of stroke. See Table 4.1 for switch drawings.</t>
  </si>
  <si>
    <t>3W - Limit Switch, CLS-1/CLS-4, milled face, Stroke to Go. See Table 4.1 for switch drawings.</t>
  </si>
  <si>
    <t>2W - Limit Switch, EPS-6 &amp; EPS-7, milled face, Stroke to Go. See Table 4.1 for switch drawings.</t>
  </si>
  <si>
    <t xml:space="preserve">1W - Limit Switch, CLS-1/CLS-4, milled face, end of stroke. See Table 4.1 for switch drawings. </t>
  </si>
  <si>
    <t>CW - Limit Switch, EPS-6&amp;7, non-milled face, Stroke to Go. See Table 4.1 for switch drawings.</t>
  </si>
  <si>
    <t>CC - Check valve with retainer plate per drawing SKB163998</t>
  </si>
  <si>
    <t>DC - Double Check Valve with retaining plate per SKB163998</t>
  </si>
  <si>
    <t>SA - Stroke Adjuster Machining Cap Face Per Drawing PAGE 164 (See Sect 2.3 for placing code in part number)</t>
  </si>
  <si>
    <t>V2 - Air Vent Per Drawing 0812930000 Design 2</t>
  </si>
  <si>
    <t>V1 - Air Vent Per Drawing 0812920000 Design 3</t>
  </si>
  <si>
    <t>W6 - Oversize Metric Welded Port Spud, One Size Over PAGE 154A</t>
  </si>
  <si>
    <t>WK - Oversize SAE Welded Port Spud, One Size Over PAGE 154 and PAGE 161</t>
  </si>
  <si>
    <t>WZ - Oversize ISO-6149-1 Welded Port Spud, One Size Over PAGE 159.</t>
  </si>
  <si>
    <t>XA - Intermediate cap for heavy duty enclosure, 2HX, Style A &amp; B (See Section 2.3 for how to place code in part number, 9 &amp; 10 digit)</t>
  </si>
  <si>
    <t>W - The single letter Wis for Electroless Nickel Plating per ES-046 (1 st or 7th digit per Section 2.3.1.1)</t>
  </si>
  <si>
    <t>*</t>
  </si>
  <si>
    <t>Code Position</t>
  </si>
  <si>
    <t>12 - 22</t>
  </si>
  <si>
    <t>1 or 7</t>
  </si>
  <si>
    <t>9-10</t>
  </si>
  <si>
    <t>HEAD SEARCH</t>
  </si>
  <si>
    <t>CAP SEARCH</t>
  </si>
  <si>
    <t>POS</t>
  </si>
  <si>
    <t>SP</t>
  </si>
  <si>
    <t>BLANK CHECK</t>
  </si>
  <si>
    <t>0B - British Standard Port (BSPT) Per Drawing: ES-087</t>
  </si>
  <si>
    <t>0D - Two Check Valves</t>
  </si>
  <si>
    <t>0E - Air CylinderNalve Combo Port Drawing: 144870</t>
  </si>
  <si>
    <t>0F - One Needle and Two Check Valves</t>
  </si>
  <si>
    <t>0H - Oversize NPTF, One Size Over</t>
  </si>
  <si>
    <t>0J - Undersize NPTF, One Size Under</t>
  </si>
  <si>
    <t>0K - Oversize SAE Port, One Size Over</t>
  </si>
  <si>
    <t>0M - Manifold Port (except for HMI, SHM, AHM &amp; MHP Cylinders) for 2H PAGE 169 for 2A&amp; 3L see PAGE 170</t>
  </si>
  <si>
    <t>0M - Metric Port Per ES-088 (for HMI, SHM, AHM &amp; MHP Cylinders only)</t>
  </si>
  <si>
    <t>0N - Needle Valve (Do not use for new designs of cartridge needle valves)</t>
  </si>
  <si>
    <t>0P - SAE 4-Bolt Code 61 Flange Per Drawing 140810 (except for HMI, AHM, MHP, SHM, H and HV Legacy Cylinders)</t>
  </si>
  <si>
    <t>0P - SAE 4-Bolt Code 61 Flange Per Drawing ESG1328A001 (for Hand HV Legacy Cylinders)</t>
  </si>
  <si>
    <t>0P - SAE 4-Bolt Code 61 Flange Per Drawing 0896420000 (for HMI, AHM, MHP &amp; SHM Cylinders)</t>
  </si>
  <si>
    <t>0R - British Standard Port (Parallel BSPP) per ES-089</t>
  </si>
  <si>
    <t>0S - Undersize NPTF Port, Two Sizes Under</t>
  </si>
  <si>
    <t>0T - Undersize BSPT Port One Size Under Per ES-087</t>
  </si>
  <si>
    <t>0U - Undersize BSPP Port One Size Under Per ES-089</t>
  </si>
  <si>
    <t>0W - Limit Switch, EPS-Type Switches, milled face, end of stroke. See Table 4.1 for switch drawings.</t>
  </si>
  <si>
    <t>0X - Oversize BSPP, One Size Over Per Linesheet Page 153A</t>
  </si>
  <si>
    <t>0Z - Oversize ISO-6149-1, One Size Over</t>
  </si>
  <si>
    <t>🛈</t>
  </si>
  <si>
    <t>PISTON* ? *</t>
  </si>
  <si>
    <t>-SZ CHECK</t>
  </si>
  <si>
    <t>PISTON* ?? *</t>
  </si>
  <si>
    <t>G5 - Gland Drain and SAE Port</t>
  </si>
  <si>
    <t>Made imporvment to BOM Revision circle, if user doesn’t add ETO BOM Revision then it will ask for manual input</t>
  </si>
  <si>
    <t>Added Order Face Printer with the following abilities:</t>
  </si>
  <si>
    <t>Prints order face using B2 Screen and PCS Internal Summary</t>
  </si>
  <si>
    <t>Can Print Only PCS Internal Summary if user wants</t>
  </si>
  <si>
    <t>Can create new Engineering Checklist</t>
  </si>
  <si>
    <t>Populate Simple Fields in the engineering checklist such as:</t>
  </si>
  <si>
    <t>Lead Engineer Initiatls</t>
  </si>
  <si>
    <t>Date</t>
  </si>
  <si>
    <t>Order Number</t>
  </si>
  <si>
    <t>Category of Order</t>
  </si>
  <si>
    <t>Checking Required</t>
  </si>
  <si>
    <t>Checked By</t>
  </si>
  <si>
    <t>Checked by Date</t>
  </si>
  <si>
    <t>Added PCS Quick Launcher</t>
  </si>
  <si>
    <t>Improved BOM Printer folder path function</t>
  </si>
  <si>
    <t>Improved BOM Printer BOM revision note reading</t>
  </si>
  <si>
    <t>Can launch PCS much quicker than traditional way</t>
  </si>
  <si>
    <t>▲</t>
  </si>
  <si>
    <t>▼</t>
  </si>
  <si>
    <t>2X Click 
For Options</t>
  </si>
  <si>
    <t>_          ⚙️          _</t>
  </si>
  <si>
    <t>_           ⚙️           _</t>
  </si>
  <si>
    <t xml:space="preserve"> </t>
  </si>
  <si>
    <t/>
  </si>
  <si>
    <t>546104</t>
  </si>
  <si>
    <t>v1.0.8</t>
  </si>
  <si>
    <r>
      <t xml:space="preserve"> </t>
    </r>
    <r>
      <rPr>
        <b/>
        <sz val="28"/>
        <color theme="1"/>
        <rFont val="Calibri"/>
        <family val="2"/>
        <scheme val="minor"/>
      </rPr>
      <t xml:space="preserve">   </t>
    </r>
    <r>
      <rPr>
        <b/>
        <sz val="25"/>
        <color theme="1"/>
        <rFont val="Calibri"/>
        <family val="2"/>
        <scheme val="minor"/>
      </rPr>
      <t xml:space="preserve">    </t>
    </r>
    <r>
      <rPr>
        <b/>
        <sz val="36"/>
        <color theme="1"/>
        <rFont val="Calibri"/>
        <family val="2"/>
        <scheme val="minor"/>
      </rPr>
      <t>Hydraulic Actuator Division: BOM Comparison Tool</t>
    </r>
  </si>
  <si>
    <t xml:space="preserve">         Hydraulic Actuator Division: Universal BOM Tool</t>
  </si>
  <si>
    <t>HYDRAULIC ACTUATOR DIVISION PARTS LIST</t>
  </si>
  <si>
    <t>Hydraulic Actuator Division: BOM Printer</t>
  </si>
  <si>
    <t>PRESS ''PRINT BOM'' BUTTON TO START</t>
  </si>
  <si>
    <t xml:space="preserve">LOCATION: </t>
  </si>
  <si>
    <t>marc50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</si>
</sst>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3" x14ac:knownFonts="1">
    <font>
      <sz val="11"/>
      <color theme="1"/>
      <name val="Calibri"/>
      <family val="2"/>
      <scheme val="minor"/>
    </font>
    <font>
      <b/>
      <sz val="11"/>
      <color theme="1"/>
      <name val="Calibri"/>
      <family val="2"/>
      <scheme val="minor"/>
    </font>
    <font>
      <b/>
      <sz val="16"/>
      <color theme="1"/>
      <name val="Calibri"/>
      <family val="2"/>
      <scheme val="minor"/>
    </font>
    <font>
      <sz val="11"/>
      <name val="Calibri"/>
      <family val="2"/>
      <scheme val="minor"/>
    </font>
    <font>
      <sz val="12"/>
      <color theme="1"/>
      <name val="Calibri"/>
      <family val="2"/>
      <scheme val="minor"/>
    </font>
    <font>
      <sz val="36"/>
      <color theme="0"/>
      <name val="Calibri"/>
      <family val="2"/>
      <scheme val="minor"/>
    </font>
    <font>
      <b/>
      <sz val="11"/>
      <name val="Calibri"/>
      <family val="2"/>
      <scheme val="minor"/>
    </font>
    <font>
      <b/>
      <sz val="12"/>
      <color theme="1"/>
      <name val="Calibri"/>
      <family val="2"/>
      <scheme val="minor"/>
    </font>
    <font>
      <b/>
      <sz val="16"/>
      <color theme="0"/>
      <name val="Calibri"/>
      <family val="2"/>
      <scheme val="minor"/>
    </font>
    <font>
      <b/>
      <sz val="36"/>
      <color theme="0"/>
      <name val="Calibri"/>
      <family val="2"/>
      <scheme val="minor"/>
    </font>
    <font>
      <b/>
      <sz val="18"/>
      <color theme="0"/>
      <name val="Calibri"/>
      <family val="2"/>
      <scheme val="minor"/>
    </font>
    <font>
      <sz val="36"/>
      <color theme="1"/>
      <name val="Calibri"/>
      <family val="2"/>
      <scheme val="minor"/>
    </font>
    <font>
      <sz val="11"/>
      <color theme="0"/>
      <name val="Calibri"/>
      <family val="2"/>
      <scheme val="minor"/>
    </font>
    <font>
      <u/>
      <sz val="11"/>
      <color theme="10"/>
      <name val="Calibri"/>
      <family val="2"/>
      <scheme val="minor"/>
    </font>
    <font>
      <b/>
      <sz val="16"/>
      <color theme="4"/>
      <name val="Calibri"/>
      <family val="2"/>
      <scheme val="minor"/>
    </font>
    <font>
      <sz val="14"/>
      <color theme="1"/>
      <name val="Calibri"/>
      <family val="2"/>
      <scheme val="minor"/>
    </font>
    <font>
      <sz val="72"/>
      <color theme="1"/>
      <name val="Calibri"/>
      <family val="2"/>
      <scheme val="minor"/>
    </font>
    <font>
      <sz val="21"/>
      <color rgb="FFE0E0E0"/>
      <name val="Segoe UI Emoji"/>
      <family val="2"/>
    </font>
    <font>
      <b/>
      <u/>
      <sz val="11"/>
      <name val="Calibri"/>
      <family val="2"/>
      <scheme val="minor"/>
    </font>
    <font>
      <b/>
      <sz val="36"/>
      <color theme="1"/>
      <name val="Calibri"/>
      <family val="2"/>
      <scheme val="minor"/>
    </font>
    <font>
      <b/>
      <sz val="22"/>
      <color theme="1"/>
      <name val="Calibri"/>
      <family val="2"/>
      <scheme val="minor"/>
    </font>
    <font>
      <b/>
      <sz val="28"/>
      <color theme="1"/>
      <name val="Calibri"/>
      <family val="2"/>
      <scheme val="minor"/>
    </font>
    <font>
      <b/>
      <sz val="12"/>
      <name val="Calibri"/>
      <family val="2"/>
      <scheme val="minor"/>
    </font>
    <font>
      <b/>
      <sz val="25"/>
      <color theme="1"/>
      <name val="Calibri"/>
      <family val="2"/>
      <scheme val="minor"/>
    </font>
    <font>
      <sz val="14"/>
      <color rgb="FFFF0000"/>
      <name val="Calibri"/>
      <family val="2"/>
      <scheme val="minor"/>
    </font>
    <font>
      <sz val="11"/>
      <color rgb="FF92D050"/>
      <name val="Calibri"/>
      <family val="2"/>
      <scheme val="minor"/>
    </font>
    <font>
      <b/>
      <sz val="14"/>
      <color theme="1"/>
      <name val="Calibri"/>
      <family val="2"/>
      <scheme val="minor"/>
    </font>
    <font>
      <sz val="8"/>
      <name val="Calibri"/>
      <family val="2"/>
      <scheme val="minor"/>
    </font>
    <font>
      <sz val="11"/>
      <color theme="5"/>
      <name val="Calibri"/>
      <family val="2"/>
      <scheme val="minor"/>
    </font>
    <font>
      <sz val="14"/>
      <name val="Calibri"/>
      <family val="2"/>
      <scheme val="minor"/>
    </font>
    <font>
      <sz val="1"/>
      <color theme="0"/>
      <name val="Calibri"/>
      <family val="2"/>
      <scheme val="minor"/>
    </font>
    <font>
      <sz val="12"/>
      <name val="Calibri"/>
      <family val="2"/>
      <scheme val="minor"/>
    </font>
    <font>
      <sz val="34"/>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bgColor indexed="64"/>
      </patternFill>
    </fill>
    <fill>
      <patternFill patternType="solid">
        <fgColor rgb="FFFFFF00"/>
        <bgColor indexed="64"/>
      </patternFill>
    </fill>
    <fill>
      <patternFill patternType="solid">
        <fgColor rgb="FFFFFFFF"/>
        <bgColor indexed="64"/>
      </patternFill>
    </fill>
    <fill>
      <patternFill patternType="solid">
        <fgColor rgb="FFFFCA53"/>
        <bgColor indexed="64"/>
      </patternFill>
    </fill>
    <fill>
      <patternFill patternType="solid">
        <fgColor rgb="FF92D050"/>
        <bgColor indexed="64"/>
      </patternFill>
    </fill>
  </fills>
  <borders count="6">
    <border>
      <left/>
      <right/>
      <top/>
      <bottom/>
      <diagonal/>
    </border>
    <border>
      <left style="thin">
        <color auto="1"/>
      </left>
      <right style="thin">
        <color auto="1"/>
      </right>
      <top style="thin">
        <color auto="1"/>
      </top>
      <bottom style="thin">
        <color auto="1"/>
      </bottom>
      <diagonal/>
    </border>
    <border>
      <left/>
      <right/>
      <top/>
      <bottom style="thick">
        <color rgb="FFFFB91D"/>
      </bottom>
      <diagonal/>
    </border>
    <border>
      <left/>
      <right/>
      <top style="thick">
        <color rgb="FFFFB91D"/>
      </top>
      <bottom/>
      <diagonal/>
    </border>
    <border>
      <left/>
      <right/>
      <top/>
      <bottom style="medium">
        <color indexed="64"/>
      </bottom>
      <diagonal/>
    </border>
    <border>
      <left style="thin">
        <color auto="1"/>
      </left>
      <right style="thin">
        <color auto="1"/>
      </right>
      <top style="thin">
        <color auto="1"/>
      </top>
      <bottom/>
      <diagonal/>
    </border>
  </borders>
  <cellStyleXfs count="2">
    <xf numFmtId="0" fontId="0" fillId="0" borderId="0"/>
    <xf numFmtId="0" fontId="13" fillId="0" borderId="0" applyNumberFormat="0" applyFill="0" applyBorder="0" applyAlignment="0" applyProtection="0"/>
  </cellStyleXfs>
  <cellXfs count="194">
    <xf numFmtId="0" fontId="0" fillId="0" borderId="0" xfId="0"/>
    <xf numFmtId="0" fontId="3" fillId="2" borderId="0" xfId="0" applyFont="1" applyFill="1" applyAlignment="1">
      <alignment vertical="center"/>
    </xf>
    <xf numFmtId="0" fontId="15" fillId="2" borderId="0" xfId="0" applyFont="1" applyFill="1"/>
    <xf numFmtId="0" fontId="15" fillId="0" borderId="1" xfId="0" applyFont="1" applyFill="1" applyBorder="1" applyAlignment="1">
      <alignment horizontal="right"/>
    </xf>
    <xf numFmtId="0" fontId="15" fillId="0" borderId="1" xfId="0" applyFont="1" applyFill="1" applyBorder="1" applyAlignment="1">
      <alignment horizontal="left"/>
    </xf>
    <xf numFmtId="14" fontId="15" fillId="0" borderId="1" xfId="0" applyNumberFormat="1" applyFont="1" applyFill="1" applyBorder="1" applyAlignment="1">
      <alignment horizontal="left"/>
    </xf>
    <xf numFmtId="0" fontId="15" fillId="2" borderId="0" xfId="0" applyFont="1" applyFill="1" applyBorder="1" applyAlignment="1">
      <alignment horizontal="left"/>
    </xf>
    <xf numFmtId="0" fontId="15" fillId="2" borderId="0" xfId="0" applyFont="1" applyFill="1" applyBorder="1" applyAlignment="1">
      <alignment horizontal="center"/>
    </xf>
    <xf numFmtId="0" fontId="15" fillId="2" borderId="0" xfId="0" applyFont="1" applyFill="1" applyBorder="1"/>
    <xf numFmtId="0" fontId="15" fillId="2" borderId="0" xfId="0" applyFont="1" applyFill="1" applyAlignment="1">
      <alignment horizontal="center"/>
    </xf>
    <xf numFmtId="0" fontId="15" fillId="2" borderId="0" xfId="0" applyFont="1" applyFill="1" applyAlignment="1">
      <alignment horizontal="left"/>
    </xf>
    <xf numFmtId="164" fontId="15" fillId="2" borderId="0" xfId="0" quotePrefix="1" applyNumberFormat="1" applyFont="1" applyFill="1" applyBorder="1" applyAlignment="1">
      <alignment horizontal="center"/>
    </xf>
    <xf numFmtId="0" fontId="0" fillId="2" borderId="0" xfId="0" applyFont="1" applyFill="1"/>
    <xf numFmtId="0" fontId="0" fillId="2" borderId="0" xfId="0" applyFont="1" applyFill="1" applyAlignment="1">
      <alignment horizontal="left"/>
    </xf>
    <xf numFmtId="0" fontId="0" fillId="2" borderId="0" xfId="0" applyFont="1" applyFill="1" applyAlignment="1">
      <alignment horizontal="center"/>
    </xf>
    <xf numFmtId="164" fontId="15" fillId="2" borderId="0" xfId="0" quotePrefix="1" applyNumberFormat="1" applyFont="1" applyFill="1" applyBorder="1" applyAlignment="1"/>
    <xf numFmtId="0" fontId="18" fillId="2" borderId="0" xfId="0" applyFont="1" applyFill="1" applyAlignment="1">
      <alignment horizontal="center" vertical="center"/>
    </xf>
    <xf numFmtId="0" fontId="15" fillId="2" borderId="0" xfId="0" quotePrefix="1" applyFont="1" applyFill="1" applyBorder="1"/>
    <xf numFmtId="0" fontId="2" fillId="2" borderId="0" xfId="0" applyFont="1" applyFill="1" applyAlignment="1">
      <alignment horizontal="center"/>
    </xf>
    <xf numFmtId="0" fontId="3" fillId="2" borderId="0" xfId="0" applyFont="1" applyFill="1" applyAlignment="1">
      <alignment horizontal="center" vertical="center"/>
    </xf>
    <xf numFmtId="0" fontId="0" fillId="2" borderId="0" xfId="0" applyFill="1"/>
    <xf numFmtId="0" fontId="0" fillId="2" borderId="0" xfId="0" applyFill="1" applyAlignment="1">
      <alignment horizontal="center"/>
    </xf>
    <xf numFmtId="0" fontId="0" fillId="2" borderId="0" xfId="0" applyFill="1" applyBorder="1"/>
    <xf numFmtId="0" fontId="0" fillId="2" borderId="2" xfId="0" applyFill="1" applyBorder="1"/>
    <xf numFmtId="0" fontId="0" fillId="4" borderId="0" xfId="0" applyFont="1" applyFill="1" applyBorder="1"/>
    <xf numFmtId="0" fontId="16" fillId="4" borderId="0" xfId="0" applyFont="1" applyFill="1" applyBorder="1" applyAlignment="1"/>
    <xf numFmtId="0" fontId="0" fillId="2" borderId="2" xfId="0" applyFont="1" applyFill="1" applyBorder="1"/>
    <xf numFmtId="0" fontId="12" fillId="2" borderId="2" xfId="0" applyFont="1" applyFill="1" applyBorder="1" applyAlignment="1">
      <alignment horizontal="center"/>
    </xf>
    <xf numFmtId="0" fontId="20" fillId="2" borderId="0" xfId="0" applyFont="1" applyFill="1" applyAlignment="1"/>
    <xf numFmtId="0" fontId="19" fillId="2" borderId="2" xfId="0" applyFont="1" applyFill="1" applyBorder="1" applyAlignment="1">
      <alignment vertical="center"/>
    </xf>
    <xf numFmtId="0" fontId="0" fillId="2" borderId="0" xfId="0" applyFill="1" applyBorder="1" applyAlignment="1">
      <alignment horizontal="center"/>
    </xf>
    <xf numFmtId="0" fontId="0" fillId="4" borderId="0" xfId="0" applyFill="1" applyAlignment="1"/>
    <xf numFmtId="0" fontId="4" fillId="2" borderId="0" xfId="0" applyFont="1" applyFill="1" applyAlignment="1">
      <alignment horizontal="center"/>
    </xf>
    <xf numFmtId="0" fontId="20" fillId="2" borderId="0" xfId="0" applyFont="1" applyFill="1" applyAlignment="1">
      <alignment vertical="top"/>
    </xf>
    <xf numFmtId="0" fontId="20" fillId="3" borderId="0" xfId="0" applyFont="1" applyFill="1" applyAlignment="1"/>
    <xf numFmtId="0" fontId="0" fillId="3" borderId="0" xfId="0" applyFill="1"/>
    <xf numFmtId="0" fontId="1" fillId="3" borderId="0" xfId="0" applyFont="1" applyFill="1" applyAlignment="1"/>
    <xf numFmtId="0" fontId="3" fillId="2" borderId="0" xfId="0" applyFont="1" applyFill="1" applyBorder="1" applyAlignment="1">
      <alignment vertical="center"/>
    </xf>
    <xf numFmtId="0" fontId="3" fillId="2" borderId="0" xfId="0" applyFont="1" applyFill="1" applyBorder="1" applyAlignment="1">
      <alignment horizontal="center" vertical="center"/>
    </xf>
    <xf numFmtId="0" fontId="3" fillId="2" borderId="2" xfId="0" applyFont="1" applyFill="1" applyBorder="1" applyAlignment="1">
      <alignment vertical="center"/>
    </xf>
    <xf numFmtId="0" fontId="3" fillId="2" borderId="2" xfId="0" applyFont="1" applyFill="1" applyBorder="1" applyAlignment="1">
      <alignment horizontal="center" vertical="center"/>
    </xf>
    <xf numFmtId="0" fontId="9" fillId="4" borderId="0" xfId="0" applyFont="1" applyFill="1" applyBorder="1" applyAlignment="1"/>
    <xf numFmtId="0" fontId="9" fillId="4" borderId="0" xfId="0" applyFont="1" applyFill="1" applyBorder="1" applyAlignment="1">
      <alignment horizontal="left"/>
    </xf>
    <xf numFmtId="0" fontId="0" fillId="4" borderId="0" xfId="0" applyFill="1" applyBorder="1"/>
    <xf numFmtId="0" fontId="0" fillId="4" borderId="0" xfId="0" applyFill="1" applyBorder="1" applyAlignment="1">
      <alignment horizontal="center"/>
    </xf>
    <xf numFmtId="0" fontId="1" fillId="4" borderId="0" xfId="0" applyFont="1" applyFill="1" applyBorder="1" applyAlignment="1">
      <alignment horizontal="center" vertical="center"/>
    </xf>
    <xf numFmtId="0" fontId="10" fillId="4" borderId="0" xfId="0" applyFont="1" applyFill="1" applyBorder="1" applyAlignment="1">
      <alignment vertical="center"/>
    </xf>
    <xf numFmtId="0" fontId="3" fillId="4" borderId="0" xfId="0" applyFont="1" applyFill="1" applyBorder="1" applyAlignment="1">
      <alignment vertical="center"/>
    </xf>
    <xf numFmtId="0" fontId="5" fillId="4" borderId="0" xfId="0" applyFont="1" applyFill="1" applyBorder="1" applyAlignment="1"/>
    <xf numFmtId="0" fontId="6" fillId="4" borderId="0" xfId="0" applyFont="1" applyFill="1" applyBorder="1" applyAlignment="1">
      <alignment horizontal="right" vertical="center"/>
    </xf>
    <xf numFmtId="0" fontId="3" fillId="4" borderId="0" xfId="0" applyFont="1" applyFill="1" applyBorder="1" applyAlignment="1">
      <alignment horizontal="center" vertical="center"/>
    </xf>
    <xf numFmtId="0" fontId="6" fillId="2" borderId="0" xfId="0" applyFont="1" applyFill="1" applyBorder="1" applyAlignment="1">
      <alignment horizontal="right" vertical="center"/>
    </xf>
    <xf numFmtId="0" fontId="0" fillId="2" borderId="2" xfId="0" applyFill="1" applyBorder="1" applyAlignment="1">
      <alignment horizontal="center"/>
    </xf>
    <xf numFmtId="0" fontId="6" fillId="2" borderId="2" xfId="0" applyFont="1" applyFill="1" applyBorder="1" applyAlignment="1">
      <alignment horizontal="right" vertical="center"/>
    </xf>
    <xf numFmtId="0" fontId="6" fillId="2" borderId="0" xfId="0" applyFont="1" applyFill="1" applyAlignment="1">
      <alignment horizontal="right" vertical="center"/>
    </xf>
    <xf numFmtId="0" fontId="1" fillId="2" borderId="0" xfId="0" applyFont="1" applyFill="1" applyAlignment="1">
      <alignment horizontal="center" vertical="center"/>
    </xf>
    <xf numFmtId="0" fontId="4" fillId="2" borderId="0" xfId="0" applyFont="1" applyFill="1" applyAlignment="1">
      <alignment wrapText="1"/>
    </xf>
    <xf numFmtId="0" fontId="4" fillId="2" borderId="0" xfId="0" applyFont="1" applyFill="1" applyAlignment="1"/>
    <xf numFmtId="0" fontId="7" fillId="2" borderId="0" xfId="0" applyFont="1" applyFill="1" applyAlignment="1">
      <alignment horizontal="center" vertical="center"/>
    </xf>
    <xf numFmtId="0" fontId="17" fillId="2" borderId="0" xfId="0" applyFont="1" applyFill="1" applyAlignment="1">
      <alignment vertical="center" wrapText="1"/>
    </xf>
    <xf numFmtId="0" fontId="7" fillId="2" borderId="0" xfId="0" applyFont="1" applyFill="1" applyAlignment="1">
      <alignment vertical="center"/>
    </xf>
    <xf numFmtId="0" fontId="1" fillId="2" borderId="0" xfId="0" applyFont="1" applyFill="1" applyAlignment="1">
      <alignment vertical="center"/>
    </xf>
    <xf numFmtId="0" fontId="2" fillId="2" borderId="0" xfId="0" applyFont="1" applyFill="1" applyAlignment="1">
      <alignment vertical="center"/>
    </xf>
    <xf numFmtId="0" fontId="2" fillId="2" borderId="0" xfId="0" applyFont="1" applyFill="1" applyAlignment="1">
      <alignment horizontal="center" vertical="center"/>
    </xf>
    <xf numFmtId="0" fontId="0" fillId="2" borderId="0" xfId="0" applyFont="1" applyFill="1" applyAlignment="1">
      <alignment horizontal="center" vertical="center"/>
    </xf>
    <xf numFmtId="0" fontId="0" fillId="2" borderId="0" xfId="0" applyFill="1" applyAlignment="1">
      <alignment horizontal="center" vertical="center"/>
    </xf>
    <xf numFmtId="0" fontId="1" fillId="2" borderId="0" xfId="0" applyFont="1" applyFill="1" applyAlignment="1">
      <alignment horizontal="center" vertical="center" wrapText="1"/>
    </xf>
    <xf numFmtId="0" fontId="0" fillId="2" borderId="0" xfId="0" applyFont="1" applyFill="1" applyAlignment="1">
      <alignment horizontal="fill"/>
    </xf>
    <xf numFmtId="0" fontId="0" fillId="2" borderId="0" xfId="0" applyFont="1" applyFill="1" applyAlignment="1">
      <alignment shrinkToFit="1"/>
    </xf>
    <xf numFmtId="0" fontId="0" fillId="2" borderId="0" xfId="0" applyFont="1" applyFill="1" applyAlignment="1"/>
    <xf numFmtId="0" fontId="0" fillId="2" borderId="0" xfId="0" applyFill="1" applyAlignment="1"/>
    <xf numFmtId="0" fontId="20" fillId="2" borderId="3" xfId="0" applyFont="1" applyFill="1" applyBorder="1" applyAlignment="1">
      <alignment horizontal="center" vertical="top"/>
    </xf>
    <xf numFmtId="0" fontId="0" fillId="2" borderId="0" xfId="0" applyFont="1" applyFill="1" applyBorder="1"/>
    <xf numFmtId="0" fontId="20" fillId="2" borderId="0" xfId="0" applyFont="1" applyFill="1" applyBorder="1" applyAlignment="1">
      <alignment horizontal="center"/>
    </xf>
    <xf numFmtId="0" fontId="20" fillId="2" borderId="3" xfId="0" applyFont="1" applyFill="1" applyBorder="1" applyAlignment="1">
      <alignment vertical="top"/>
    </xf>
    <xf numFmtId="0" fontId="0" fillId="2" borderId="0" xfId="0" applyFont="1" applyFill="1" applyBorder="1" applyAlignment="1">
      <alignment horizontal="center"/>
    </xf>
    <xf numFmtId="0" fontId="0" fillId="2" borderId="2" xfId="0" applyFont="1" applyFill="1" applyBorder="1" applyAlignment="1">
      <alignment horizontal="center"/>
    </xf>
    <xf numFmtId="0" fontId="11" fillId="0" borderId="0" xfId="0" applyFont="1" applyFill="1" applyBorder="1" applyAlignment="1"/>
    <xf numFmtId="0" fontId="0" fillId="0" borderId="0" xfId="0" applyFont="1" applyFill="1" applyBorder="1" applyAlignment="1">
      <alignment vertical="top"/>
    </xf>
    <xf numFmtId="0" fontId="15" fillId="0" borderId="0" xfId="0" applyFont="1" applyFill="1" applyBorder="1" applyAlignment="1">
      <alignment horizontal="right"/>
    </xf>
    <xf numFmtId="0" fontId="15" fillId="0" borderId="0" xfId="0" applyFont="1" applyFill="1" applyBorder="1" applyAlignment="1">
      <alignment horizontal="left"/>
    </xf>
    <xf numFmtId="14" fontId="15" fillId="0" borderId="0" xfId="0" applyNumberFormat="1" applyFont="1" applyFill="1" applyBorder="1" applyAlignment="1">
      <alignment horizontal="left"/>
    </xf>
    <xf numFmtId="0" fontId="15" fillId="2" borderId="0" xfId="0" applyFont="1" applyFill="1" applyBorder="1" applyAlignment="1">
      <alignment horizontal="center" vertical="center" wrapText="1"/>
    </xf>
    <xf numFmtId="0" fontId="15" fillId="2" borderId="0" xfId="0" applyFont="1" applyFill="1" applyBorder="1" applyAlignment="1">
      <alignment horizontal="center" vertical="center"/>
    </xf>
    <xf numFmtId="0" fontId="0" fillId="4" borderId="0" xfId="0" applyFont="1" applyFill="1" applyBorder="1" applyAlignment="1">
      <alignment horizontal="center"/>
    </xf>
    <xf numFmtId="0" fontId="15" fillId="2" borderId="0" xfId="0" applyFont="1" applyFill="1" applyAlignment="1">
      <alignment horizontal="right"/>
    </xf>
    <xf numFmtId="0" fontId="0" fillId="4" borderId="0" xfId="0" applyFont="1" applyFill="1" applyBorder="1" applyAlignment="1">
      <alignment horizontal="right"/>
    </xf>
    <xf numFmtId="0" fontId="0" fillId="2" borderId="2" xfId="0" applyFont="1" applyFill="1" applyBorder="1" applyAlignment="1">
      <alignment horizontal="right"/>
    </xf>
    <xf numFmtId="0" fontId="0" fillId="2" borderId="0" xfId="0" applyFont="1" applyFill="1" applyAlignment="1">
      <alignment horizontal="right"/>
    </xf>
    <xf numFmtId="0" fontId="15" fillId="2" borderId="0" xfId="0" applyFont="1" applyFill="1" applyBorder="1" applyAlignment="1">
      <alignment horizontal="right"/>
    </xf>
    <xf numFmtId="0" fontId="25" fillId="2" borderId="0" xfId="0" applyFont="1" applyFill="1" applyAlignment="1">
      <alignment horizontal="center" vertical="center"/>
    </xf>
    <xf numFmtId="0" fontId="24" fillId="2" borderId="0" xfId="0" applyFont="1" applyFill="1" applyAlignment="1">
      <alignment horizontal="center" vertical="center"/>
    </xf>
    <xf numFmtId="0" fontId="0" fillId="4" borderId="0" xfId="0" applyFont="1" applyFill="1" applyBorder="1" applyAlignment="1">
      <alignment horizontal="left"/>
    </xf>
    <xf numFmtId="0" fontId="0" fillId="2" borderId="2" xfId="0" applyFont="1" applyFill="1" applyBorder="1" applyAlignment="1">
      <alignment horizontal="left"/>
    </xf>
    <xf numFmtId="0" fontId="15" fillId="2" borderId="0" xfId="0" quotePrefix="1" applyFont="1" applyFill="1" applyAlignment="1">
      <alignment horizontal="left"/>
    </xf>
    <xf numFmtId="0" fontId="26" fillId="2" borderId="0" xfId="0" applyFont="1" applyFill="1" applyAlignment="1">
      <alignment horizontal="center" vertical="center"/>
    </xf>
    <xf numFmtId="0" fontId="0" fillId="4" borderId="0" xfId="0" applyFont="1" applyFill="1" applyBorder="1" applyAlignment="1">
      <alignment horizontal="center" vertical="center"/>
    </xf>
    <xf numFmtId="0" fontId="0" fillId="2" borderId="2" xfId="0" applyFont="1" applyFill="1" applyBorder="1" applyAlignment="1">
      <alignment horizontal="center" vertical="center"/>
    </xf>
    <xf numFmtId="0" fontId="15" fillId="2" borderId="0" xfId="0" applyFont="1" applyFill="1" applyAlignment="1">
      <alignment horizontal="center" vertical="center"/>
    </xf>
    <xf numFmtId="16" fontId="15" fillId="2" borderId="0" xfId="0" quotePrefix="1" applyNumberFormat="1" applyFont="1" applyFill="1" applyAlignment="1">
      <alignment horizontal="center" vertical="center"/>
    </xf>
    <xf numFmtId="0" fontId="0" fillId="2" borderId="0" xfId="0" applyFont="1" applyFill="1" applyBorder="1" applyAlignment="1">
      <alignment horizontal="center" vertical="center"/>
    </xf>
    <xf numFmtId="0" fontId="0" fillId="2" borderId="0" xfId="0" applyFont="1" applyFill="1" applyBorder="1" applyAlignment="1">
      <alignment horizontal="right" vertical="center"/>
    </xf>
    <xf numFmtId="0" fontId="28" fillId="2" borderId="0" xfId="0" applyFont="1" applyFill="1" applyAlignment="1">
      <alignment horizontal="center" vertical="center"/>
    </xf>
    <xf numFmtId="0" fontId="0" fillId="2" borderId="0" xfId="0" quotePrefix="1" applyFont="1" applyFill="1"/>
    <xf numFmtId="0" fontId="20" fillId="3" borderId="0" xfId="0" applyFont="1" applyFill="1" applyAlignment="1">
      <alignment vertical="top"/>
    </xf>
    <xf numFmtId="0" fontId="0" fillId="3" borderId="0" xfId="0" applyFill="1" applyBorder="1"/>
    <xf numFmtId="0" fontId="14" fillId="2" borderId="0" xfId="1" applyFont="1" applyFill="1" applyBorder="1" applyAlignment="1">
      <alignment vertical="center"/>
    </xf>
    <xf numFmtId="0" fontId="0" fillId="2" borderId="4" xfId="0" applyFill="1" applyBorder="1"/>
    <xf numFmtId="0" fontId="0" fillId="3" borderId="4" xfId="0" applyFill="1" applyBorder="1"/>
    <xf numFmtId="0" fontId="30" fillId="2" borderId="0" xfId="0" quotePrefix="1" applyNumberFormat="1" applyFont="1" applyFill="1"/>
    <xf numFmtId="0" fontId="30" fillId="2" borderId="0" xfId="0" applyNumberFormat="1" applyFont="1" applyFill="1"/>
    <xf numFmtId="0" fontId="0" fillId="6" borderId="2" xfId="0" applyFill="1" applyBorder="1"/>
    <xf numFmtId="0" fontId="0" fillId="6" borderId="0" xfId="0" applyFill="1"/>
    <xf numFmtId="0" fontId="20" fillId="6" borderId="0" xfId="0" applyFont="1" applyFill="1" applyAlignment="1">
      <alignment vertical="top"/>
    </xf>
    <xf numFmtId="0" fontId="20" fillId="6" borderId="0" xfId="0" applyFont="1" applyFill="1" applyAlignment="1"/>
    <xf numFmtId="0" fontId="0" fillId="6" borderId="0" xfId="0" applyFill="1" applyBorder="1"/>
    <xf numFmtId="0" fontId="0" fillId="6" borderId="4" xfId="0" applyFill="1" applyBorder="1"/>
    <xf numFmtId="0" fontId="31" fillId="2" borderId="0" xfId="0" applyFont="1" applyFill="1"/>
    <xf numFmtId="0" fontId="1" fillId="0" borderId="0" xfId="0" applyFont="1" applyFill="1" applyAlignment="1">
      <alignment horizontal="center" vertical="center"/>
    </xf>
    <xf numFmtId="0" fontId="1" fillId="2" borderId="0" xfId="0" applyFont="1" applyFill="1" applyAlignment="1" applyProtection="1">
      <alignment horizontal="center" vertical="center"/>
      <protection locked="0"/>
    </xf>
    <xf numFmtId="0" fontId="0" fillId="2" borderId="0" xfId="0" applyFill="1" applyAlignment="1">
      <alignment horizontal="center"/>
    </xf>
    <xf numFmtId="0" fontId="0" fillId="2" borderId="0" xfId="0" applyFill="1" applyAlignment="1">
      <alignment horizontal="center"/>
    </xf>
    <xf numFmtId="0" fontId="4" fillId="2" borderId="0" xfId="0" applyFont="1" applyFill="1" applyBorder="1" applyAlignment="1">
      <alignment horizontal="center" vertical="center" wrapText="1"/>
    </xf>
    <xf numFmtId="0" fontId="0" fillId="2" borderId="0" xfId="0" applyFill="1" applyAlignment="1">
      <alignment horizontal="center"/>
    </xf>
    <xf numFmtId="0" fontId="0" fillId="2" borderId="0" xfId="0" applyFill="1" applyAlignment="1">
      <alignment horizontal="center"/>
    </xf>
    <xf numFmtId="0" fontId="1" fillId="4" borderId="0" xfId="0" applyFont="1" applyFill="1" applyBorder="1" applyAlignment="1">
      <alignment horizontal="center" vertical="center"/>
    </xf>
    <xf numFmtId="0" fontId="3" fillId="4" borderId="0" xfId="0" applyFont="1" applyFill="1" applyBorder="1" applyAlignment="1">
      <alignment horizontal="center" vertical="center"/>
    </xf>
    <xf numFmtId="0" fontId="1" fillId="2" borderId="0" xfId="0" applyFont="1" applyFill="1" applyAlignment="1">
      <alignment horizontal="center" vertical="center"/>
    </xf>
    <xf numFmtId="0" fontId="3" fillId="2" borderId="0" xfId="0" applyFont="1" applyFill="1" applyBorder="1" applyAlignment="1">
      <alignment horizontal="center" vertical="center"/>
    </xf>
    <xf numFmtId="0" fontId="3" fillId="2" borderId="2" xfId="0" applyFont="1" applyFill="1" applyBorder="1" applyAlignment="1">
      <alignment horizontal="center" vertical="center"/>
    </xf>
    <xf numFmtId="0" fontId="2" fillId="2" borderId="0" xfId="0" applyFont="1" applyFill="1" applyAlignment="1">
      <alignment horizontal="center" vertical="center"/>
    </xf>
    <xf numFmtId="0" fontId="0" fillId="6" borderId="0" xfId="0" applyFill="1" applyAlignment="1">
      <alignment horizontal="center"/>
    </xf>
    <xf numFmtId="0" fontId="0" fillId="6" borderId="0" xfId="0" applyFill="1" applyAlignment="1">
      <alignment horizontal="left"/>
    </xf>
    <xf numFmtId="0" fontId="2" fillId="2" borderId="0" xfId="0" applyFont="1" applyFill="1" applyAlignment="1">
      <alignment horizontal="center"/>
    </xf>
    <xf numFmtId="0" fontId="2" fillId="6" borderId="0" xfId="0" applyFont="1" applyFill="1" applyAlignment="1">
      <alignment horizontal="center" vertical="center"/>
    </xf>
    <xf numFmtId="0" fontId="2" fillId="6" borderId="0" xfId="0" applyFont="1" applyFill="1" applyAlignment="1">
      <alignment horizontal="center"/>
    </xf>
    <xf numFmtId="0" fontId="0" fillId="6" borderId="0" xfId="0" applyFont="1" applyFill="1" applyAlignment="1">
      <alignment horizontal="center"/>
    </xf>
    <xf numFmtId="0" fontId="0" fillId="6" borderId="0" xfId="0" applyFont="1" applyFill="1"/>
    <xf numFmtId="0" fontId="0" fillId="6" borderId="0" xfId="0" applyFont="1" applyFill="1" applyAlignment="1">
      <alignment horizontal="center" vertical="center"/>
    </xf>
    <xf numFmtId="0" fontId="0" fillId="6" borderId="0" xfId="0" applyFont="1" applyFill="1" applyAlignment="1">
      <alignment horizontal="fill" shrinkToFit="1"/>
    </xf>
    <xf numFmtId="0" fontId="0" fillId="6" borderId="0" xfId="0" applyFont="1" applyFill="1" applyAlignment="1">
      <alignment horizontal="fill"/>
    </xf>
    <xf numFmtId="0" fontId="0" fillId="6" borderId="0" xfId="0" applyFont="1" applyFill="1" applyAlignment="1">
      <alignment shrinkToFit="1"/>
    </xf>
    <xf numFmtId="0" fontId="0" fillId="6" borderId="0" xfId="0" applyFont="1" applyFill="1" applyAlignment="1"/>
    <xf numFmtId="0" fontId="0" fillId="6" borderId="0" xfId="0" applyFill="1" applyAlignment="1">
      <alignment horizontal="center" vertical="center"/>
    </xf>
    <xf numFmtId="0" fontId="0" fillId="5" borderId="0" xfId="0" applyFont="1" applyFill="1" applyAlignment="1">
      <alignment horizontal="fill"/>
    </xf>
    <xf numFmtId="0" fontId="0" fillId="5" borderId="0" xfId="0" applyFont="1" applyFill="1" applyAlignment="1"/>
    <xf numFmtId="0" fontId="2" fillId="5" borderId="0" xfId="0" applyFont="1" applyFill="1" applyAlignment="1">
      <alignment horizontal="center"/>
    </xf>
    <xf numFmtId="0" fontId="0" fillId="5" borderId="0" xfId="0" applyFont="1" applyFill="1" applyAlignment="1">
      <alignment horizontal="fill" shrinkToFit="1"/>
    </xf>
    <xf numFmtId="0" fontId="0" fillId="5" borderId="0" xfId="0" applyFont="1" applyFill="1" applyAlignment="1">
      <alignment shrinkToFit="1"/>
    </xf>
    <xf numFmtId="0" fontId="3" fillId="6" borderId="0" xfId="0" applyFont="1" applyFill="1" applyAlignment="1">
      <alignment horizontal="center" vertical="center"/>
    </xf>
    <xf numFmtId="0" fontId="1" fillId="6" borderId="0" xfId="0" applyFont="1" applyFill="1" applyAlignment="1" applyProtection="1">
      <alignment horizontal="center" vertical="center"/>
      <protection locked="0"/>
    </xf>
    <xf numFmtId="0" fontId="1" fillId="7" borderId="0" xfId="0" applyFont="1" applyFill="1" applyAlignment="1" applyProtection="1">
      <alignment horizontal="center" vertical="center"/>
      <protection locked="0"/>
    </xf>
    <xf numFmtId="0" fontId="0" fillId="0" borderId="0" xfId="0" applyFill="1" applyAlignment="1">
      <alignment horizontal="center"/>
    </xf>
    <xf numFmtId="0" fontId="0" fillId="0" borderId="0" xfId="0" applyFill="1" applyAlignment="1">
      <alignment horizontal="left"/>
    </xf>
    <xf numFmtId="0" fontId="1" fillId="2" borderId="0" xfId="0" applyFont="1" applyFill="1" applyAlignment="1">
      <alignment horizontal="center" vertical="center"/>
    </xf>
    <xf numFmtId="0" fontId="0" fillId="8" borderId="0" xfId="0" applyFill="1" applyAlignment="1">
      <alignment horizontal="center"/>
    </xf>
    <xf numFmtId="0" fontId="0" fillId="2" borderId="0" xfId="0" applyFill="1" applyAlignment="1">
      <alignment horizontal="left"/>
    </xf>
    <xf numFmtId="0" fontId="0" fillId="8" borderId="0" xfId="0" applyFill="1"/>
    <xf numFmtId="0" fontId="0" fillId="2" borderId="0" xfId="0" applyFill="1" applyAlignment="1">
      <alignment horizontal="center"/>
    </xf>
    <xf numFmtId="0" fontId="7" fillId="6" borderId="0" xfId="0" applyFont="1" applyFill="1" applyAlignment="1">
      <alignment horizontal="center" vertical="center"/>
    </xf>
    <xf numFmtId="0" fontId="29" fillId="5" borderId="1" xfId="0" applyFont="1" applyFill="1" applyBorder="1" applyAlignment="1">
      <alignment horizontal="left"/>
    </xf>
    <xf numFmtId="0" fontId="15" fillId="2" borderId="5" xfId="0" applyFont="1" applyFill="1" applyBorder="1" applyAlignment="1">
      <alignment horizontal="center" vertical="center" wrapText="1"/>
    </xf>
    <xf numFmtId="0" fontId="15" fillId="2" borderId="5" xfId="0" applyFont="1" applyFill="1" applyBorder="1" applyAlignment="1">
      <alignment horizontal="center" vertical="center"/>
    </xf>
    <xf numFmtId="0" fontId="2" fillId="6" borderId="0" xfId="0" applyFont="1" applyFill="1" applyAlignment="1">
      <alignment horizontal="center"/>
    </xf>
    <xf numFmtId="0" fontId="15" fillId="2" borderId="0" xfId="0" applyFont="1" applyFill="1" applyBorder="1" applyAlignment="1">
      <alignment horizontal="center"/>
    </xf>
    <xf numFmtId="0" fontId="1" fillId="6" borderId="0" xfId="0" applyFont="1" applyFill="1" applyBorder="1" applyAlignment="1">
      <alignment horizontal="left"/>
    </xf>
    <xf numFmtId="0" fontId="1" fillId="2" borderId="0" xfId="0" applyFont="1" applyFill="1" applyBorder="1" applyAlignment="1">
      <alignment horizontal="left"/>
    </xf>
    <xf numFmtId="0" fontId="20" fillId="3" borderId="3" xfId="0" applyFont="1" applyFill="1" applyBorder="1" applyAlignment="1">
      <alignment horizontal="center" vertical="top"/>
    </xf>
    <xf numFmtId="0" fontId="20" fillId="3" borderId="0" xfId="0" applyFont="1" applyFill="1" applyBorder="1" applyAlignment="1">
      <alignment horizontal="center" vertical="top"/>
    </xf>
    <xf numFmtId="0" fontId="0" fillId="2" borderId="0" xfId="0" applyFill="1" applyAlignment="1">
      <alignment horizontal="center"/>
    </xf>
    <xf numFmtId="0" fontId="19" fillId="2" borderId="0" xfId="0" applyFont="1" applyFill="1" applyBorder="1" applyAlignment="1">
      <alignment horizontal="left" vertical="center"/>
    </xf>
    <xf numFmtId="0" fontId="19" fillId="2" borderId="2" xfId="0" applyFont="1" applyFill="1" applyBorder="1" applyAlignment="1">
      <alignment horizontal="left" vertical="center"/>
    </xf>
    <xf numFmtId="0" fontId="1" fillId="4" borderId="0" xfId="0" applyFont="1" applyFill="1" applyBorder="1" applyAlignment="1">
      <alignment horizontal="center" vertical="center"/>
    </xf>
    <xf numFmtId="0" fontId="3" fillId="4" borderId="0" xfId="0" applyFont="1" applyFill="1" applyBorder="1" applyAlignment="1">
      <alignment horizontal="center" vertical="center"/>
    </xf>
    <xf numFmtId="0" fontId="1" fillId="2" borderId="0" xfId="0" applyFont="1" applyFill="1" applyAlignment="1">
      <alignment horizontal="center" vertical="center"/>
    </xf>
    <xf numFmtId="0" fontId="19" fillId="2" borderId="0" xfId="0" applyFont="1" applyFill="1" applyBorder="1" applyAlignment="1">
      <alignment horizontal="left"/>
    </xf>
    <xf numFmtId="0" fontId="3" fillId="2" borderId="0" xfId="0" applyFont="1" applyFill="1" applyBorder="1" applyAlignment="1">
      <alignment horizontal="center" vertical="center"/>
    </xf>
    <xf numFmtId="0" fontId="22" fillId="3" borderId="0" xfId="0" applyFont="1" applyFill="1" applyAlignment="1">
      <alignment horizontal="center"/>
    </xf>
    <xf numFmtId="0" fontId="3" fillId="2" borderId="2" xfId="0" applyFont="1" applyFill="1" applyBorder="1" applyAlignment="1">
      <alignment horizontal="center" vertical="center"/>
    </xf>
    <xf numFmtId="0" fontId="2" fillId="2" borderId="0" xfId="0" applyFont="1" applyFill="1" applyAlignment="1">
      <alignment horizontal="center" vertical="center"/>
    </xf>
    <xf numFmtId="0" fontId="8" fillId="4" borderId="0" xfId="0" applyFont="1" applyFill="1" applyBorder="1" applyAlignment="1">
      <alignment horizontal="center" vertical="center" wrapText="1"/>
    </xf>
    <xf numFmtId="0" fontId="8" fillId="4" borderId="0" xfId="0" applyFont="1" applyFill="1" applyBorder="1" applyAlignment="1">
      <alignment horizontal="center" vertical="center"/>
    </xf>
    <xf numFmtId="0" fontId="2" fillId="5" borderId="0" xfId="0" applyFont="1" applyFill="1" applyAlignment="1">
      <alignment horizontal="center"/>
    </xf>
    <xf numFmtId="0" fontId="2" fillId="6" borderId="0" xfId="0" applyFont="1" applyFill="1" applyAlignment="1">
      <alignment horizontal="center"/>
    </xf>
    <xf numFmtId="0" fontId="2" fillId="2" borderId="0" xfId="0" applyFont="1" applyFill="1" applyAlignment="1">
      <alignment horizontal="center"/>
    </xf>
    <xf numFmtId="0" fontId="5" fillId="5" borderId="0" xfId="0" applyFont="1" applyFill="1" applyBorder="1" applyAlignment="1">
      <alignment horizontal="center" vertical="center"/>
    </xf>
    <xf numFmtId="0" fontId="5" fillId="6" borderId="0" xfId="0" applyFont="1" applyFill="1" applyBorder="1" applyAlignment="1">
      <alignment horizontal="center" vertical="center"/>
    </xf>
    <xf numFmtId="0" fontId="0" fillId="2" borderId="0" xfId="0" applyFont="1" applyFill="1" applyBorder="1" applyAlignment="1">
      <alignment horizontal="center"/>
    </xf>
    <xf numFmtId="0" fontId="0" fillId="2" borderId="2" xfId="0" applyFont="1" applyFill="1" applyBorder="1" applyAlignment="1">
      <alignment horizontal="center"/>
    </xf>
    <xf numFmtId="0" fontId="0" fillId="6" borderId="2" xfId="0" applyFont="1" applyFill="1" applyBorder="1" applyAlignment="1">
      <alignment horizontal="center"/>
    </xf>
    <xf numFmtId="0" fontId="15" fillId="2" borderId="0" xfId="0" applyFont="1" applyFill="1" applyBorder="1" applyAlignment="1">
      <alignment horizontal="center"/>
    </xf>
    <xf numFmtId="0" fontId="26" fillId="2" borderId="0" xfId="0" applyFont="1" applyFill="1" applyAlignment="1">
      <alignment horizontal="center" vertical="center"/>
    </xf>
    <xf numFmtId="0" fontId="32" fillId="0" borderId="1" xfId="0" applyFont="1" applyFill="1" applyBorder="1" applyAlignment="1">
      <alignment horizontal="left"/>
    </xf>
    <xf numFmtId="0" fontId="0" fillId="0" borderId="1" xfId="0" applyFont="1" applyFill="1" applyBorder="1" applyAlignment="1">
      <alignment horizontal="left" vertical="top"/>
    </xf>
  </cellXfs>
  <cellStyles count="2">
    <cellStyle name="Hyperlink" xfId="1" builtinId="8"/>
    <cellStyle name="Normal" xfId="0" builtinId="0"/>
  </cellStyles>
  <dxfs count="13">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6" tint="0.59996337778862885"/>
        </patternFill>
      </fill>
    </dxf>
    <dxf>
      <fill>
        <patternFill>
          <bgColor theme="6" tint="0.59996337778862885"/>
        </patternFill>
      </fill>
    </dxf>
    <dxf>
      <fill>
        <patternFill>
          <bgColor theme="1"/>
        </patternFill>
      </fill>
    </dxf>
    <dxf>
      <fill>
        <patternFill>
          <bgColor theme="0" tint="-0.14996795556505021"/>
        </patternFill>
      </fill>
    </dxf>
    <dxf>
      <font>
        <color theme="4" tint="-0.24994659260841701"/>
      </font>
      <fill>
        <patternFill>
          <bgColor theme="0"/>
        </patternFill>
      </fill>
    </dxf>
    <dxf>
      <fill>
        <patternFill>
          <bgColor rgb="FFFFFF00"/>
        </patternFill>
      </fill>
      <border>
        <left style="thin">
          <color auto="1"/>
        </left>
        <right style="thin">
          <color auto="1"/>
        </right>
        <top style="thin">
          <color auto="1"/>
        </top>
        <bottom style="thin">
          <color auto="1"/>
        </bottom>
      </border>
    </dxf>
    <dxf>
      <fill>
        <patternFill patternType="solid">
          <fgColor indexed="64"/>
          <bgColor rgb="FFF59B7F"/>
        </patternFill>
      </fill>
    </dxf>
    <dxf>
      <fill>
        <patternFill patternType="solid">
          <fgColor indexed="64"/>
          <bgColor rgb="FF92D050"/>
        </patternFill>
      </fill>
    </dxf>
    <dxf>
      <fill>
        <patternFill patternType="solid">
          <fgColor indexed="64"/>
          <bgColor rgb="FF92D050"/>
        </patternFill>
      </fill>
    </dxf>
    <dxf>
      <fill>
        <patternFill patternType="solid">
          <fgColor indexed="64"/>
          <bgColor rgb="FFFFFF00"/>
        </patternFill>
      </fill>
    </dxf>
    <dxf>
      <fill>
        <patternFill patternType="solid">
          <fgColor indexed="64"/>
          <bgColor rgb="FFF59B7F"/>
        </patternFill>
      </fill>
    </dxf>
  </dxfs>
  <tableStyles count="0" defaultTableStyle="TableStyleMedium2" defaultPivotStyle="PivotStyleLight16"/>
  <colors>
    <mruColors>
      <color rgb="FFFFCA53"/>
      <color rgb="FFE8E8E8"/>
      <color rgb="FFBFCCDD"/>
      <color rgb="FF00278A"/>
      <color rgb="FF001342"/>
      <color rgb="FFFFB91D"/>
      <color rgb="FFFDD880"/>
      <color rgb="FF6F6754"/>
      <color rgb="FFF59B7F"/>
      <color rgb="FF33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mailto:marc.monnette@parker.com?subject=Universal%20BOM%20Tool%20Bug%20or%20Error" TargetMode="External"/><Relationship Id="rId1" Type="http://schemas.openxmlformats.org/officeDocument/2006/relationships/image" Target="../media/image1.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95250</xdr:colOff>
      <xdr:row>9</xdr:row>
      <xdr:rowOff>152400</xdr:rowOff>
    </xdr:from>
    <xdr:to>
      <xdr:col>6</xdr:col>
      <xdr:colOff>333375</xdr:colOff>
      <xdr:row>9</xdr:row>
      <xdr:rowOff>1238250</xdr:rowOff>
    </xdr:to>
    <xdr:sp macro="" textlink="">
      <xdr:nvSpPr>
        <xdr:cNvPr id="18" name="QNMenuBack" hidden="1">
          <a:extLst>
            <a:ext uri="{FF2B5EF4-FFF2-40B4-BE49-F238E27FC236}">
              <a16:creationId xmlns:a16="http://schemas.microsoft.com/office/drawing/2014/main" id="{098AE8FB-E29E-4393-BB72-883D496DB2ED}"/>
            </a:ext>
          </a:extLst>
        </xdr:cNvPr>
        <xdr:cNvSpPr/>
      </xdr:nvSpPr>
      <xdr:spPr>
        <a:xfrm>
          <a:off x="2533650" y="1866900"/>
          <a:ext cx="1457325" cy="1085850"/>
        </a:xfrm>
        <a:prstGeom prst="roundRect">
          <a:avLst>
            <a:gd name="adj" fmla="val 7576"/>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419100</xdr:colOff>
      <xdr:row>9</xdr:row>
      <xdr:rowOff>180972</xdr:rowOff>
    </xdr:from>
    <xdr:to>
      <xdr:col>9</xdr:col>
      <xdr:colOff>47625</xdr:colOff>
      <xdr:row>9</xdr:row>
      <xdr:rowOff>1790699</xdr:rowOff>
    </xdr:to>
    <xdr:sp macro="" textlink="">
      <xdr:nvSpPr>
        <xdr:cNvPr id="19" name="QTMenuBack" hidden="1">
          <a:extLst>
            <a:ext uri="{FF2B5EF4-FFF2-40B4-BE49-F238E27FC236}">
              <a16:creationId xmlns:a16="http://schemas.microsoft.com/office/drawing/2014/main" id="{0AB4C20A-2D42-4455-9425-1859AD1F572F}"/>
            </a:ext>
          </a:extLst>
        </xdr:cNvPr>
        <xdr:cNvSpPr/>
      </xdr:nvSpPr>
      <xdr:spPr>
        <a:xfrm>
          <a:off x="4076700" y="1895472"/>
          <a:ext cx="1457325" cy="1609727"/>
        </a:xfrm>
        <a:prstGeom prst="roundRect">
          <a:avLst>
            <a:gd name="adj" fmla="val 7576"/>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438150</xdr:colOff>
      <xdr:row>4</xdr:row>
      <xdr:rowOff>133351</xdr:rowOff>
    </xdr:from>
    <xdr:to>
      <xdr:col>3</xdr:col>
      <xdr:colOff>447675</xdr:colOff>
      <xdr:row>8</xdr:row>
      <xdr:rowOff>62255</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895351"/>
          <a:ext cx="1838325" cy="6909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238124</xdr:colOff>
      <xdr:row>10</xdr:row>
      <xdr:rowOff>28575</xdr:rowOff>
    </xdr:from>
    <xdr:to>
      <xdr:col>3</xdr:col>
      <xdr:colOff>342900</xdr:colOff>
      <xdr:row>12</xdr:row>
      <xdr:rowOff>66675</xdr:rowOff>
    </xdr:to>
    <xdr:sp macro="[0]!PRINTER_CLICK" textlink="">
      <xdr:nvSpPr>
        <xdr:cNvPr id="6" name="Rectangle: Rounded Corners 5">
          <a:extLst>
            <a:ext uri="{FF2B5EF4-FFF2-40B4-BE49-F238E27FC236}">
              <a16:creationId xmlns:a16="http://schemas.microsoft.com/office/drawing/2014/main" id="{00000000-0008-0000-0000-000006000000}"/>
            </a:ext>
          </a:extLst>
        </xdr:cNvPr>
        <xdr:cNvSpPr>
          <a:spLocks noChangeAspect="1"/>
        </xdr:cNvSpPr>
      </xdr:nvSpPr>
      <xdr:spPr>
        <a:xfrm>
          <a:off x="238124" y="2124075"/>
          <a:ext cx="1933576" cy="419100"/>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tx1"/>
              </a:solidFill>
            </a:rPr>
            <a:t>BOM</a:t>
          </a:r>
          <a:r>
            <a:rPr lang="en-US" sz="1400" baseline="0">
              <a:solidFill>
                <a:schemeClr val="tx1"/>
              </a:solidFill>
            </a:rPr>
            <a:t> Printer</a:t>
          </a:r>
          <a:endParaRPr lang="en-US" sz="1400">
            <a:solidFill>
              <a:schemeClr val="tx1"/>
            </a:solidFill>
          </a:endParaRPr>
        </a:p>
      </xdr:txBody>
    </xdr:sp>
    <xdr:clientData/>
  </xdr:twoCellAnchor>
  <xdr:twoCellAnchor editAs="absolute">
    <xdr:from>
      <xdr:col>0</xdr:col>
      <xdr:colOff>228600</xdr:colOff>
      <xdr:row>13</xdr:row>
      <xdr:rowOff>9525</xdr:rowOff>
    </xdr:from>
    <xdr:to>
      <xdr:col>3</xdr:col>
      <xdr:colOff>333376</xdr:colOff>
      <xdr:row>15</xdr:row>
      <xdr:rowOff>47625</xdr:rowOff>
    </xdr:to>
    <xdr:sp macro="[0]!COMPARISON_CLICK" textlink="">
      <xdr:nvSpPr>
        <xdr:cNvPr id="7" name="Rectangle: Rounded Corners 6">
          <a:extLst>
            <a:ext uri="{FF2B5EF4-FFF2-40B4-BE49-F238E27FC236}">
              <a16:creationId xmlns:a16="http://schemas.microsoft.com/office/drawing/2014/main" id="{00000000-0008-0000-0000-000007000000}"/>
            </a:ext>
          </a:extLst>
        </xdr:cNvPr>
        <xdr:cNvSpPr>
          <a:spLocks noChangeAspect="1"/>
        </xdr:cNvSpPr>
      </xdr:nvSpPr>
      <xdr:spPr>
        <a:xfrm>
          <a:off x="228600" y="2676525"/>
          <a:ext cx="1933576" cy="419100"/>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tx1"/>
              </a:solidFill>
            </a:rPr>
            <a:t>BOM Comparison</a:t>
          </a:r>
        </a:p>
      </xdr:txBody>
    </xdr:sp>
    <xdr:clientData/>
  </xdr:twoCellAnchor>
  <xdr:twoCellAnchor>
    <xdr:from>
      <xdr:col>0</xdr:col>
      <xdr:colOff>228600</xdr:colOff>
      <xdr:row>36</xdr:row>
      <xdr:rowOff>161925</xdr:rowOff>
    </xdr:from>
    <xdr:to>
      <xdr:col>3</xdr:col>
      <xdr:colOff>333376</xdr:colOff>
      <xdr:row>39</xdr:row>
      <xdr:rowOff>0</xdr:rowOff>
    </xdr:to>
    <xdr:sp macro="[0]!PRINTER_CLICK" textlink="">
      <xdr:nvSpPr>
        <xdr:cNvPr id="9" name="Rectangle: Rounded Corners 8">
          <a:hlinkClick xmlns:r="http://schemas.openxmlformats.org/officeDocument/2006/relationships" r:id="rId2"/>
          <a:extLst>
            <a:ext uri="{FF2B5EF4-FFF2-40B4-BE49-F238E27FC236}">
              <a16:creationId xmlns:a16="http://schemas.microsoft.com/office/drawing/2014/main" id="{00000000-0008-0000-0000-000009000000}"/>
            </a:ext>
          </a:extLst>
        </xdr:cNvPr>
        <xdr:cNvSpPr/>
      </xdr:nvSpPr>
      <xdr:spPr>
        <a:xfrm>
          <a:off x="228600" y="7229475"/>
          <a:ext cx="1933576" cy="409575"/>
        </a:xfrm>
        <a:prstGeom prst="roundRect">
          <a:avLst>
            <a:gd name="adj" fmla="val 50000"/>
          </a:avLst>
        </a:prstGeom>
        <a:solidFill>
          <a:srgbClr val="0027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bg1"/>
              </a:solidFill>
            </a:rPr>
            <a:t>Report</a:t>
          </a:r>
          <a:r>
            <a:rPr lang="en-US" sz="1400" baseline="0">
              <a:solidFill>
                <a:schemeClr val="bg1"/>
              </a:solidFill>
            </a:rPr>
            <a:t> a Bug</a:t>
          </a:r>
          <a:endParaRPr lang="en-US" sz="1400">
            <a:solidFill>
              <a:schemeClr val="bg1"/>
            </a:solidFill>
          </a:endParaRPr>
        </a:p>
      </xdr:txBody>
    </xdr:sp>
    <xdr:clientData/>
  </xdr:twoCellAnchor>
  <xdr:twoCellAnchor editAs="oneCell">
    <xdr:from>
      <xdr:col>20</xdr:col>
      <xdr:colOff>285749</xdr:colOff>
      <xdr:row>10</xdr:row>
      <xdr:rowOff>123825</xdr:rowOff>
    </xdr:from>
    <xdr:to>
      <xdr:col>26</xdr:col>
      <xdr:colOff>219074</xdr:colOff>
      <xdr:row>29</xdr:row>
      <xdr:rowOff>95250</xdr:rowOff>
    </xdr:to>
    <xdr:pic>
      <xdr:nvPicPr>
        <xdr:cNvPr id="12" name="Picture 11" descr="Hydraulic Cylinders | Parker NA">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477749" y="2219325"/>
          <a:ext cx="3590925" cy="3590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381000</xdr:colOff>
      <xdr:row>17</xdr:row>
      <xdr:rowOff>180975</xdr:rowOff>
    </xdr:from>
    <xdr:to>
      <xdr:col>19</xdr:col>
      <xdr:colOff>342900</xdr:colOff>
      <xdr:row>21</xdr:row>
      <xdr:rowOff>95250</xdr:rowOff>
    </xdr:to>
    <xdr:sp macro="" textlink="">
      <xdr:nvSpPr>
        <xdr:cNvPr id="22" name="Arrow: Right 21">
          <a:extLst>
            <a:ext uri="{FF2B5EF4-FFF2-40B4-BE49-F238E27FC236}">
              <a16:creationId xmlns:a16="http://schemas.microsoft.com/office/drawing/2014/main" id="{00000000-0008-0000-0000-000016000000}"/>
            </a:ext>
          </a:extLst>
        </xdr:cNvPr>
        <xdr:cNvSpPr/>
      </xdr:nvSpPr>
      <xdr:spPr>
        <a:xfrm>
          <a:off x="10134600" y="3609975"/>
          <a:ext cx="1790700" cy="676275"/>
        </a:xfrm>
        <a:prstGeom prst="rightArrow">
          <a:avLst/>
        </a:prstGeom>
        <a:solidFill>
          <a:srgbClr val="FFB91D"/>
        </a:solidFill>
        <a:ln>
          <a:solidFill>
            <a:srgbClr val="FFB91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279354</xdr:colOff>
      <xdr:row>11</xdr:row>
      <xdr:rowOff>123825</xdr:rowOff>
    </xdr:from>
    <xdr:to>
      <xdr:col>15</xdr:col>
      <xdr:colOff>407339</xdr:colOff>
      <xdr:row>27</xdr:row>
      <xdr:rowOff>113209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4"/>
        <a:stretch>
          <a:fillRect/>
        </a:stretch>
      </xdr:blipFill>
      <xdr:spPr>
        <a:xfrm>
          <a:off x="3327354" y="2409825"/>
          <a:ext cx="6223985" cy="3037384"/>
        </a:xfrm>
        <a:custGeom>
          <a:avLst/>
          <a:gdLst>
            <a:gd name="connsiteX0" fmla="*/ 0 w 6223985"/>
            <a:gd name="connsiteY0" fmla="*/ 0 h 3037384"/>
            <a:gd name="connsiteX1" fmla="*/ 629314 w 6223985"/>
            <a:gd name="connsiteY1" fmla="*/ 0 h 3037384"/>
            <a:gd name="connsiteX2" fmla="*/ 1134148 w 6223985"/>
            <a:gd name="connsiteY2" fmla="*/ 0 h 3037384"/>
            <a:gd name="connsiteX3" fmla="*/ 1950182 w 6223985"/>
            <a:gd name="connsiteY3" fmla="*/ 0 h 3037384"/>
            <a:gd name="connsiteX4" fmla="*/ 2641736 w 6223985"/>
            <a:gd name="connsiteY4" fmla="*/ 0 h 3037384"/>
            <a:gd name="connsiteX5" fmla="*/ 3395530 w 6223985"/>
            <a:gd name="connsiteY5" fmla="*/ 0 h 3037384"/>
            <a:gd name="connsiteX6" fmla="*/ 4087083 w 6223985"/>
            <a:gd name="connsiteY6" fmla="*/ 0 h 3037384"/>
            <a:gd name="connsiteX7" fmla="*/ 4903117 w 6223985"/>
            <a:gd name="connsiteY7" fmla="*/ 0 h 3037384"/>
            <a:gd name="connsiteX8" fmla="*/ 5470191 w 6223985"/>
            <a:gd name="connsiteY8" fmla="*/ 0 h 3037384"/>
            <a:gd name="connsiteX9" fmla="*/ 6223985 w 6223985"/>
            <a:gd name="connsiteY9" fmla="*/ 0 h 3037384"/>
            <a:gd name="connsiteX10" fmla="*/ 6223985 w 6223985"/>
            <a:gd name="connsiteY10" fmla="*/ 607477 h 3037384"/>
            <a:gd name="connsiteX11" fmla="*/ 6223985 w 6223985"/>
            <a:gd name="connsiteY11" fmla="*/ 1275701 h 3037384"/>
            <a:gd name="connsiteX12" fmla="*/ 6223985 w 6223985"/>
            <a:gd name="connsiteY12" fmla="*/ 1943926 h 3037384"/>
            <a:gd name="connsiteX13" fmla="*/ 6223985 w 6223985"/>
            <a:gd name="connsiteY13" fmla="*/ 3037384 h 3037384"/>
            <a:gd name="connsiteX14" fmla="*/ 5719151 w 6223985"/>
            <a:gd name="connsiteY14" fmla="*/ 3037384 h 3037384"/>
            <a:gd name="connsiteX15" fmla="*/ 5214316 w 6223985"/>
            <a:gd name="connsiteY15" fmla="*/ 3037384 h 3037384"/>
            <a:gd name="connsiteX16" fmla="*/ 4709482 w 6223985"/>
            <a:gd name="connsiteY16" fmla="*/ 3037384 h 3037384"/>
            <a:gd name="connsiteX17" fmla="*/ 3955688 w 6223985"/>
            <a:gd name="connsiteY17" fmla="*/ 3037384 h 3037384"/>
            <a:gd name="connsiteX18" fmla="*/ 3450854 w 6223985"/>
            <a:gd name="connsiteY18" fmla="*/ 3037384 h 3037384"/>
            <a:gd name="connsiteX19" fmla="*/ 2821540 w 6223985"/>
            <a:gd name="connsiteY19" fmla="*/ 3037384 h 3037384"/>
            <a:gd name="connsiteX20" fmla="*/ 2129986 w 6223985"/>
            <a:gd name="connsiteY20" fmla="*/ 3037384 h 3037384"/>
            <a:gd name="connsiteX21" fmla="*/ 1625152 w 6223985"/>
            <a:gd name="connsiteY21" fmla="*/ 3037384 h 3037384"/>
            <a:gd name="connsiteX22" fmla="*/ 995838 w 6223985"/>
            <a:gd name="connsiteY22" fmla="*/ 3037384 h 3037384"/>
            <a:gd name="connsiteX23" fmla="*/ 0 w 6223985"/>
            <a:gd name="connsiteY23" fmla="*/ 3037384 h 3037384"/>
            <a:gd name="connsiteX24" fmla="*/ 0 w 6223985"/>
            <a:gd name="connsiteY24" fmla="*/ 2369160 h 3037384"/>
            <a:gd name="connsiteX25" fmla="*/ 0 w 6223985"/>
            <a:gd name="connsiteY25" fmla="*/ 1822430 h 3037384"/>
            <a:gd name="connsiteX26" fmla="*/ 0 w 6223985"/>
            <a:gd name="connsiteY26" fmla="*/ 1306075 h 3037384"/>
            <a:gd name="connsiteX27" fmla="*/ 0 w 6223985"/>
            <a:gd name="connsiteY27" fmla="*/ 789720 h 3037384"/>
            <a:gd name="connsiteX28" fmla="*/ 0 w 6223985"/>
            <a:gd name="connsiteY28" fmla="*/ 0 h 30373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6223985" h="3037384" fill="none" extrusionOk="0">
              <a:moveTo>
                <a:pt x="0" y="0"/>
              </a:moveTo>
              <a:cubicBezTo>
                <a:pt x="222661" y="-20112"/>
                <a:pt x="432523" y="-13374"/>
                <a:pt x="629314" y="0"/>
              </a:cubicBezTo>
              <a:cubicBezTo>
                <a:pt x="826105" y="13374"/>
                <a:pt x="950098" y="-10900"/>
                <a:pt x="1134148" y="0"/>
              </a:cubicBezTo>
              <a:cubicBezTo>
                <a:pt x="1318198" y="10900"/>
                <a:pt x="1543918" y="16086"/>
                <a:pt x="1950182" y="0"/>
              </a:cubicBezTo>
              <a:cubicBezTo>
                <a:pt x="2356446" y="-16086"/>
                <a:pt x="2439166" y="11459"/>
                <a:pt x="2641736" y="0"/>
              </a:cubicBezTo>
              <a:cubicBezTo>
                <a:pt x="2844306" y="-11459"/>
                <a:pt x="3114570" y="35850"/>
                <a:pt x="3395530" y="0"/>
              </a:cubicBezTo>
              <a:cubicBezTo>
                <a:pt x="3676490" y="-35850"/>
                <a:pt x="3889604" y="-30"/>
                <a:pt x="4087083" y="0"/>
              </a:cubicBezTo>
              <a:cubicBezTo>
                <a:pt x="4284562" y="30"/>
                <a:pt x="4557653" y="-20986"/>
                <a:pt x="4903117" y="0"/>
              </a:cubicBezTo>
              <a:cubicBezTo>
                <a:pt x="5248581" y="20986"/>
                <a:pt x="5347572" y="25149"/>
                <a:pt x="5470191" y="0"/>
              </a:cubicBezTo>
              <a:cubicBezTo>
                <a:pt x="5592810" y="-25149"/>
                <a:pt x="5970257" y="-16151"/>
                <a:pt x="6223985" y="0"/>
              </a:cubicBezTo>
              <a:cubicBezTo>
                <a:pt x="6199355" y="270673"/>
                <a:pt x="6245603" y="327331"/>
                <a:pt x="6223985" y="607477"/>
              </a:cubicBezTo>
              <a:cubicBezTo>
                <a:pt x="6202367" y="887623"/>
                <a:pt x="6248271" y="1113573"/>
                <a:pt x="6223985" y="1275701"/>
              </a:cubicBezTo>
              <a:cubicBezTo>
                <a:pt x="6199699" y="1437829"/>
                <a:pt x="6256482" y="1723734"/>
                <a:pt x="6223985" y="1943926"/>
              </a:cubicBezTo>
              <a:cubicBezTo>
                <a:pt x="6191488" y="2164118"/>
                <a:pt x="6196016" y="2670650"/>
                <a:pt x="6223985" y="3037384"/>
              </a:cubicBezTo>
              <a:cubicBezTo>
                <a:pt x="5971792" y="3022217"/>
                <a:pt x="5847344" y="3061576"/>
                <a:pt x="5719151" y="3037384"/>
              </a:cubicBezTo>
              <a:cubicBezTo>
                <a:pt x="5590958" y="3013192"/>
                <a:pt x="5368019" y="3021761"/>
                <a:pt x="5214316" y="3037384"/>
              </a:cubicBezTo>
              <a:cubicBezTo>
                <a:pt x="5060613" y="3053007"/>
                <a:pt x="4943367" y="3034540"/>
                <a:pt x="4709482" y="3037384"/>
              </a:cubicBezTo>
              <a:cubicBezTo>
                <a:pt x="4475597" y="3040228"/>
                <a:pt x="4131607" y="3042647"/>
                <a:pt x="3955688" y="3037384"/>
              </a:cubicBezTo>
              <a:cubicBezTo>
                <a:pt x="3779769" y="3032121"/>
                <a:pt x="3569713" y="3014595"/>
                <a:pt x="3450854" y="3037384"/>
              </a:cubicBezTo>
              <a:cubicBezTo>
                <a:pt x="3331995" y="3060173"/>
                <a:pt x="3056753" y="3051536"/>
                <a:pt x="2821540" y="3037384"/>
              </a:cubicBezTo>
              <a:cubicBezTo>
                <a:pt x="2586327" y="3023232"/>
                <a:pt x="2417105" y="3064844"/>
                <a:pt x="2129986" y="3037384"/>
              </a:cubicBezTo>
              <a:cubicBezTo>
                <a:pt x="1842867" y="3009924"/>
                <a:pt x="1831304" y="3028671"/>
                <a:pt x="1625152" y="3037384"/>
              </a:cubicBezTo>
              <a:cubicBezTo>
                <a:pt x="1419000" y="3046097"/>
                <a:pt x="1294169" y="3062465"/>
                <a:pt x="995838" y="3037384"/>
              </a:cubicBezTo>
              <a:cubicBezTo>
                <a:pt x="697507" y="3012303"/>
                <a:pt x="478603" y="3025885"/>
                <a:pt x="0" y="3037384"/>
              </a:cubicBezTo>
              <a:cubicBezTo>
                <a:pt x="26815" y="2854445"/>
                <a:pt x="-18895" y="2505146"/>
                <a:pt x="0" y="2369160"/>
              </a:cubicBezTo>
              <a:cubicBezTo>
                <a:pt x="18895" y="2233174"/>
                <a:pt x="-10662" y="1939923"/>
                <a:pt x="0" y="1822430"/>
              </a:cubicBezTo>
              <a:cubicBezTo>
                <a:pt x="10662" y="1704937"/>
                <a:pt x="-4920" y="1414618"/>
                <a:pt x="0" y="1306075"/>
              </a:cubicBezTo>
              <a:cubicBezTo>
                <a:pt x="4920" y="1197532"/>
                <a:pt x="-17189" y="1000370"/>
                <a:pt x="0" y="789720"/>
              </a:cubicBezTo>
              <a:cubicBezTo>
                <a:pt x="17189" y="579071"/>
                <a:pt x="2378" y="241933"/>
                <a:pt x="0" y="0"/>
              </a:cubicBezTo>
              <a:close/>
            </a:path>
            <a:path w="6223985" h="3037384" stroke="0" extrusionOk="0">
              <a:moveTo>
                <a:pt x="0" y="0"/>
              </a:moveTo>
              <a:cubicBezTo>
                <a:pt x="290300" y="-16974"/>
                <a:pt x="511745" y="-23557"/>
                <a:pt x="816034" y="0"/>
              </a:cubicBezTo>
              <a:cubicBezTo>
                <a:pt x="1120323" y="23557"/>
                <a:pt x="1207914" y="-1452"/>
                <a:pt x="1507587" y="0"/>
              </a:cubicBezTo>
              <a:cubicBezTo>
                <a:pt x="1807260" y="1452"/>
                <a:pt x="2056797" y="-35800"/>
                <a:pt x="2323621" y="0"/>
              </a:cubicBezTo>
              <a:cubicBezTo>
                <a:pt x="2590445" y="35800"/>
                <a:pt x="2660701" y="-24138"/>
                <a:pt x="2828455" y="0"/>
              </a:cubicBezTo>
              <a:cubicBezTo>
                <a:pt x="2996209" y="24138"/>
                <a:pt x="3120230" y="-1016"/>
                <a:pt x="3395530" y="0"/>
              </a:cubicBezTo>
              <a:cubicBezTo>
                <a:pt x="3670830" y="1016"/>
                <a:pt x="3737666" y="-8335"/>
                <a:pt x="3962604" y="0"/>
              </a:cubicBezTo>
              <a:cubicBezTo>
                <a:pt x="4187542" y="8335"/>
                <a:pt x="4454940" y="21370"/>
                <a:pt x="4654158" y="0"/>
              </a:cubicBezTo>
              <a:cubicBezTo>
                <a:pt x="4853376" y="-21370"/>
                <a:pt x="5202323" y="-26896"/>
                <a:pt x="5345712" y="0"/>
              </a:cubicBezTo>
              <a:cubicBezTo>
                <a:pt x="5489101" y="26896"/>
                <a:pt x="6022445" y="-29844"/>
                <a:pt x="6223985" y="0"/>
              </a:cubicBezTo>
              <a:cubicBezTo>
                <a:pt x="6247931" y="278524"/>
                <a:pt x="6248637" y="415019"/>
                <a:pt x="6223985" y="577103"/>
              </a:cubicBezTo>
              <a:cubicBezTo>
                <a:pt x="6199333" y="739187"/>
                <a:pt x="6233290" y="901488"/>
                <a:pt x="6223985" y="1123832"/>
              </a:cubicBezTo>
              <a:cubicBezTo>
                <a:pt x="6214680" y="1346176"/>
                <a:pt x="6225707" y="1496639"/>
                <a:pt x="6223985" y="1700935"/>
              </a:cubicBezTo>
              <a:cubicBezTo>
                <a:pt x="6222263" y="1905231"/>
                <a:pt x="6231575" y="2037517"/>
                <a:pt x="6223985" y="2217290"/>
              </a:cubicBezTo>
              <a:cubicBezTo>
                <a:pt x="6216395" y="2397063"/>
                <a:pt x="6213027" y="2691520"/>
                <a:pt x="6223985" y="3037384"/>
              </a:cubicBezTo>
              <a:cubicBezTo>
                <a:pt x="5856989" y="3065918"/>
                <a:pt x="5777664" y="3022113"/>
                <a:pt x="5470191" y="3037384"/>
              </a:cubicBezTo>
              <a:cubicBezTo>
                <a:pt x="5162718" y="3052655"/>
                <a:pt x="5201542" y="3043821"/>
                <a:pt x="4965357" y="3037384"/>
              </a:cubicBezTo>
              <a:cubicBezTo>
                <a:pt x="4729172" y="3030947"/>
                <a:pt x="4559381" y="3048695"/>
                <a:pt x="4336043" y="3037384"/>
              </a:cubicBezTo>
              <a:cubicBezTo>
                <a:pt x="4112705" y="3026073"/>
                <a:pt x="3914497" y="3016575"/>
                <a:pt x="3644489" y="3037384"/>
              </a:cubicBezTo>
              <a:cubicBezTo>
                <a:pt x="3374481" y="3058193"/>
                <a:pt x="3320482" y="3048411"/>
                <a:pt x="3077415" y="3037384"/>
              </a:cubicBezTo>
              <a:cubicBezTo>
                <a:pt x="2834348" y="3026357"/>
                <a:pt x="2625257" y="3001151"/>
                <a:pt x="2323621" y="3037384"/>
              </a:cubicBezTo>
              <a:cubicBezTo>
                <a:pt x="2021985" y="3073617"/>
                <a:pt x="1761505" y="3016467"/>
                <a:pt x="1507587" y="3037384"/>
              </a:cubicBezTo>
              <a:cubicBezTo>
                <a:pt x="1253669" y="3058301"/>
                <a:pt x="1148434" y="3038119"/>
                <a:pt x="940513" y="3037384"/>
              </a:cubicBezTo>
              <a:cubicBezTo>
                <a:pt x="732592" y="3036649"/>
                <a:pt x="235470" y="3006767"/>
                <a:pt x="0" y="3037384"/>
              </a:cubicBezTo>
              <a:cubicBezTo>
                <a:pt x="-12057" y="2873247"/>
                <a:pt x="23997" y="2613522"/>
                <a:pt x="0" y="2399533"/>
              </a:cubicBezTo>
              <a:cubicBezTo>
                <a:pt x="-23997" y="2185544"/>
                <a:pt x="-5355" y="2039375"/>
                <a:pt x="0" y="1731309"/>
              </a:cubicBezTo>
              <a:cubicBezTo>
                <a:pt x="5355" y="1423243"/>
                <a:pt x="-9748" y="1342645"/>
                <a:pt x="0" y="1214954"/>
              </a:cubicBezTo>
              <a:cubicBezTo>
                <a:pt x="9748" y="1087263"/>
                <a:pt x="-25515" y="719413"/>
                <a:pt x="0" y="577103"/>
              </a:cubicBezTo>
              <a:cubicBezTo>
                <a:pt x="25515" y="434793"/>
                <a:pt x="-28110" y="197301"/>
                <a:pt x="0" y="0"/>
              </a:cubicBezTo>
              <a:close/>
            </a:path>
          </a:pathLst>
        </a:custGeom>
        <a:ln w="76200">
          <a:solidFill>
            <a:srgbClr val="FFB91D"/>
          </a:solidFill>
          <a:extLst>
            <a:ext uri="{C807C97D-BFC1-408E-A445-0C87EB9F89A2}">
              <ask:lineSketchStyleProps xmlns:ask="http://schemas.microsoft.com/office/drawing/2018/sketchyshapes" sd="1943578550">
                <a:prstGeom prst="rect">
                  <a:avLst/>
                </a:prstGeom>
                <ask:type>
                  <ask:lineSketchFreehand/>
                </ask:type>
              </ask:lineSketchStyleProps>
            </a:ext>
          </a:extLst>
        </a:ln>
      </xdr:spPr>
    </xdr:pic>
    <xdr:clientData/>
  </xdr:twoCellAnchor>
  <xdr:twoCellAnchor editAs="absolute">
    <xdr:from>
      <xdr:col>4</xdr:col>
      <xdr:colOff>95249</xdr:colOff>
      <xdr:row>9</xdr:row>
      <xdr:rowOff>85725</xdr:rowOff>
    </xdr:from>
    <xdr:to>
      <xdr:col>6</xdr:col>
      <xdr:colOff>333375</xdr:colOff>
      <xdr:row>9</xdr:row>
      <xdr:rowOff>345856</xdr:rowOff>
    </xdr:to>
    <xdr:sp macro="[0]!ExpandMenu" textlink="">
      <xdr:nvSpPr>
        <xdr:cNvPr id="20" name="Expand Menu">
          <a:extLst>
            <a:ext uri="{FF2B5EF4-FFF2-40B4-BE49-F238E27FC236}">
              <a16:creationId xmlns:a16="http://schemas.microsoft.com/office/drawing/2014/main" id="{27FBDB21-1EBA-4880-A102-308D45EBB4C4}"/>
            </a:ext>
          </a:extLst>
        </xdr:cNvPr>
        <xdr:cNvSpPr>
          <a:spLocks noChangeAspect="1"/>
        </xdr:cNvSpPr>
      </xdr:nvSpPr>
      <xdr:spPr>
        <a:xfrm>
          <a:off x="2533649" y="1800225"/>
          <a:ext cx="1457326" cy="260131"/>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 MSS Quick Nav. </a:t>
          </a:r>
        </a:p>
      </xdr:txBody>
    </xdr:sp>
    <xdr:clientData fPrintsWithSheet="0"/>
  </xdr:twoCellAnchor>
  <xdr:twoCellAnchor editAs="absolute">
    <xdr:from>
      <xdr:col>4</xdr:col>
      <xdr:colOff>200025</xdr:colOff>
      <xdr:row>11</xdr:row>
      <xdr:rowOff>86034</xdr:rowOff>
    </xdr:from>
    <xdr:to>
      <xdr:col>6</xdr:col>
      <xdr:colOff>206411</xdr:colOff>
      <xdr:row>12</xdr:row>
      <xdr:rowOff>114300</xdr:rowOff>
    </xdr:to>
    <xdr:sp macro="[0]!Go_1_6" textlink="">
      <xdr:nvSpPr>
        <xdr:cNvPr id="21" name="GoItemMasterRectangle" hidden="1">
          <a:extLst>
            <a:ext uri="{FF2B5EF4-FFF2-40B4-BE49-F238E27FC236}">
              <a16:creationId xmlns:a16="http://schemas.microsoft.com/office/drawing/2014/main" id="{DD42CF86-2DED-45F1-A500-B117ECCCDAD6}"/>
            </a:ext>
          </a:extLst>
        </xdr:cNvPr>
        <xdr:cNvSpPr>
          <a:spLocks noChangeAspect="1"/>
        </xdr:cNvSpPr>
      </xdr:nvSpPr>
      <xdr:spPr>
        <a:xfrm>
          <a:off x="2638425" y="2372034"/>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1.6</a:t>
          </a:r>
        </a:p>
      </xdr:txBody>
    </xdr:sp>
    <xdr:clientData fPrintsWithSheet="0"/>
  </xdr:twoCellAnchor>
  <xdr:twoCellAnchor editAs="absolute">
    <xdr:from>
      <xdr:col>4</xdr:col>
      <xdr:colOff>200025</xdr:colOff>
      <xdr:row>12</xdr:row>
      <xdr:rowOff>162234</xdr:rowOff>
    </xdr:from>
    <xdr:to>
      <xdr:col>6</xdr:col>
      <xdr:colOff>206411</xdr:colOff>
      <xdr:row>14</xdr:row>
      <xdr:rowOff>0</xdr:rowOff>
    </xdr:to>
    <xdr:sp macro="[0]!Go_3_JJ" textlink="">
      <xdr:nvSpPr>
        <xdr:cNvPr id="23" name="GoJJRectangle" hidden="1">
          <a:extLst>
            <a:ext uri="{FF2B5EF4-FFF2-40B4-BE49-F238E27FC236}">
              <a16:creationId xmlns:a16="http://schemas.microsoft.com/office/drawing/2014/main" id="{27B8AC9A-F212-4E32-ABFD-1079E7C4E5F9}"/>
            </a:ext>
          </a:extLst>
        </xdr:cNvPr>
        <xdr:cNvSpPr>
          <a:spLocks noChangeAspect="1"/>
        </xdr:cNvSpPr>
      </xdr:nvSpPr>
      <xdr:spPr>
        <a:xfrm>
          <a:off x="2638425" y="2638734"/>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3.JJ</a:t>
          </a:r>
        </a:p>
      </xdr:txBody>
    </xdr:sp>
    <xdr:clientData fPrintsWithSheet="0"/>
  </xdr:twoCellAnchor>
  <xdr:twoCellAnchor editAs="absolute">
    <xdr:from>
      <xdr:col>4</xdr:col>
      <xdr:colOff>200025</xdr:colOff>
      <xdr:row>10</xdr:row>
      <xdr:rowOff>9834</xdr:rowOff>
    </xdr:from>
    <xdr:to>
      <xdr:col>6</xdr:col>
      <xdr:colOff>206411</xdr:colOff>
      <xdr:row>11</xdr:row>
      <xdr:rowOff>38100</xdr:rowOff>
    </xdr:to>
    <xdr:sp macro="[0]!GoHome" textlink="">
      <xdr:nvSpPr>
        <xdr:cNvPr id="24" name="GoHomeRectangle" hidden="1">
          <a:extLst>
            <a:ext uri="{FF2B5EF4-FFF2-40B4-BE49-F238E27FC236}">
              <a16:creationId xmlns:a16="http://schemas.microsoft.com/office/drawing/2014/main" id="{DB17D631-D9AB-49D8-8DEE-33B2A24A980A}"/>
            </a:ext>
          </a:extLst>
        </xdr:cNvPr>
        <xdr:cNvSpPr>
          <a:spLocks noChangeAspect="1"/>
        </xdr:cNvSpPr>
      </xdr:nvSpPr>
      <xdr:spPr>
        <a:xfrm>
          <a:off x="2638425" y="2105334"/>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1.10</a:t>
          </a:r>
        </a:p>
      </xdr:txBody>
    </xdr:sp>
    <xdr:clientData fPrintsWithSheet="0"/>
  </xdr:twoCellAnchor>
  <xdr:twoCellAnchor editAs="absolute">
    <xdr:from>
      <xdr:col>6</xdr:col>
      <xdr:colOff>419099</xdr:colOff>
      <xdr:row>9</xdr:row>
      <xdr:rowOff>85725</xdr:rowOff>
    </xdr:from>
    <xdr:to>
      <xdr:col>9</xdr:col>
      <xdr:colOff>47625</xdr:colOff>
      <xdr:row>9</xdr:row>
      <xdr:rowOff>345856</xdr:rowOff>
    </xdr:to>
    <xdr:sp macro="[0]!ExpandMenu" textlink="">
      <xdr:nvSpPr>
        <xdr:cNvPr id="13" name="Quick Tools">
          <a:extLst>
            <a:ext uri="{FF2B5EF4-FFF2-40B4-BE49-F238E27FC236}">
              <a16:creationId xmlns:a16="http://schemas.microsoft.com/office/drawing/2014/main" id="{123358F1-88F0-47E7-9D0C-0F4E86A7B199}"/>
            </a:ext>
          </a:extLst>
        </xdr:cNvPr>
        <xdr:cNvSpPr>
          <a:spLocks noChangeAspect="1"/>
        </xdr:cNvSpPr>
      </xdr:nvSpPr>
      <xdr:spPr>
        <a:xfrm>
          <a:off x="4076699" y="1800225"/>
          <a:ext cx="1457326" cy="260131"/>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 Quick Tools</a:t>
          </a:r>
        </a:p>
      </xdr:txBody>
    </xdr:sp>
    <xdr:clientData fPrintsWithSheet="0"/>
  </xdr:twoCellAnchor>
  <xdr:twoCellAnchor editAs="absolute">
    <xdr:from>
      <xdr:col>6</xdr:col>
      <xdr:colOff>542925</xdr:colOff>
      <xdr:row>11</xdr:row>
      <xdr:rowOff>86034</xdr:rowOff>
    </xdr:from>
    <xdr:to>
      <xdr:col>8</xdr:col>
      <xdr:colOff>549311</xdr:colOff>
      <xdr:row>12</xdr:row>
      <xdr:rowOff>114300</xdr:rowOff>
    </xdr:to>
    <xdr:sp macro="[0]!PCSQuickStart" textlink="">
      <xdr:nvSpPr>
        <xdr:cNvPr id="14" name="PCSLauncherRectangle" hidden="1">
          <a:extLst>
            <a:ext uri="{FF2B5EF4-FFF2-40B4-BE49-F238E27FC236}">
              <a16:creationId xmlns:a16="http://schemas.microsoft.com/office/drawing/2014/main" id="{20BA8042-FCF2-49F4-8FF3-AC9D3054F584}"/>
            </a:ext>
          </a:extLst>
        </xdr:cNvPr>
        <xdr:cNvSpPr>
          <a:spLocks noChangeAspect="1"/>
        </xdr:cNvSpPr>
      </xdr:nvSpPr>
      <xdr:spPr>
        <a:xfrm>
          <a:off x="4200525" y="2372034"/>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PCS Launcher</a:t>
          </a:r>
        </a:p>
      </xdr:txBody>
    </xdr:sp>
    <xdr:clientData fPrintsWithSheet="0"/>
  </xdr:twoCellAnchor>
  <xdr:twoCellAnchor editAs="absolute">
    <xdr:from>
      <xdr:col>6</xdr:col>
      <xdr:colOff>542925</xdr:colOff>
      <xdr:row>12</xdr:row>
      <xdr:rowOff>162234</xdr:rowOff>
    </xdr:from>
    <xdr:to>
      <xdr:col>8</xdr:col>
      <xdr:colOff>549311</xdr:colOff>
      <xdr:row>14</xdr:row>
      <xdr:rowOff>0</xdr:rowOff>
    </xdr:to>
    <xdr:sp macro="[0]!searchEnovia" textlink="">
      <xdr:nvSpPr>
        <xdr:cNvPr id="15" name="BOMCheckerRectangle" hidden="1">
          <a:extLst>
            <a:ext uri="{FF2B5EF4-FFF2-40B4-BE49-F238E27FC236}">
              <a16:creationId xmlns:a16="http://schemas.microsoft.com/office/drawing/2014/main" id="{676422BD-FEA1-482F-A599-F11621B43356}"/>
            </a:ext>
          </a:extLst>
        </xdr:cNvPr>
        <xdr:cNvSpPr>
          <a:spLocks noChangeAspect="1"/>
        </xdr:cNvSpPr>
      </xdr:nvSpPr>
      <xdr:spPr>
        <a:xfrm>
          <a:off x="4200525" y="2638734"/>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Doc Search</a:t>
          </a:r>
        </a:p>
      </xdr:txBody>
    </xdr:sp>
    <xdr:clientData fPrintsWithSheet="0"/>
  </xdr:twoCellAnchor>
  <xdr:twoCellAnchor editAs="absolute">
    <xdr:from>
      <xdr:col>6</xdr:col>
      <xdr:colOff>542925</xdr:colOff>
      <xdr:row>10</xdr:row>
      <xdr:rowOff>9834</xdr:rowOff>
    </xdr:from>
    <xdr:to>
      <xdr:col>8</xdr:col>
      <xdr:colOff>549311</xdr:colOff>
      <xdr:row>11</xdr:row>
      <xdr:rowOff>38100</xdr:rowOff>
    </xdr:to>
    <xdr:sp macro="[0]!OrderFacePrint" textlink="">
      <xdr:nvSpPr>
        <xdr:cNvPr id="16" name="OrderFacePrinterRectangle" hidden="1">
          <a:extLst>
            <a:ext uri="{FF2B5EF4-FFF2-40B4-BE49-F238E27FC236}">
              <a16:creationId xmlns:a16="http://schemas.microsoft.com/office/drawing/2014/main" id="{82ACB573-3821-4DAD-9E1C-86E4E4CB1C43}"/>
            </a:ext>
          </a:extLst>
        </xdr:cNvPr>
        <xdr:cNvSpPr>
          <a:spLocks noChangeAspect="1"/>
        </xdr:cNvSpPr>
      </xdr:nvSpPr>
      <xdr:spPr>
        <a:xfrm>
          <a:off x="4200525" y="2105334"/>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200">
              <a:solidFill>
                <a:schemeClr val="tx1"/>
              </a:solidFill>
            </a:rPr>
            <a:t>Order Face Printer</a:t>
          </a:r>
        </a:p>
      </xdr:txBody>
    </xdr:sp>
    <xdr:clientData fPrintsWithSheet="0"/>
  </xdr:twoCellAnchor>
  <xdr:twoCellAnchor editAs="absolute">
    <xdr:from>
      <xdr:col>6</xdr:col>
      <xdr:colOff>542925</xdr:colOff>
      <xdr:row>14</xdr:row>
      <xdr:rowOff>57459</xdr:rowOff>
    </xdr:from>
    <xdr:to>
      <xdr:col>8</xdr:col>
      <xdr:colOff>549311</xdr:colOff>
      <xdr:row>15</xdr:row>
      <xdr:rowOff>85725</xdr:rowOff>
    </xdr:to>
    <xdr:sp macro="[0]!LOGIN_CLICK" textlink="">
      <xdr:nvSpPr>
        <xdr:cNvPr id="17" name="MSSvLoginRectangle" hidden="1">
          <a:extLst>
            <a:ext uri="{FF2B5EF4-FFF2-40B4-BE49-F238E27FC236}">
              <a16:creationId xmlns:a16="http://schemas.microsoft.com/office/drawing/2014/main" id="{94B21B1F-4D1E-470D-BF07-6812EEBE34D7}"/>
            </a:ext>
          </a:extLst>
        </xdr:cNvPr>
        <xdr:cNvSpPr>
          <a:spLocks noChangeAspect="1"/>
        </xdr:cNvSpPr>
      </xdr:nvSpPr>
      <xdr:spPr>
        <a:xfrm>
          <a:off x="4200525" y="2914959"/>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MSSv Login</a:t>
          </a:r>
        </a:p>
      </xdr:txBody>
    </xdr:sp>
    <xdr:clientData fPrintsWithSheet="0"/>
  </xdr:twoCellAnchor>
  <xdr:twoCellAnchor editAs="absolute">
    <xdr:from>
      <xdr:col>6</xdr:col>
      <xdr:colOff>542925</xdr:colOff>
      <xdr:row>15</xdr:row>
      <xdr:rowOff>142875</xdr:rowOff>
    </xdr:from>
    <xdr:to>
      <xdr:col>8</xdr:col>
      <xdr:colOff>561974</xdr:colOff>
      <xdr:row>16</xdr:row>
      <xdr:rowOff>180975</xdr:rowOff>
    </xdr:to>
    <xdr:sp macro="[0]!WHERE_USED_CLICK" textlink="">
      <xdr:nvSpPr>
        <xdr:cNvPr id="3" name="WhereUsedRectangle" hidden="1">
          <a:extLst>
            <a:ext uri="{FF2B5EF4-FFF2-40B4-BE49-F238E27FC236}">
              <a16:creationId xmlns:a16="http://schemas.microsoft.com/office/drawing/2014/main" id="{A3EDD7F8-C76B-4378-9658-09C6361E1891}"/>
            </a:ext>
          </a:extLst>
        </xdr:cNvPr>
        <xdr:cNvSpPr/>
      </xdr:nvSpPr>
      <xdr:spPr>
        <a:xfrm>
          <a:off x="4200525" y="3190875"/>
          <a:ext cx="1238249" cy="228600"/>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Where Used</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438150</xdr:colOff>
      <xdr:row>4</xdr:row>
      <xdr:rowOff>133351</xdr:rowOff>
    </xdr:from>
    <xdr:to>
      <xdr:col>3</xdr:col>
      <xdr:colOff>447675</xdr:colOff>
      <xdr:row>8</xdr:row>
      <xdr:rowOff>62255</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895351"/>
          <a:ext cx="1838325" cy="6909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104775</xdr:colOff>
      <xdr:row>9</xdr:row>
      <xdr:rowOff>152401</xdr:rowOff>
    </xdr:from>
    <xdr:to>
      <xdr:col>9</xdr:col>
      <xdr:colOff>619125</xdr:colOff>
      <xdr:row>9</xdr:row>
      <xdr:rowOff>1219201</xdr:rowOff>
    </xdr:to>
    <xdr:sp macro="" textlink="">
      <xdr:nvSpPr>
        <xdr:cNvPr id="20" name="QNMenuBack" hidden="1">
          <a:extLst>
            <a:ext uri="{FF2B5EF4-FFF2-40B4-BE49-F238E27FC236}">
              <a16:creationId xmlns:a16="http://schemas.microsoft.com/office/drawing/2014/main" id="{B2D9E293-3913-464C-8765-4EA38831D17A}"/>
            </a:ext>
          </a:extLst>
        </xdr:cNvPr>
        <xdr:cNvSpPr/>
      </xdr:nvSpPr>
      <xdr:spPr>
        <a:xfrm>
          <a:off x="2543175" y="1866901"/>
          <a:ext cx="1457325" cy="1066800"/>
        </a:xfrm>
        <a:prstGeom prst="roundRect">
          <a:avLst>
            <a:gd name="adj" fmla="val 7576"/>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695325</xdr:colOff>
      <xdr:row>9</xdr:row>
      <xdr:rowOff>152399</xdr:rowOff>
    </xdr:from>
    <xdr:to>
      <xdr:col>10</xdr:col>
      <xdr:colOff>361950</xdr:colOff>
      <xdr:row>9</xdr:row>
      <xdr:rowOff>1781175</xdr:rowOff>
    </xdr:to>
    <xdr:sp macro="" textlink="">
      <xdr:nvSpPr>
        <xdr:cNvPr id="21" name="QTMenuBack" hidden="1">
          <a:extLst>
            <a:ext uri="{FF2B5EF4-FFF2-40B4-BE49-F238E27FC236}">
              <a16:creationId xmlns:a16="http://schemas.microsoft.com/office/drawing/2014/main" id="{93508AE7-9E8B-4F13-A64C-44A58864DB94}"/>
            </a:ext>
          </a:extLst>
        </xdr:cNvPr>
        <xdr:cNvSpPr/>
      </xdr:nvSpPr>
      <xdr:spPr>
        <a:xfrm>
          <a:off x="4076700" y="1866899"/>
          <a:ext cx="1457325" cy="1628776"/>
        </a:xfrm>
        <a:prstGeom prst="roundRect">
          <a:avLst>
            <a:gd name="adj" fmla="val 7576"/>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438150</xdr:colOff>
      <xdr:row>4</xdr:row>
      <xdr:rowOff>133350</xdr:rowOff>
    </xdr:from>
    <xdr:to>
      <xdr:col>6</xdr:col>
      <xdr:colOff>2274663</xdr:colOff>
      <xdr:row>8</xdr:row>
      <xdr:rowOff>65885</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895350"/>
          <a:ext cx="1838325" cy="6909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6</xdr:col>
      <xdr:colOff>238125</xdr:colOff>
      <xdr:row>10</xdr:row>
      <xdr:rowOff>57150</xdr:rowOff>
    </xdr:from>
    <xdr:to>
      <xdr:col>6</xdr:col>
      <xdr:colOff>2209800</xdr:colOff>
      <xdr:row>12</xdr:row>
      <xdr:rowOff>85725</xdr:rowOff>
    </xdr:to>
    <xdr:sp macro="[0]!COMPARISON_RETURN_HOME" textlink="">
      <xdr:nvSpPr>
        <xdr:cNvPr id="4" name="Rectangle: Rounded Corners 3">
          <a:extLst>
            <a:ext uri="{FF2B5EF4-FFF2-40B4-BE49-F238E27FC236}">
              <a16:creationId xmlns:a16="http://schemas.microsoft.com/office/drawing/2014/main" id="{00000000-0008-0000-0300-000004000000}"/>
            </a:ext>
          </a:extLst>
        </xdr:cNvPr>
        <xdr:cNvSpPr/>
      </xdr:nvSpPr>
      <xdr:spPr>
        <a:xfrm>
          <a:off x="238125" y="2152650"/>
          <a:ext cx="1971675" cy="419100"/>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tx1"/>
              </a:solidFill>
            </a:rPr>
            <a:t>Return</a:t>
          </a:r>
          <a:r>
            <a:rPr lang="en-US" sz="1400" baseline="0">
              <a:solidFill>
                <a:schemeClr val="tx1"/>
              </a:solidFill>
            </a:rPr>
            <a:t> Home</a:t>
          </a:r>
          <a:endParaRPr lang="en-US" sz="1400">
            <a:solidFill>
              <a:schemeClr val="tx1"/>
            </a:solidFill>
          </a:endParaRPr>
        </a:p>
      </xdr:txBody>
    </xdr:sp>
    <xdr:clientData fPrintsWithSheet="0"/>
  </xdr:twoCellAnchor>
  <xdr:twoCellAnchor editAs="absolute">
    <xdr:from>
      <xdr:col>6</xdr:col>
      <xdr:colOff>238125</xdr:colOff>
      <xdr:row>14</xdr:row>
      <xdr:rowOff>371474</xdr:rowOff>
    </xdr:from>
    <xdr:to>
      <xdr:col>6</xdr:col>
      <xdr:colOff>2209800</xdr:colOff>
      <xdr:row>16</xdr:row>
      <xdr:rowOff>47624</xdr:rowOff>
    </xdr:to>
    <xdr:sp macro="[0]!BOM_COMPARISON" textlink="">
      <xdr:nvSpPr>
        <xdr:cNvPr id="5" name="Rectangle: Rounded Corners 4">
          <a:extLst>
            <a:ext uri="{FF2B5EF4-FFF2-40B4-BE49-F238E27FC236}">
              <a16:creationId xmlns:a16="http://schemas.microsoft.com/office/drawing/2014/main" id="{00000000-0008-0000-0300-000005000000}"/>
            </a:ext>
          </a:extLst>
        </xdr:cNvPr>
        <xdr:cNvSpPr/>
      </xdr:nvSpPr>
      <xdr:spPr>
        <a:xfrm>
          <a:off x="238125" y="3324224"/>
          <a:ext cx="1971675" cy="428625"/>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tx1"/>
              </a:solidFill>
            </a:rPr>
            <a:t>Compare</a:t>
          </a:r>
          <a:r>
            <a:rPr lang="en-US" sz="1400" baseline="0">
              <a:solidFill>
                <a:schemeClr val="tx1"/>
              </a:solidFill>
            </a:rPr>
            <a:t> BOM's</a:t>
          </a:r>
          <a:endParaRPr lang="en-US" sz="1400">
            <a:solidFill>
              <a:schemeClr val="tx1"/>
            </a:solidFill>
          </a:endParaRPr>
        </a:p>
      </xdr:txBody>
    </xdr:sp>
    <xdr:clientData fPrintsWithSheet="0"/>
  </xdr:twoCellAnchor>
  <xdr:twoCellAnchor editAs="absolute">
    <xdr:from>
      <xdr:col>6</xdr:col>
      <xdr:colOff>238125</xdr:colOff>
      <xdr:row>16</xdr:row>
      <xdr:rowOff>123825</xdr:rowOff>
    </xdr:from>
    <xdr:to>
      <xdr:col>6</xdr:col>
      <xdr:colOff>2209800</xdr:colOff>
      <xdr:row>18</xdr:row>
      <xdr:rowOff>161925</xdr:rowOff>
    </xdr:to>
    <xdr:sp macro="[0]!CLEAR_BOM_COMPARISON" textlink="">
      <xdr:nvSpPr>
        <xdr:cNvPr id="6" name="Rectangle: Rounded Corners 5" hidden="1">
          <a:extLst>
            <a:ext uri="{FF2B5EF4-FFF2-40B4-BE49-F238E27FC236}">
              <a16:creationId xmlns:a16="http://schemas.microsoft.com/office/drawing/2014/main" id="{00000000-0008-0000-0300-000006000000}"/>
            </a:ext>
          </a:extLst>
        </xdr:cNvPr>
        <xdr:cNvSpPr/>
      </xdr:nvSpPr>
      <xdr:spPr>
        <a:xfrm>
          <a:off x="238125" y="3829050"/>
          <a:ext cx="1971675" cy="419100"/>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tx1"/>
              </a:solidFill>
            </a:rPr>
            <a:t>Clear Comparison</a:t>
          </a:r>
        </a:p>
      </xdr:txBody>
    </xdr:sp>
    <xdr:clientData fPrintsWithSheet="0"/>
  </xdr:twoCellAnchor>
  <xdr:twoCellAnchor editAs="absolute">
    <xdr:from>
      <xdr:col>0</xdr:col>
      <xdr:colOff>0</xdr:colOff>
      <xdr:row>13</xdr:row>
      <xdr:rowOff>209550</xdr:rowOff>
    </xdr:from>
    <xdr:to>
      <xdr:col>6</xdr:col>
      <xdr:colOff>2428874</xdr:colOff>
      <xdr:row>14</xdr:row>
      <xdr:rowOff>333375</xdr:rowOff>
    </xdr:to>
    <xdr:sp macro="" textlink="">
      <xdr:nvSpPr>
        <xdr:cNvPr id="14" name="TextBox 13">
          <a:extLst>
            <a:ext uri="{FF2B5EF4-FFF2-40B4-BE49-F238E27FC236}">
              <a16:creationId xmlns:a16="http://schemas.microsoft.com/office/drawing/2014/main" id="{BED387DA-AA28-5282-374F-C7FEF5AD4F11}"/>
            </a:ext>
          </a:extLst>
        </xdr:cNvPr>
        <xdr:cNvSpPr txBox="1"/>
      </xdr:nvSpPr>
      <xdr:spPr>
        <a:xfrm>
          <a:off x="0" y="2895600"/>
          <a:ext cx="2428874"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lstStyle/>
        <a:p>
          <a:pPr algn="ctr"/>
          <a:r>
            <a:rPr lang="en-US" sz="2200" b="1">
              <a:latin typeface="+mn-lt"/>
            </a:rPr>
            <a:t>Comparison Options</a:t>
          </a:r>
        </a:p>
      </xdr:txBody>
    </xdr:sp>
    <xdr:clientData fPrintsWithSheet="0"/>
  </xdr:twoCellAnchor>
  <xdr:twoCellAnchor editAs="absolute">
    <xdr:from>
      <xdr:col>7</xdr:col>
      <xdr:colOff>104775</xdr:colOff>
      <xdr:row>9</xdr:row>
      <xdr:rowOff>76200</xdr:rowOff>
    </xdr:from>
    <xdr:to>
      <xdr:col>9</xdr:col>
      <xdr:colOff>619126</xdr:colOff>
      <xdr:row>9</xdr:row>
      <xdr:rowOff>336331</xdr:rowOff>
    </xdr:to>
    <xdr:sp macro="[0]!ExpandMenu" textlink="">
      <xdr:nvSpPr>
        <xdr:cNvPr id="2" name="Expand Menu">
          <a:extLst>
            <a:ext uri="{FF2B5EF4-FFF2-40B4-BE49-F238E27FC236}">
              <a16:creationId xmlns:a16="http://schemas.microsoft.com/office/drawing/2014/main" id="{53A2B0D9-B085-4AB0-A545-7F5DD6D7D164}"/>
            </a:ext>
          </a:extLst>
        </xdr:cNvPr>
        <xdr:cNvSpPr>
          <a:spLocks noChangeAspect="1"/>
        </xdr:cNvSpPr>
      </xdr:nvSpPr>
      <xdr:spPr>
        <a:xfrm>
          <a:off x="2543175" y="1790700"/>
          <a:ext cx="1457326" cy="260131"/>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 MSS Quick Nav. </a:t>
          </a:r>
        </a:p>
      </xdr:txBody>
    </xdr:sp>
    <xdr:clientData fPrintsWithSheet="0"/>
  </xdr:twoCellAnchor>
  <xdr:twoCellAnchor editAs="absolute">
    <xdr:from>
      <xdr:col>7</xdr:col>
      <xdr:colOff>219076</xdr:colOff>
      <xdr:row>11</xdr:row>
      <xdr:rowOff>76509</xdr:rowOff>
    </xdr:from>
    <xdr:to>
      <xdr:col>9</xdr:col>
      <xdr:colOff>501687</xdr:colOff>
      <xdr:row>12</xdr:row>
      <xdr:rowOff>95250</xdr:rowOff>
    </xdr:to>
    <xdr:sp macro="[0]!Go_1_6" textlink="">
      <xdr:nvSpPr>
        <xdr:cNvPr id="7" name="GoItemMasterRectangle" hidden="1">
          <a:extLst>
            <a:ext uri="{FF2B5EF4-FFF2-40B4-BE49-F238E27FC236}">
              <a16:creationId xmlns:a16="http://schemas.microsoft.com/office/drawing/2014/main" id="{F81E84AC-D74A-4EFD-9455-AD953A5CCEAB}"/>
            </a:ext>
          </a:extLst>
        </xdr:cNvPr>
        <xdr:cNvSpPr>
          <a:spLocks noChangeAspect="1"/>
        </xdr:cNvSpPr>
      </xdr:nvSpPr>
      <xdr:spPr>
        <a:xfrm>
          <a:off x="2657476" y="2362509"/>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1.6</a:t>
          </a:r>
        </a:p>
      </xdr:txBody>
    </xdr:sp>
    <xdr:clientData fPrintsWithSheet="0"/>
  </xdr:twoCellAnchor>
  <xdr:twoCellAnchor editAs="absolute">
    <xdr:from>
      <xdr:col>7</xdr:col>
      <xdr:colOff>219076</xdr:colOff>
      <xdr:row>12</xdr:row>
      <xdr:rowOff>143184</xdr:rowOff>
    </xdr:from>
    <xdr:to>
      <xdr:col>9</xdr:col>
      <xdr:colOff>501687</xdr:colOff>
      <xdr:row>13</xdr:row>
      <xdr:rowOff>161925</xdr:rowOff>
    </xdr:to>
    <xdr:sp macro="[0]!Go_3_JJ" textlink="">
      <xdr:nvSpPr>
        <xdr:cNvPr id="8" name="GoJJRectangle" hidden="1">
          <a:extLst>
            <a:ext uri="{FF2B5EF4-FFF2-40B4-BE49-F238E27FC236}">
              <a16:creationId xmlns:a16="http://schemas.microsoft.com/office/drawing/2014/main" id="{55888A9A-3F71-4B6B-9E5C-0AD7F30CA2A6}"/>
            </a:ext>
          </a:extLst>
        </xdr:cNvPr>
        <xdr:cNvSpPr>
          <a:spLocks noChangeAspect="1"/>
        </xdr:cNvSpPr>
      </xdr:nvSpPr>
      <xdr:spPr>
        <a:xfrm>
          <a:off x="2657476" y="2629209"/>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3.JJ</a:t>
          </a:r>
        </a:p>
      </xdr:txBody>
    </xdr:sp>
    <xdr:clientData fPrintsWithSheet="0"/>
  </xdr:twoCellAnchor>
  <xdr:twoCellAnchor editAs="absolute">
    <xdr:from>
      <xdr:col>7</xdr:col>
      <xdr:colOff>219076</xdr:colOff>
      <xdr:row>10</xdr:row>
      <xdr:rowOff>309</xdr:rowOff>
    </xdr:from>
    <xdr:to>
      <xdr:col>9</xdr:col>
      <xdr:colOff>501687</xdr:colOff>
      <xdr:row>11</xdr:row>
      <xdr:rowOff>28575</xdr:rowOff>
    </xdr:to>
    <xdr:sp macro="[0]!GoHome" textlink="">
      <xdr:nvSpPr>
        <xdr:cNvPr id="9" name="GoHomeRectangle" hidden="1">
          <a:extLst>
            <a:ext uri="{FF2B5EF4-FFF2-40B4-BE49-F238E27FC236}">
              <a16:creationId xmlns:a16="http://schemas.microsoft.com/office/drawing/2014/main" id="{C4870FF6-5BD5-4A65-B143-B7BE37F2C09A}"/>
            </a:ext>
          </a:extLst>
        </xdr:cNvPr>
        <xdr:cNvSpPr>
          <a:spLocks noChangeAspect="1"/>
        </xdr:cNvSpPr>
      </xdr:nvSpPr>
      <xdr:spPr>
        <a:xfrm>
          <a:off x="2657476" y="2095809"/>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1.10</a:t>
          </a:r>
        </a:p>
      </xdr:txBody>
    </xdr:sp>
    <xdr:clientData fPrintsWithSheet="0"/>
  </xdr:twoCellAnchor>
  <xdr:twoCellAnchor editAs="absolute">
    <xdr:from>
      <xdr:col>9</xdr:col>
      <xdr:colOff>695325</xdr:colOff>
      <xdr:row>9</xdr:row>
      <xdr:rowOff>76200</xdr:rowOff>
    </xdr:from>
    <xdr:to>
      <xdr:col>10</xdr:col>
      <xdr:colOff>361951</xdr:colOff>
      <xdr:row>9</xdr:row>
      <xdr:rowOff>336331</xdr:rowOff>
    </xdr:to>
    <xdr:sp macro="[0]!ExpandMenu" textlink="">
      <xdr:nvSpPr>
        <xdr:cNvPr id="15" name="Quick Tools">
          <a:extLst>
            <a:ext uri="{FF2B5EF4-FFF2-40B4-BE49-F238E27FC236}">
              <a16:creationId xmlns:a16="http://schemas.microsoft.com/office/drawing/2014/main" id="{36B06D7F-1C1A-4185-8A85-DC2F17F05801}"/>
            </a:ext>
          </a:extLst>
        </xdr:cNvPr>
        <xdr:cNvSpPr>
          <a:spLocks noChangeAspect="1"/>
        </xdr:cNvSpPr>
      </xdr:nvSpPr>
      <xdr:spPr>
        <a:xfrm>
          <a:off x="4076700" y="1790700"/>
          <a:ext cx="1457326" cy="260131"/>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 Quick Tools</a:t>
          </a:r>
        </a:p>
      </xdr:txBody>
    </xdr:sp>
    <xdr:clientData fPrintsWithSheet="0"/>
  </xdr:twoCellAnchor>
  <xdr:twoCellAnchor editAs="absolute">
    <xdr:from>
      <xdr:col>9</xdr:col>
      <xdr:colOff>809626</xdr:colOff>
      <xdr:row>11</xdr:row>
      <xdr:rowOff>76509</xdr:rowOff>
    </xdr:from>
    <xdr:to>
      <xdr:col>10</xdr:col>
      <xdr:colOff>244512</xdr:colOff>
      <xdr:row>12</xdr:row>
      <xdr:rowOff>95250</xdr:rowOff>
    </xdr:to>
    <xdr:sp macro="[0]!PCSQuickStart" textlink="">
      <xdr:nvSpPr>
        <xdr:cNvPr id="16" name="PCSLauncherRectangle" hidden="1">
          <a:extLst>
            <a:ext uri="{FF2B5EF4-FFF2-40B4-BE49-F238E27FC236}">
              <a16:creationId xmlns:a16="http://schemas.microsoft.com/office/drawing/2014/main" id="{BBFBE26A-F920-486C-8A5D-338C392A0673}"/>
            </a:ext>
          </a:extLst>
        </xdr:cNvPr>
        <xdr:cNvSpPr>
          <a:spLocks noChangeAspect="1"/>
        </xdr:cNvSpPr>
      </xdr:nvSpPr>
      <xdr:spPr>
        <a:xfrm>
          <a:off x="4191001" y="2362509"/>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PCS Launcher</a:t>
          </a:r>
        </a:p>
      </xdr:txBody>
    </xdr:sp>
    <xdr:clientData fPrintsWithSheet="0"/>
  </xdr:twoCellAnchor>
  <xdr:twoCellAnchor editAs="absolute">
    <xdr:from>
      <xdr:col>9</xdr:col>
      <xdr:colOff>809626</xdr:colOff>
      <xdr:row>12</xdr:row>
      <xdr:rowOff>143184</xdr:rowOff>
    </xdr:from>
    <xdr:to>
      <xdr:col>10</xdr:col>
      <xdr:colOff>244512</xdr:colOff>
      <xdr:row>13</xdr:row>
      <xdr:rowOff>161925</xdr:rowOff>
    </xdr:to>
    <xdr:sp macro="[0]!searchEnovia" textlink="">
      <xdr:nvSpPr>
        <xdr:cNvPr id="17" name="BOMCheckerRectangle" hidden="1">
          <a:extLst>
            <a:ext uri="{FF2B5EF4-FFF2-40B4-BE49-F238E27FC236}">
              <a16:creationId xmlns:a16="http://schemas.microsoft.com/office/drawing/2014/main" id="{CA64F143-BF2C-4DE9-A7F4-A27DABFDEF23}"/>
            </a:ext>
          </a:extLst>
        </xdr:cNvPr>
        <xdr:cNvSpPr>
          <a:spLocks noChangeAspect="1"/>
        </xdr:cNvSpPr>
      </xdr:nvSpPr>
      <xdr:spPr>
        <a:xfrm>
          <a:off x="4191001" y="2629209"/>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Doc</a:t>
          </a:r>
          <a:r>
            <a:rPr lang="en-US" sz="1200" baseline="0">
              <a:solidFill>
                <a:schemeClr val="tx1"/>
              </a:solidFill>
            </a:rPr>
            <a:t> Search</a:t>
          </a:r>
          <a:endParaRPr lang="en-US" sz="1200">
            <a:solidFill>
              <a:schemeClr val="tx1"/>
            </a:solidFill>
          </a:endParaRPr>
        </a:p>
      </xdr:txBody>
    </xdr:sp>
    <xdr:clientData fPrintsWithSheet="0"/>
  </xdr:twoCellAnchor>
  <xdr:twoCellAnchor editAs="absolute">
    <xdr:from>
      <xdr:col>9</xdr:col>
      <xdr:colOff>809626</xdr:colOff>
      <xdr:row>10</xdr:row>
      <xdr:rowOff>309</xdr:rowOff>
    </xdr:from>
    <xdr:to>
      <xdr:col>10</xdr:col>
      <xdr:colOff>244512</xdr:colOff>
      <xdr:row>11</xdr:row>
      <xdr:rowOff>28575</xdr:rowOff>
    </xdr:to>
    <xdr:sp macro="[0]!OrderFacePrint" textlink="">
      <xdr:nvSpPr>
        <xdr:cNvPr id="18" name="OrderFacePrinterRectangle" hidden="1">
          <a:extLst>
            <a:ext uri="{FF2B5EF4-FFF2-40B4-BE49-F238E27FC236}">
              <a16:creationId xmlns:a16="http://schemas.microsoft.com/office/drawing/2014/main" id="{162E7ADE-1FE2-4DD7-BA98-9F3C8B5AD046}"/>
            </a:ext>
          </a:extLst>
        </xdr:cNvPr>
        <xdr:cNvSpPr>
          <a:spLocks noChangeAspect="1"/>
        </xdr:cNvSpPr>
      </xdr:nvSpPr>
      <xdr:spPr>
        <a:xfrm>
          <a:off x="4191001" y="2095809"/>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200">
              <a:solidFill>
                <a:schemeClr val="tx1"/>
              </a:solidFill>
            </a:rPr>
            <a:t>Order Face Printer</a:t>
          </a:r>
        </a:p>
      </xdr:txBody>
    </xdr:sp>
    <xdr:clientData fPrintsWithSheet="0"/>
  </xdr:twoCellAnchor>
  <xdr:twoCellAnchor editAs="absolute">
    <xdr:from>
      <xdr:col>9</xdr:col>
      <xdr:colOff>809626</xdr:colOff>
      <xdr:row>13</xdr:row>
      <xdr:rowOff>219384</xdr:rowOff>
    </xdr:from>
    <xdr:to>
      <xdr:col>10</xdr:col>
      <xdr:colOff>244512</xdr:colOff>
      <xdr:row>14</xdr:row>
      <xdr:rowOff>171450</xdr:rowOff>
    </xdr:to>
    <xdr:sp macro="[0]!LOGIN_CLICK" textlink="">
      <xdr:nvSpPr>
        <xdr:cNvPr id="19" name="MSSvLoginRectangle" hidden="1">
          <a:extLst>
            <a:ext uri="{FF2B5EF4-FFF2-40B4-BE49-F238E27FC236}">
              <a16:creationId xmlns:a16="http://schemas.microsoft.com/office/drawing/2014/main" id="{65A6FAEB-F03F-410A-A513-F9A427E23CC0}"/>
            </a:ext>
          </a:extLst>
        </xdr:cNvPr>
        <xdr:cNvSpPr>
          <a:spLocks noChangeAspect="1"/>
        </xdr:cNvSpPr>
      </xdr:nvSpPr>
      <xdr:spPr>
        <a:xfrm>
          <a:off x="4191001" y="2905434"/>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MSSv Login</a:t>
          </a:r>
        </a:p>
      </xdr:txBody>
    </xdr:sp>
    <xdr:clientData fPrintsWithSheet="0"/>
  </xdr:twoCellAnchor>
  <xdr:twoCellAnchor editAs="absolute">
    <xdr:from>
      <xdr:col>6</xdr:col>
      <xdr:colOff>209551</xdr:colOff>
      <xdr:row>22</xdr:row>
      <xdr:rowOff>76201</xdr:rowOff>
    </xdr:from>
    <xdr:to>
      <xdr:col>6</xdr:col>
      <xdr:colOff>2276475</xdr:colOff>
      <xdr:row>24</xdr:row>
      <xdr:rowOff>114301</xdr:rowOff>
    </xdr:to>
    <xdr:sp macro="[0]!ADD_EXISITNG_PART_CLICK" textlink="">
      <xdr:nvSpPr>
        <xdr:cNvPr id="11" name="Rectangle: Rounded Corners 10" hidden="1">
          <a:extLst>
            <a:ext uri="{FF2B5EF4-FFF2-40B4-BE49-F238E27FC236}">
              <a16:creationId xmlns:a16="http://schemas.microsoft.com/office/drawing/2014/main" id="{6543253D-5858-450D-B7D4-C0D9109A7A5E}"/>
            </a:ext>
          </a:extLst>
        </xdr:cNvPr>
        <xdr:cNvSpPr/>
      </xdr:nvSpPr>
      <xdr:spPr>
        <a:xfrm>
          <a:off x="209551" y="4924426"/>
          <a:ext cx="2066924" cy="419100"/>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tx1"/>
              </a:solidFill>
            </a:rPr>
            <a:t>Add An Existing Part</a:t>
          </a:r>
        </a:p>
      </xdr:txBody>
    </xdr:sp>
    <xdr:clientData fPrintsWithSheet="0"/>
  </xdr:twoCellAnchor>
  <xdr:twoCellAnchor editAs="absolute">
    <xdr:from>
      <xdr:col>6</xdr:col>
      <xdr:colOff>19050</xdr:colOff>
      <xdr:row>20</xdr:row>
      <xdr:rowOff>38100</xdr:rowOff>
    </xdr:from>
    <xdr:to>
      <xdr:col>7</xdr:col>
      <xdr:colOff>9524</xdr:colOff>
      <xdr:row>22</xdr:row>
      <xdr:rowOff>47625</xdr:rowOff>
    </xdr:to>
    <xdr:sp macro="" textlink="">
      <xdr:nvSpPr>
        <xdr:cNvPr id="10" name="TextBox 9" hidden="1">
          <a:extLst>
            <a:ext uri="{FF2B5EF4-FFF2-40B4-BE49-F238E27FC236}">
              <a16:creationId xmlns:a16="http://schemas.microsoft.com/office/drawing/2014/main" id="{BA5DE8B1-F09C-4D5F-8B13-AA25DF1A555D}"/>
            </a:ext>
          </a:extLst>
        </xdr:cNvPr>
        <xdr:cNvSpPr txBox="1"/>
      </xdr:nvSpPr>
      <xdr:spPr>
        <a:xfrm>
          <a:off x="19050" y="4505325"/>
          <a:ext cx="2428874"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lstStyle/>
        <a:p>
          <a:pPr algn="ctr"/>
          <a:r>
            <a:rPr lang="en-US" sz="2200" b="1">
              <a:latin typeface="+mn-lt"/>
            </a:rPr>
            <a:t>BOM Options</a:t>
          </a:r>
        </a:p>
      </xdr:txBody>
    </xdr:sp>
    <xdr:clientData fPrintsWithSheet="0"/>
  </xdr:twoCellAnchor>
  <xdr:twoCellAnchor editAs="absolute">
    <xdr:from>
      <xdr:col>6</xdr:col>
      <xdr:colOff>209551</xdr:colOff>
      <xdr:row>25</xdr:row>
      <xdr:rowOff>19051</xdr:rowOff>
    </xdr:from>
    <xdr:to>
      <xdr:col>6</xdr:col>
      <xdr:colOff>2276475</xdr:colOff>
      <xdr:row>27</xdr:row>
      <xdr:rowOff>57151</xdr:rowOff>
    </xdr:to>
    <xdr:sp macro="[0]!ADD_ETO_PART_CLICK" textlink="">
      <xdr:nvSpPr>
        <xdr:cNvPr id="12" name="Rectangle: Rounded Corners 11" hidden="1">
          <a:extLst>
            <a:ext uri="{FF2B5EF4-FFF2-40B4-BE49-F238E27FC236}">
              <a16:creationId xmlns:a16="http://schemas.microsoft.com/office/drawing/2014/main" id="{130514F1-368D-4B41-B2E9-11EF1C24D4FA}"/>
            </a:ext>
          </a:extLst>
        </xdr:cNvPr>
        <xdr:cNvSpPr/>
      </xdr:nvSpPr>
      <xdr:spPr>
        <a:xfrm>
          <a:off x="209551" y="5438776"/>
          <a:ext cx="2066924" cy="419100"/>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tx1"/>
              </a:solidFill>
            </a:rPr>
            <a:t>Add A New ETO Part</a:t>
          </a:r>
        </a:p>
      </xdr:txBody>
    </xdr:sp>
    <xdr:clientData fPrintsWithSheet="0"/>
  </xdr:twoCellAnchor>
  <xdr:twoCellAnchor editAs="absolute">
    <xdr:from>
      <xdr:col>9</xdr:col>
      <xdr:colOff>809626</xdr:colOff>
      <xdr:row>14</xdr:row>
      <xdr:rowOff>228600</xdr:rowOff>
    </xdr:from>
    <xdr:to>
      <xdr:col>10</xdr:col>
      <xdr:colOff>257175</xdr:colOff>
      <xdr:row>15</xdr:row>
      <xdr:rowOff>66675</xdr:rowOff>
    </xdr:to>
    <xdr:sp macro="[0]!WHERE_USED_CLICK" textlink="">
      <xdr:nvSpPr>
        <xdr:cNvPr id="13" name="WhereUsedRectangle" hidden="1">
          <a:extLst>
            <a:ext uri="{FF2B5EF4-FFF2-40B4-BE49-F238E27FC236}">
              <a16:creationId xmlns:a16="http://schemas.microsoft.com/office/drawing/2014/main" id="{D636C46F-381D-48C3-B9C5-0B0308AC5C74}"/>
            </a:ext>
          </a:extLst>
        </xdr:cNvPr>
        <xdr:cNvSpPr/>
      </xdr:nvSpPr>
      <xdr:spPr>
        <a:xfrm>
          <a:off x="4191001" y="3181350"/>
          <a:ext cx="1238249" cy="209550"/>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Where Used</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1</xdr:colOff>
      <xdr:row>2</xdr:row>
      <xdr:rowOff>16670</xdr:rowOff>
    </xdr:from>
    <xdr:to>
      <xdr:col>0</xdr:col>
      <xdr:colOff>2447925</xdr:colOff>
      <xdr:row>5</xdr:row>
      <xdr:rowOff>228600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1" y="1731170"/>
          <a:ext cx="2447924" cy="92630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200" b="1">
              <a:solidFill>
                <a:sysClr val="windowText" lastClr="000000"/>
              </a:solidFill>
            </a:rPr>
            <a:t>Navigation</a:t>
          </a:r>
        </a:p>
        <a:p>
          <a:pPr algn="ctr"/>
          <a:endParaRPr lang="en-US" sz="2200">
            <a:solidFill>
              <a:sysClr val="windowText" lastClr="000000"/>
            </a:solidFill>
          </a:endParaRPr>
        </a:p>
        <a:p>
          <a:pPr algn="ctr"/>
          <a:endParaRPr lang="en-US" sz="1400">
            <a:solidFill>
              <a:sysClr val="windowText" lastClr="000000"/>
            </a:solidFill>
          </a:endParaRPr>
        </a:p>
      </xdr:txBody>
    </xdr:sp>
    <xdr:clientData/>
  </xdr:twoCellAnchor>
  <xdr:twoCellAnchor editAs="oneCell">
    <xdr:from>
      <xdr:col>0</xdr:col>
      <xdr:colOff>438150</xdr:colOff>
      <xdr:row>1</xdr:row>
      <xdr:rowOff>133350</xdr:rowOff>
    </xdr:from>
    <xdr:to>
      <xdr:col>0</xdr:col>
      <xdr:colOff>2276475</xdr:colOff>
      <xdr:row>1</xdr:row>
      <xdr:rowOff>824254</xdr:rowOff>
    </xdr:to>
    <xdr:pic>
      <xdr:nvPicPr>
        <xdr:cNvPr id="4" name="Picture 3">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895350"/>
          <a:ext cx="1838325" cy="6909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209550</xdr:colOff>
      <xdr:row>3</xdr:row>
      <xdr:rowOff>209550</xdr:rowOff>
    </xdr:from>
    <xdr:to>
      <xdr:col>0</xdr:col>
      <xdr:colOff>2143126</xdr:colOff>
      <xdr:row>5</xdr:row>
      <xdr:rowOff>114300</xdr:rowOff>
    </xdr:to>
    <xdr:sp macro="[0]!PRINTER_RETURN_HOME" textlink="">
      <xdr:nvSpPr>
        <xdr:cNvPr id="5" name="Rectangle: Rounded Corners 4">
          <a:extLst>
            <a:ext uri="{FF2B5EF4-FFF2-40B4-BE49-F238E27FC236}">
              <a16:creationId xmlns:a16="http://schemas.microsoft.com/office/drawing/2014/main" id="{00000000-0008-0000-0400-000005000000}"/>
            </a:ext>
          </a:extLst>
        </xdr:cNvPr>
        <xdr:cNvSpPr/>
      </xdr:nvSpPr>
      <xdr:spPr>
        <a:xfrm>
          <a:off x="209550" y="2162175"/>
          <a:ext cx="1933576" cy="381000"/>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tx1"/>
              </a:solidFill>
            </a:rPr>
            <a:t>Return 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2543175</xdr:colOff>
      <xdr:row>2</xdr:row>
      <xdr:rowOff>123824</xdr:rowOff>
    </xdr:from>
    <xdr:to>
      <xdr:col>2</xdr:col>
      <xdr:colOff>38100</xdr:colOff>
      <xdr:row>2</xdr:row>
      <xdr:rowOff>1257300</xdr:rowOff>
    </xdr:to>
    <xdr:sp macro="" textlink="">
      <xdr:nvSpPr>
        <xdr:cNvPr id="20" name="QNMenuBack" hidden="1">
          <a:extLst>
            <a:ext uri="{FF2B5EF4-FFF2-40B4-BE49-F238E27FC236}">
              <a16:creationId xmlns:a16="http://schemas.microsoft.com/office/drawing/2014/main" id="{0148E0E5-9223-487F-B7FE-6A1D8D34A9BC}"/>
            </a:ext>
          </a:extLst>
        </xdr:cNvPr>
        <xdr:cNvSpPr/>
      </xdr:nvSpPr>
      <xdr:spPr>
        <a:xfrm>
          <a:off x="2543175" y="1838324"/>
          <a:ext cx="1457325" cy="1133476"/>
        </a:xfrm>
        <a:prstGeom prst="roundRect">
          <a:avLst>
            <a:gd name="adj" fmla="val 7576"/>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twoCellAnchor>
    <xdr:from>
      <xdr:col>2</xdr:col>
      <xdr:colOff>114300</xdr:colOff>
      <xdr:row>2</xdr:row>
      <xdr:rowOff>123824</xdr:rowOff>
    </xdr:from>
    <xdr:to>
      <xdr:col>2</xdr:col>
      <xdr:colOff>1571625</xdr:colOff>
      <xdr:row>3</xdr:row>
      <xdr:rowOff>19050</xdr:rowOff>
    </xdr:to>
    <xdr:sp macro="" textlink="">
      <xdr:nvSpPr>
        <xdr:cNvPr id="19" name="QTMenuBack" hidden="1">
          <a:extLst>
            <a:ext uri="{FF2B5EF4-FFF2-40B4-BE49-F238E27FC236}">
              <a16:creationId xmlns:a16="http://schemas.microsoft.com/office/drawing/2014/main" id="{A7AAE8BA-D8CC-1724-2481-716DF6FAA82A}"/>
            </a:ext>
          </a:extLst>
        </xdr:cNvPr>
        <xdr:cNvSpPr/>
      </xdr:nvSpPr>
      <xdr:spPr>
        <a:xfrm>
          <a:off x="4076700" y="1838324"/>
          <a:ext cx="1457325" cy="1704976"/>
        </a:xfrm>
        <a:prstGeom prst="roundRect">
          <a:avLst>
            <a:gd name="adj" fmla="val 7576"/>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twoCellAnchor editAs="absolute">
    <xdr:from>
      <xdr:col>2</xdr:col>
      <xdr:colOff>114300</xdr:colOff>
      <xdr:row>2</xdr:row>
      <xdr:rowOff>95250</xdr:rowOff>
    </xdr:from>
    <xdr:to>
      <xdr:col>2</xdr:col>
      <xdr:colOff>1571626</xdr:colOff>
      <xdr:row>2</xdr:row>
      <xdr:rowOff>355381</xdr:rowOff>
    </xdr:to>
    <xdr:sp macro="[0]!ExpandMenu" textlink="">
      <xdr:nvSpPr>
        <xdr:cNvPr id="13" name="Quick Tools">
          <a:extLst>
            <a:ext uri="{FF2B5EF4-FFF2-40B4-BE49-F238E27FC236}">
              <a16:creationId xmlns:a16="http://schemas.microsoft.com/office/drawing/2014/main" id="{AA97105E-3635-4279-9634-7F10D6011053}"/>
            </a:ext>
          </a:extLst>
        </xdr:cNvPr>
        <xdr:cNvSpPr>
          <a:spLocks noChangeAspect="1"/>
        </xdr:cNvSpPr>
      </xdr:nvSpPr>
      <xdr:spPr>
        <a:xfrm>
          <a:off x="4076700" y="1809750"/>
          <a:ext cx="1457326" cy="260131"/>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 Quick Tools</a:t>
          </a:r>
        </a:p>
      </xdr:txBody>
    </xdr:sp>
    <xdr:clientData fPrintsWithSheet="0"/>
  </xdr:twoCellAnchor>
  <xdr:twoCellAnchor editAs="absolute">
    <xdr:from>
      <xdr:col>0</xdr:col>
      <xdr:colOff>1</xdr:colOff>
      <xdr:row>2</xdr:row>
      <xdr:rowOff>16670</xdr:rowOff>
    </xdr:from>
    <xdr:to>
      <xdr:col>0</xdr:col>
      <xdr:colOff>2459717</xdr:colOff>
      <xdr:row>583</xdr:row>
      <xdr:rowOff>57150</xdr:rowOff>
    </xdr:to>
    <xdr:sp macro="" textlink="">
      <xdr:nvSpPr>
        <xdr:cNvPr id="7" name="Rectangle 6">
          <a:extLst>
            <a:ext uri="{FF2B5EF4-FFF2-40B4-BE49-F238E27FC236}">
              <a16:creationId xmlns:a16="http://schemas.microsoft.com/office/drawing/2014/main" id="{00000000-0008-0000-0600-000007000000}"/>
            </a:ext>
          </a:extLst>
        </xdr:cNvPr>
        <xdr:cNvSpPr/>
      </xdr:nvSpPr>
      <xdr:spPr>
        <a:xfrm>
          <a:off x="1" y="1731170"/>
          <a:ext cx="2459716" cy="13940075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t"/>
        <a:lstStyle/>
        <a:p>
          <a:pPr algn="ctr"/>
          <a:r>
            <a:rPr lang="en-US" sz="2200" b="1">
              <a:solidFill>
                <a:sysClr val="windowText" lastClr="000000"/>
              </a:solidFill>
            </a:rPr>
            <a:t>Navigation</a:t>
          </a:r>
        </a:p>
        <a:p>
          <a:pPr algn="ctr"/>
          <a:endParaRPr lang="en-US" sz="2200">
            <a:solidFill>
              <a:sysClr val="windowText" lastClr="000000"/>
            </a:solidFill>
          </a:endParaRPr>
        </a:p>
        <a:p>
          <a:pPr algn="ctr"/>
          <a:endParaRPr lang="en-US" sz="1400">
            <a:solidFill>
              <a:sysClr val="windowText" lastClr="000000"/>
            </a:solidFill>
          </a:endParaRPr>
        </a:p>
        <a:p>
          <a:pPr algn="ctr"/>
          <a:r>
            <a:rPr lang="en-US" sz="2200" b="1">
              <a:solidFill>
                <a:sysClr val="windowText" lastClr="000000"/>
              </a:solidFill>
            </a:rPr>
            <a:t>Print</a:t>
          </a:r>
          <a:r>
            <a:rPr lang="en-US" sz="2200" b="1" baseline="0">
              <a:solidFill>
                <a:sysClr val="windowText" lastClr="000000"/>
              </a:solidFill>
            </a:rPr>
            <a:t> Options</a:t>
          </a:r>
          <a:endParaRPr lang="en-US" sz="2200" b="1">
            <a:solidFill>
              <a:sysClr val="windowText" lastClr="000000"/>
            </a:solidFill>
          </a:endParaRPr>
        </a:p>
      </xdr:txBody>
    </xdr:sp>
    <xdr:clientData fPrintsWithSheet="0"/>
  </xdr:twoCellAnchor>
  <xdr:twoCellAnchor>
    <xdr:from>
      <xdr:col>7</xdr:col>
      <xdr:colOff>1666876</xdr:colOff>
      <xdr:row>4</xdr:row>
      <xdr:rowOff>47625</xdr:rowOff>
    </xdr:from>
    <xdr:to>
      <xdr:col>8</xdr:col>
      <xdr:colOff>714376</xdr:colOff>
      <xdr:row>6</xdr:row>
      <xdr:rowOff>171450</xdr:rowOff>
    </xdr:to>
    <xdr:sp macro="" textlink="">
      <xdr:nvSpPr>
        <xdr:cNvPr id="3" name="Oval 2">
          <a:extLst>
            <a:ext uri="{FF2B5EF4-FFF2-40B4-BE49-F238E27FC236}">
              <a16:creationId xmlns:a16="http://schemas.microsoft.com/office/drawing/2014/main" id="{00000000-0008-0000-0600-000003000000}"/>
            </a:ext>
          </a:extLst>
        </xdr:cNvPr>
        <xdr:cNvSpPr/>
      </xdr:nvSpPr>
      <xdr:spPr>
        <a:xfrm>
          <a:off x="13287376" y="2447925"/>
          <a:ext cx="952500" cy="102870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b="1">
            <a:solidFill>
              <a:schemeClr val="tx1"/>
            </a:solidFill>
          </a:endParaRPr>
        </a:p>
      </xdr:txBody>
    </xdr:sp>
    <xdr:clientData/>
  </xdr:twoCellAnchor>
  <xdr:twoCellAnchor editAs="oneCell">
    <xdr:from>
      <xdr:col>0</xdr:col>
      <xdr:colOff>438150</xdr:colOff>
      <xdr:row>1</xdr:row>
      <xdr:rowOff>133350</xdr:rowOff>
    </xdr:from>
    <xdr:to>
      <xdr:col>0</xdr:col>
      <xdr:colOff>2277388</xdr:colOff>
      <xdr:row>1</xdr:row>
      <xdr:rowOff>828342</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895350"/>
          <a:ext cx="1838325" cy="6909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181888</xdr:colOff>
      <xdr:row>3</xdr:row>
      <xdr:rowOff>29488</xdr:rowOff>
    </xdr:from>
    <xdr:to>
      <xdr:col>0</xdr:col>
      <xdr:colOff>2114551</xdr:colOff>
      <xdr:row>4</xdr:row>
      <xdr:rowOff>305713</xdr:rowOff>
    </xdr:to>
    <xdr:sp macro="[0]!PRINTER_RETURN_HOME" textlink="">
      <xdr:nvSpPr>
        <xdr:cNvPr id="4" name="Rectangle: Rounded Corners 3">
          <a:extLst>
            <a:ext uri="{FF2B5EF4-FFF2-40B4-BE49-F238E27FC236}">
              <a16:creationId xmlns:a16="http://schemas.microsoft.com/office/drawing/2014/main" id="{00000000-0008-0000-0600-000004000000}"/>
            </a:ext>
          </a:extLst>
        </xdr:cNvPr>
        <xdr:cNvSpPr/>
      </xdr:nvSpPr>
      <xdr:spPr>
        <a:xfrm>
          <a:off x="180975" y="2124075"/>
          <a:ext cx="1933576" cy="419100"/>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tx1"/>
              </a:solidFill>
            </a:rPr>
            <a:t>Return Home</a:t>
          </a:r>
        </a:p>
      </xdr:txBody>
    </xdr:sp>
    <xdr:clientData fPrintsWithSheet="0"/>
  </xdr:twoCellAnchor>
  <xdr:twoCellAnchor editAs="absolute">
    <xdr:from>
      <xdr:col>0</xdr:col>
      <xdr:colOff>171450</xdr:colOff>
      <xdr:row>5</xdr:row>
      <xdr:rowOff>180975</xdr:rowOff>
    </xdr:from>
    <xdr:to>
      <xdr:col>0</xdr:col>
      <xdr:colOff>2116818</xdr:colOff>
      <xdr:row>7</xdr:row>
      <xdr:rowOff>135617</xdr:rowOff>
    </xdr:to>
    <xdr:sp macro="[0]!PRINT_BOM" textlink="">
      <xdr:nvSpPr>
        <xdr:cNvPr id="5" name="Rectangle: Rounded Corners 4">
          <a:extLst>
            <a:ext uri="{FF2B5EF4-FFF2-40B4-BE49-F238E27FC236}">
              <a16:creationId xmlns:a16="http://schemas.microsoft.com/office/drawing/2014/main" id="{00000000-0008-0000-0600-000005000000}"/>
            </a:ext>
          </a:extLst>
        </xdr:cNvPr>
        <xdr:cNvSpPr/>
      </xdr:nvSpPr>
      <xdr:spPr>
        <a:xfrm>
          <a:off x="171450" y="3086100"/>
          <a:ext cx="1933576" cy="419100"/>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tx1"/>
              </a:solidFill>
            </a:rPr>
            <a:t>Print</a:t>
          </a:r>
          <a:r>
            <a:rPr lang="en-US" sz="1400" baseline="0">
              <a:solidFill>
                <a:schemeClr val="tx1"/>
              </a:solidFill>
            </a:rPr>
            <a:t> BOM</a:t>
          </a:r>
          <a:endParaRPr lang="en-US" sz="1400">
            <a:solidFill>
              <a:schemeClr val="tx1"/>
            </a:solidFill>
          </a:endParaRPr>
        </a:p>
      </xdr:txBody>
    </xdr:sp>
    <xdr:clientData fPrintsWithSheet="0"/>
  </xdr:twoCellAnchor>
  <xdr:twoCellAnchor editAs="absolute">
    <xdr:from>
      <xdr:col>0</xdr:col>
      <xdr:colOff>152400</xdr:colOff>
      <xdr:row>8</xdr:row>
      <xdr:rowOff>97517</xdr:rowOff>
    </xdr:from>
    <xdr:to>
      <xdr:col>0</xdr:col>
      <xdr:colOff>2097768</xdr:colOff>
      <xdr:row>10</xdr:row>
      <xdr:rowOff>40367</xdr:rowOff>
    </xdr:to>
    <xdr:sp macro="[0]!CLEAR_BOM_PRINTER" textlink="">
      <xdr:nvSpPr>
        <xdr:cNvPr id="6" name="Rectangle: Rounded Corners 5" hidden="1">
          <a:extLst>
            <a:ext uri="{FF2B5EF4-FFF2-40B4-BE49-F238E27FC236}">
              <a16:creationId xmlns:a16="http://schemas.microsoft.com/office/drawing/2014/main" id="{00000000-0008-0000-0600-000006000000}"/>
            </a:ext>
          </a:extLst>
        </xdr:cNvPr>
        <xdr:cNvSpPr/>
      </xdr:nvSpPr>
      <xdr:spPr>
        <a:xfrm>
          <a:off x="152400" y="4250417"/>
          <a:ext cx="1945368" cy="419100"/>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tx1"/>
              </a:solidFill>
            </a:rPr>
            <a:t>Clear</a:t>
          </a:r>
          <a:r>
            <a:rPr lang="en-US" sz="1400" baseline="0">
              <a:solidFill>
                <a:schemeClr val="tx1"/>
              </a:solidFill>
            </a:rPr>
            <a:t> BOM</a:t>
          </a:r>
          <a:endParaRPr lang="en-US" sz="1400">
            <a:solidFill>
              <a:schemeClr val="tx1"/>
            </a:solidFill>
          </a:endParaRPr>
        </a:p>
      </xdr:txBody>
    </xdr:sp>
    <xdr:clientData fPrintsWithSheet="0"/>
  </xdr:twoCellAnchor>
  <xdr:twoCellAnchor editAs="absolute">
    <xdr:from>
      <xdr:col>0</xdr:col>
      <xdr:colOff>161925</xdr:colOff>
      <xdr:row>7</xdr:row>
      <xdr:rowOff>285750</xdr:rowOff>
    </xdr:from>
    <xdr:to>
      <xdr:col>0</xdr:col>
      <xdr:colOff>2107293</xdr:colOff>
      <xdr:row>7</xdr:row>
      <xdr:rowOff>716642</xdr:rowOff>
    </xdr:to>
    <xdr:sp macro="[0]!ADD_INVENTOR_PART" textlink="">
      <xdr:nvSpPr>
        <xdr:cNvPr id="10" name="Rectangle: Rounded Corners 9">
          <a:extLst>
            <a:ext uri="{FF2B5EF4-FFF2-40B4-BE49-F238E27FC236}">
              <a16:creationId xmlns:a16="http://schemas.microsoft.com/office/drawing/2014/main" id="{00000000-0008-0000-0600-00000A000000}"/>
            </a:ext>
          </a:extLst>
        </xdr:cNvPr>
        <xdr:cNvSpPr/>
      </xdr:nvSpPr>
      <xdr:spPr>
        <a:xfrm>
          <a:off x="161925" y="3667125"/>
          <a:ext cx="1945368" cy="430892"/>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20" baseline="0">
              <a:solidFill>
                <a:schemeClr val="tx1"/>
              </a:solidFill>
            </a:rPr>
            <a:t>Add Inventor BOM Files</a:t>
          </a:r>
          <a:endParaRPr lang="en-US" sz="1320">
            <a:solidFill>
              <a:schemeClr val="tx1"/>
            </a:solidFill>
          </a:endParaRPr>
        </a:p>
      </xdr:txBody>
    </xdr:sp>
    <xdr:clientData fPrintsWithSheet="0"/>
  </xdr:twoCellAnchor>
  <xdr:twoCellAnchor>
    <xdr:from>
      <xdr:col>11</xdr:col>
      <xdr:colOff>257176</xdr:colOff>
      <xdr:row>4</xdr:row>
      <xdr:rowOff>190809</xdr:rowOff>
    </xdr:from>
    <xdr:to>
      <xdr:col>13</xdr:col>
      <xdr:colOff>66676</xdr:colOff>
      <xdr:row>4</xdr:row>
      <xdr:rowOff>374431</xdr:rowOff>
    </xdr:to>
    <xdr:sp macro="[0]!Go_3_JJ" textlink="">
      <xdr:nvSpPr>
        <xdr:cNvPr id="24" name="Rectangle: Rounded Corners 23" hidden="1">
          <a:extLst>
            <a:ext uri="{FF2B5EF4-FFF2-40B4-BE49-F238E27FC236}">
              <a16:creationId xmlns:a16="http://schemas.microsoft.com/office/drawing/2014/main" id="{37D4B788-E095-416E-BF5B-6D830175892A}"/>
            </a:ext>
          </a:extLst>
        </xdr:cNvPr>
        <xdr:cNvSpPr/>
      </xdr:nvSpPr>
      <xdr:spPr>
        <a:xfrm>
          <a:off x="16944976" y="2591109"/>
          <a:ext cx="1028700" cy="183622"/>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tx1"/>
              </a:solidFill>
            </a:rPr>
            <a:t>3.JJ</a:t>
          </a:r>
        </a:p>
      </xdr:txBody>
    </xdr:sp>
    <xdr:clientData/>
  </xdr:twoCellAnchor>
  <xdr:twoCellAnchor editAs="absolute">
    <xdr:from>
      <xdr:col>0</xdr:col>
      <xdr:colOff>2543175</xdr:colOff>
      <xdr:row>2</xdr:row>
      <xdr:rowOff>95250</xdr:rowOff>
    </xdr:from>
    <xdr:to>
      <xdr:col>2</xdr:col>
      <xdr:colOff>38101</xdr:colOff>
      <xdr:row>2</xdr:row>
      <xdr:rowOff>355381</xdr:rowOff>
    </xdr:to>
    <xdr:sp macro="[0]!ExpandMenu" textlink="">
      <xdr:nvSpPr>
        <xdr:cNvPr id="8" name="Expand Menu">
          <a:extLst>
            <a:ext uri="{FF2B5EF4-FFF2-40B4-BE49-F238E27FC236}">
              <a16:creationId xmlns:a16="http://schemas.microsoft.com/office/drawing/2014/main" id="{AC2684E1-0102-4DFA-83D4-91FAE22E77DA}"/>
            </a:ext>
          </a:extLst>
        </xdr:cNvPr>
        <xdr:cNvSpPr>
          <a:spLocks noChangeAspect="1"/>
        </xdr:cNvSpPr>
      </xdr:nvSpPr>
      <xdr:spPr>
        <a:xfrm>
          <a:off x="2543175" y="1809750"/>
          <a:ext cx="1457326" cy="260131"/>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 MSS Quick Nav. </a:t>
          </a:r>
        </a:p>
      </xdr:txBody>
    </xdr:sp>
    <xdr:clientData fPrintsWithSheet="0"/>
  </xdr:twoCellAnchor>
  <xdr:twoCellAnchor editAs="absolute">
    <xdr:from>
      <xdr:col>0</xdr:col>
      <xdr:colOff>2657476</xdr:colOff>
      <xdr:row>4</xdr:row>
      <xdr:rowOff>143184</xdr:rowOff>
    </xdr:from>
    <xdr:to>
      <xdr:col>1</xdr:col>
      <xdr:colOff>1073187</xdr:colOff>
      <xdr:row>4</xdr:row>
      <xdr:rowOff>361950</xdr:rowOff>
    </xdr:to>
    <xdr:sp macro="[0]!Go_1_6" textlink="">
      <xdr:nvSpPr>
        <xdr:cNvPr id="9" name="GoItemMasterRectangle" hidden="1">
          <a:extLst>
            <a:ext uri="{FF2B5EF4-FFF2-40B4-BE49-F238E27FC236}">
              <a16:creationId xmlns:a16="http://schemas.microsoft.com/office/drawing/2014/main" id="{93F44D81-E207-40FB-B23D-68FA7E6F6635}"/>
            </a:ext>
          </a:extLst>
        </xdr:cNvPr>
        <xdr:cNvSpPr>
          <a:spLocks noChangeAspect="1"/>
        </xdr:cNvSpPr>
      </xdr:nvSpPr>
      <xdr:spPr>
        <a:xfrm>
          <a:off x="2657476" y="2381559"/>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1.6</a:t>
          </a:r>
        </a:p>
      </xdr:txBody>
    </xdr:sp>
    <xdr:clientData fPrintsWithSheet="0"/>
  </xdr:twoCellAnchor>
  <xdr:twoCellAnchor editAs="absolute">
    <xdr:from>
      <xdr:col>0</xdr:col>
      <xdr:colOff>2657476</xdr:colOff>
      <xdr:row>4</xdr:row>
      <xdr:rowOff>409884</xdr:rowOff>
    </xdr:from>
    <xdr:to>
      <xdr:col>1</xdr:col>
      <xdr:colOff>1073187</xdr:colOff>
      <xdr:row>4</xdr:row>
      <xdr:rowOff>628650</xdr:rowOff>
    </xdr:to>
    <xdr:sp macro="[0]!Go_3_JJ" textlink="">
      <xdr:nvSpPr>
        <xdr:cNvPr id="11" name="GoJJRectangle" hidden="1">
          <a:extLst>
            <a:ext uri="{FF2B5EF4-FFF2-40B4-BE49-F238E27FC236}">
              <a16:creationId xmlns:a16="http://schemas.microsoft.com/office/drawing/2014/main" id="{39DBCE2C-3423-40D7-B981-6BBE3EAC2CBE}"/>
            </a:ext>
          </a:extLst>
        </xdr:cNvPr>
        <xdr:cNvSpPr>
          <a:spLocks noChangeAspect="1"/>
        </xdr:cNvSpPr>
      </xdr:nvSpPr>
      <xdr:spPr>
        <a:xfrm>
          <a:off x="2657476" y="2648259"/>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3.JJ</a:t>
          </a:r>
        </a:p>
      </xdr:txBody>
    </xdr:sp>
    <xdr:clientData fPrintsWithSheet="0"/>
  </xdr:twoCellAnchor>
  <xdr:twoCellAnchor editAs="absolute">
    <xdr:from>
      <xdr:col>0</xdr:col>
      <xdr:colOff>2657476</xdr:colOff>
      <xdr:row>3</xdr:row>
      <xdr:rowOff>19359</xdr:rowOff>
    </xdr:from>
    <xdr:to>
      <xdr:col>1</xdr:col>
      <xdr:colOff>1073187</xdr:colOff>
      <xdr:row>4</xdr:row>
      <xdr:rowOff>95250</xdr:rowOff>
    </xdr:to>
    <xdr:sp macro="[0]!GoHome" textlink="">
      <xdr:nvSpPr>
        <xdr:cNvPr id="12" name="GoHomeRectangle" hidden="1">
          <a:extLst>
            <a:ext uri="{FF2B5EF4-FFF2-40B4-BE49-F238E27FC236}">
              <a16:creationId xmlns:a16="http://schemas.microsoft.com/office/drawing/2014/main" id="{EDE17062-108A-48EC-8DFA-A9B65D92F3A2}"/>
            </a:ext>
          </a:extLst>
        </xdr:cNvPr>
        <xdr:cNvSpPr>
          <a:spLocks noChangeAspect="1"/>
        </xdr:cNvSpPr>
      </xdr:nvSpPr>
      <xdr:spPr>
        <a:xfrm>
          <a:off x="2657476" y="2114859"/>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1.10</a:t>
          </a:r>
        </a:p>
      </xdr:txBody>
    </xdr:sp>
    <xdr:clientData fPrintsWithSheet="0"/>
  </xdr:twoCellAnchor>
  <xdr:twoCellAnchor editAs="absolute">
    <xdr:from>
      <xdr:col>2</xdr:col>
      <xdr:colOff>228601</xdr:colOff>
      <xdr:row>4</xdr:row>
      <xdr:rowOff>143184</xdr:rowOff>
    </xdr:from>
    <xdr:to>
      <xdr:col>2</xdr:col>
      <xdr:colOff>1454187</xdr:colOff>
      <xdr:row>4</xdr:row>
      <xdr:rowOff>361950</xdr:rowOff>
    </xdr:to>
    <xdr:sp macro="[0]!PCSQuickStart" textlink="">
      <xdr:nvSpPr>
        <xdr:cNvPr id="14" name="PCSLauncherRectangle" hidden="1">
          <a:extLst>
            <a:ext uri="{FF2B5EF4-FFF2-40B4-BE49-F238E27FC236}">
              <a16:creationId xmlns:a16="http://schemas.microsoft.com/office/drawing/2014/main" id="{DF1B65A1-F9A0-43E4-9E56-399BFA12BBE5}"/>
            </a:ext>
          </a:extLst>
        </xdr:cNvPr>
        <xdr:cNvSpPr>
          <a:spLocks noChangeAspect="1"/>
        </xdr:cNvSpPr>
      </xdr:nvSpPr>
      <xdr:spPr>
        <a:xfrm>
          <a:off x="4191001" y="2381559"/>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PCS Launcher</a:t>
          </a:r>
        </a:p>
      </xdr:txBody>
    </xdr:sp>
    <xdr:clientData fPrintsWithSheet="0"/>
  </xdr:twoCellAnchor>
  <xdr:twoCellAnchor editAs="absolute">
    <xdr:from>
      <xdr:col>2</xdr:col>
      <xdr:colOff>228601</xdr:colOff>
      <xdr:row>4</xdr:row>
      <xdr:rowOff>409884</xdr:rowOff>
    </xdr:from>
    <xdr:to>
      <xdr:col>2</xdr:col>
      <xdr:colOff>1454187</xdr:colOff>
      <xdr:row>4</xdr:row>
      <xdr:rowOff>628650</xdr:rowOff>
    </xdr:to>
    <xdr:sp macro="[0]!searchEnovia" textlink="">
      <xdr:nvSpPr>
        <xdr:cNvPr id="15" name="BOMCheckerRectangle" hidden="1">
          <a:extLst>
            <a:ext uri="{FF2B5EF4-FFF2-40B4-BE49-F238E27FC236}">
              <a16:creationId xmlns:a16="http://schemas.microsoft.com/office/drawing/2014/main" id="{91371B0C-DF98-42D2-8244-07FDB541C713}"/>
            </a:ext>
          </a:extLst>
        </xdr:cNvPr>
        <xdr:cNvSpPr>
          <a:spLocks noChangeAspect="1"/>
        </xdr:cNvSpPr>
      </xdr:nvSpPr>
      <xdr:spPr>
        <a:xfrm>
          <a:off x="4191001" y="2648259"/>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Doc Search</a:t>
          </a:r>
        </a:p>
      </xdr:txBody>
    </xdr:sp>
    <xdr:clientData fPrintsWithSheet="0"/>
  </xdr:twoCellAnchor>
  <xdr:twoCellAnchor editAs="absolute">
    <xdr:from>
      <xdr:col>2</xdr:col>
      <xdr:colOff>228601</xdr:colOff>
      <xdr:row>3</xdr:row>
      <xdr:rowOff>19359</xdr:rowOff>
    </xdr:from>
    <xdr:to>
      <xdr:col>2</xdr:col>
      <xdr:colOff>1454187</xdr:colOff>
      <xdr:row>4</xdr:row>
      <xdr:rowOff>95250</xdr:rowOff>
    </xdr:to>
    <xdr:sp macro="[0]!OrderFacePrint" textlink="">
      <xdr:nvSpPr>
        <xdr:cNvPr id="16" name="OrderFacePrinterRectangle" hidden="1">
          <a:extLst>
            <a:ext uri="{FF2B5EF4-FFF2-40B4-BE49-F238E27FC236}">
              <a16:creationId xmlns:a16="http://schemas.microsoft.com/office/drawing/2014/main" id="{5197D4FD-31B1-4429-9488-D3F3A03F5F73}"/>
            </a:ext>
          </a:extLst>
        </xdr:cNvPr>
        <xdr:cNvSpPr>
          <a:spLocks noChangeAspect="1"/>
        </xdr:cNvSpPr>
      </xdr:nvSpPr>
      <xdr:spPr>
        <a:xfrm>
          <a:off x="4191001" y="2114859"/>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200">
              <a:solidFill>
                <a:schemeClr val="tx1"/>
              </a:solidFill>
            </a:rPr>
            <a:t>Order Face Printer</a:t>
          </a:r>
        </a:p>
      </xdr:txBody>
    </xdr:sp>
    <xdr:clientData fPrintsWithSheet="0"/>
  </xdr:twoCellAnchor>
  <xdr:twoCellAnchor editAs="absolute">
    <xdr:from>
      <xdr:col>2</xdr:col>
      <xdr:colOff>228601</xdr:colOff>
      <xdr:row>5</xdr:row>
      <xdr:rowOff>19359</xdr:rowOff>
    </xdr:from>
    <xdr:to>
      <xdr:col>2</xdr:col>
      <xdr:colOff>1454187</xdr:colOff>
      <xdr:row>6</xdr:row>
      <xdr:rowOff>0</xdr:rowOff>
    </xdr:to>
    <xdr:sp macro="[0]!LOGIN_CLICK" textlink="">
      <xdr:nvSpPr>
        <xdr:cNvPr id="17" name="MSSvLoginRectangle" hidden="1">
          <a:extLst>
            <a:ext uri="{FF2B5EF4-FFF2-40B4-BE49-F238E27FC236}">
              <a16:creationId xmlns:a16="http://schemas.microsoft.com/office/drawing/2014/main" id="{BDE08114-213C-44E5-BCC5-AE130D37D1B4}"/>
            </a:ext>
          </a:extLst>
        </xdr:cNvPr>
        <xdr:cNvSpPr>
          <a:spLocks noChangeAspect="1"/>
        </xdr:cNvSpPr>
      </xdr:nvSpPr>
      <xdr:spPr>
        <a:xfrm>
          <a:off x="4191001" y="2924484"/>
          <a:ext cx="1225586" cy="218766"/>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MSSv Login</a:t>
          </a:r>
        </a:p>
      </xdr:txBody>
    </xdr:sp>
    <xdr:clientData fPrintsWithSheet="0"/>
  </xdr:twoCellAnchor>
  <xdr:twoCellAnchor editAs="absolute">
    <xdr:from>
      <xdr:col>2</xdr:col>
      <xdr:colOff>228600</xdr:colOff>
      <xdr:row>6</xdr:row>
      <xdr:rowOff>57150</xdr:rowOff>
    </xdr:from>
    <xdr:to>
      <xdr:col>2</xdr:col>
      <xdr:colOff>1466849</xdr:colOff>
      <xdr:row>7</xdr:row>
      <xdr:rowOff>47625</xdr:rowOff>
    </xdr:to>
    <xdr:sp macro="[0]!WHERE_USED_CLICK" textlink="">
      <xdr:nvSpPr>
        <xdr:cNvPr id="18" name="WhereUsedRectangle" hidden="1">
          <a:extLst>
            <a:ext uri="{FF2B5EF4-FFF2-40B4-BE49-F238E27FC236}">
              <a16:creationId xmlns:a16="http://schemas.microsoft.com/office/drawing/2014/main" id="{9D9EB866-B48C-4FB4-B335-186B04CA06B8}"/>
            </a:ext>
          </a:extLst>
        </xdr:cNvPr>
        <xdr:cNvSpPr/>
      </xdr:nvSpPr>
      <xdr:spPr>
        <a:xfrm>
          <a:off x="4191000" y="3200400"/>
          <a:ext cx="1238249" cy="228600"/>
        </a:xfrm>
        <a:prstGeom prst="roundRect">
          <a:avLst>
            <a:gd name="adj" fmla="val 50000"/>
          </a:avLst>
        </a:prstGeom>
        <a:solidFill>
          <a:srgbClr val="FFCA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Where Used</a:t>
          </a:r>
        </a:p>
      </xdr:txBody>
    </xdr: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ACAA1-539C-4A7F-92EE-14D15A8E7455}">
  <sheetPr codeName="Sheet2">
    <pageSetUpPr autoPageBreaks="0"/>
  </sheetPr>
  <dimension ref="A1:AD1000"/>
  <sheetViews>
    <sheetView showGridLines="0" showRowColHeaders="0" tabSelected="1" zoomScaleNormal="100" workbookViewId="0"/>
  </sheetViews>
  <sheetFormatPr defaultColWidth="9.140625" defaultRowHeight="15" x14ac:dyDescent="0.25"/>
  <cols>
    <col min="1" max="16384" width="9.140625" style="20"/>
  </cols>
  <sheetData>
    <row r="1" spans="1:28" s="31" customFormat="1" ht="15" customHeight="1" x14ac:dyDescent="0.25"/>
    <row r="2" spans="1:28" s="31" customFormat="1" ht="15" customHeight="1" x14ac:dyDescent="0.25"/>
    <row r="3" spans="1:28" s="31" customFormat="1" ht="15" customHeight="1" x14ac:dyDescent="0.25"/>
    <row r="4" spans="1:28" s="31" customFormat="1" ht="15" customHeight="1" x14ac:dyDescent="0.25"/>
    <row r="5" spans="1:28" s="22" customFormat="1" ht="15" customHeight="1" x14ac:dyDescent="0.25">
      <c r="F5" s="170" t="s">
        <v>316</v>
      </c>
      <c r="G5" s="170"/>
      <c r="H5" s="170"/>
      <c r="I5" s="170"/>
      <c r="J5" s="170"/>
      <c r="K5" s="170"/>
      <c r="L5" s="170"/>
      <c r="M5" s="170"/>
      <c r="N5" s="170"/>
      <c r="O5" s="170"/>
      <c r="P5" s="170"/>
      <c r="Q5" s="170"/>
      <c r="R5" s="170"/>
      <c r="S5" s="170"/>
      <c r="T5" s="170"/>
      <c r="U5" s="170"/>
      <c r="V5" s="170"/>
      <c r="W5" s="170"/>
      <c r="X5" s="170"/>
      <c r="Y5" s="170"/>
      <c r="Z5" s="170"/>
      <c r="AA5" s="170"/>
      <c r="AB5" s="170"/>
    </row>
    <row r="6" spans="1:28" s="22" customFormat="1" ht="15" customHeight="1" x14ac:dyDescent="0.25">
      <c r="C6" s="115"/>
      <c r="F6" s="170"/>
      <c r="G6" s="170"/>
      <c r="H6" s="170"/>
      <c r="I6" s="170"/>
      <c r="J6" s="170"/>
      <c r="K6" s="170"/>
      <c r="L6" s="170"/>
      <c r="M6" s="170"/>
      <c r="N6" s="170"/>
      <c r="O6" s="170"/>
      <c r="P6" s="170"/>
      <c r="Q6" s="170"/>
      <c r="R6" s="170"/>
      <c r="S6" s="170"/>
      <c r="T6" s="170"/>
      <c r="U6" s="170"/>
      <c r="V6" s="170"/>
      <c r="W6" s="170"/>
      <c r="X6" s="170"/>
      <c r="Y6" s="170"/>
      <c r="Z6" s="170"/>
      <c r="AA6" s="170"/>
      <c r="AB6" s="170"/>
    </row>
    <row r="7" spans="1:28" s="22" customFormat="1" ht="15" customHeight="1" x14ac:dyDescent="0.25">
      <c r="F7" s="170"/>
      <c r="G7" s="170"/>
      <c r="H7" s="170"/>
      <c r="I7" s="170"/>
      <c r="J7" s="170"/>
      <c r="K7" s="170"/>
      <c r="L7" s="170"/>
      <c r="M7" s="170"/>
      <c r="N7" s="170"/>
      <c r="O7" s="170"/>
      <c r="P7" s="170"/>
      <c r="Q7" s="170"/>
      <c r="R7" s="170"/>
      <c r="S7" s="170"/>
      <c r="T7" s="170"/>
      <c r="U7" s="170"/>
      <c r="V7" s="170"/>
      <c r="W7" s="170"/>
      <c r="X7" s="170"/>
      <c r="Y7" s="170"/>
      <c r="Z7" s="170"/>
      <c r="AA7" s="170"/>
      <c r="AB7" s="170"/>
    </row>
    <row r="8" spans="1:28" s="22" customFormat="1" ht="15" customHeight="1" x14ac:dyDescent="0.25">
      <c r="F8" s="170"/>
      <c r="G8" s="170"/>
      <c r="H8" s="170"/>
      <c r="I8" s="170"/>
      <c r="J8" s="170"/>
      <c r="K8" s="170"/>
      <c r="L8" s="170"/>
      <c r="M8" s="170"/>
      <c r="N8" s="170"/>
      <c r="O8" s="170"/>
      <c r="P8" s="170"/>
      <c r="Q8" s="170"/>
      <c r="R8" s="170"/>
      <c r="S8" s="170"/>
      <c r="T8" s="170"/>
      <c r="U8" s="170"/>
      <c r="V8" s="170"/>
      <c r="W8" s="170"/>
      <c r="X8" s="170"/>
      <c r="Y8" s="170"/>
      <c r="Z8" s="170"/>
      <c r="AA8" s="170"/>
      <c r="AB8" s="170"/>
    </row>
    <row r="9" spans="1:28" s="23" customFormat="1" ht="15" customHeight="1" thickBot="1" x14ac:dyDescent="0.3">
      <c r="B9" s="111"/>
      <c r="C9" s="111"/>
      <c r="D9" s="111"/>
      <c r="E9" s="111"/>
      <c r="F9" s="171"/>
      <c r="G9" s="171"/>
      <c r="H9" s="171"/>
      <c r="I9" s="171"/>
      <c r="J9" s="171"/>
      <c r="K9" s="171"/>
      <c r="L9" s="171"/>
      <c r="M9" s="171"/>
      <c r="N9" s="171"/>
      <c r="O9" s="171"/>
      <c r="P9" s="171"/>
      <c r="Q9" s="171"/>
      <c r="R9" s="171"/>
      <c r="S9" s="171"/>
      <c r="T9" s="171"/>
      <c r="U9" s="171"/>
      <c r="V9" s="171"/>
      <c r="W9" s="171"/>
      <c r="X9" s="171"/>
      <c r="Y9" s="171"/>
      <c r="Z9" s="171"/>
      <c r="AA9" s="171"/>
      <c r="AB9" s="171"/>
    </row>
    <row r="10" spans="1:28" ht="30" customHeight="1" thickTop="1" x14ac:dyDescent="0.25">
      <c r="A10" s="167" t="s">
        <v>26</v>
      </c>
      <c r="B10" s="167"/>
      <c r="C10" s="167"/>
      <c r="D10" s="167"/>
      <c r="E10" s="112"/>
    </row>
    <row r="11" spans="1:28" ht="15" customHeight="1" x14ac:dyDescent="0.25">
      <c r="A11" s="168"/>
      <c r="B11" s="168"/>
      <c r="C11" s="168"/>
      <c r="D11" s="168"/>
      <c r="E11" s="113"/>
      <c r="F11" s="169"/>
      <c r="G11" s="169"/>
      <c r="H11" s="169"/>
      <c r="I11" s="169"/>
      <c r="J11" s="169"/>
      <c r="K11" s="169"/>
      <c r="L11" s="169"/>
      <c r="M11" s="169"/>
      <c r="N11" s="169"/>
      <c r="O11" s="169"/>
      <c r="P11" s="169"/>
      <c r="Q11" s="169"/>
      <c r="R11" s="169"/>
      <c r="S11" s="169"/>
      <c r="T11" s="169"/>
      <c r="U11" s="169"/>
      <c r="V11" s="169"/>
      <c r="W11" s="169"/>
      <c r="X11" s="169"/>
      <c r="Y11" s="169"/>
      <c r="Z11" s="169"/>
      <c r="AA11" s="169"/>
      <c r="AB11" s="169"/>
    </row>
    <row r="12" spans="1:28" ht="15" customHeight="1" x14ac:dyDescent="0.25">
      <c r="A12" s="168"/>
      <c r="B12" s="168"/>
      <c r="C12" s="168"/>
      <c r="D12" s="168"/>
      <c r="E12" s="113"/>
      <c r="F12" s="169"/>
      <c r="G12" s="169"/>
      <c r="H12" s="169"/>
      <c r="I12" s="169"/>
      <c r="J12" s="169"/>
      <c r="K12" s="169"/>
      <c r="L12" s="169"/>
      <c r="M12" s="169"/>
      <c r="N12" s="169"/>
      <c r="O12" s="169"/>
      <c r="P12" s="169"/>
      <c r="Q12" s="169"/>
      <c r="R12" s="169"/>
      <c r="S12" s="169"/>
      <c r="T12" s="169"/>
      <c r="U12" s="169"/>
      <c r="V12" s="169"/>
      <c r="W12" s="169"/>
      <c r="X12" s="169"/>
      <c r="Y12" s="169"/>
      <c r="Z12" s="169"/>
      <c r="AA12" s="169"/>
      <c r="AB12" s="169"/>
    </row>
    <row r="13" spans="1:28" ht="15" customHeight="1" x14ac:dyDescent="0.45">
      <c r="A13" s="34"/>
      <c r="B13" s="34"/>
      <c r="C13" s="34"/>
      <c r="D13" s="34"/>
      <c r="E13" s="114"/>
      <c r="F13" s="169"/>
      <c r="G13" s="169"/>
      <c r="H13" s="169"/>
      <c r="I13" s="169"/>
      <c r="J13" s="169"/>
      <c r="K13" s="169"/>
      <c r="L13" s="169"/>
      <c r="M13" s="169"/>
      <c r="N13" s="169"/>
      <c r="O13" s="169"/>
      <c r="P13" s="169"/>
      <c r="Q13" s="169"/>
      <c r="R13" s="169"/>
      <c r="S13" s="169"/>
      <c r="T13" s="169"/>
      <c r="U13" s="169"/>
      <c r="V13" s="169"/>
      <c r="W13" s="169"/>
      <c r="X13" s="169"/>
      <c r="Y13" s="169"/>
      <c r="Z13" s="169"/>
      <c r="AA13" s="169"/>
      <c r="AB13" s="169"/>
    </row>
    <row r="14" spans="1:28" x14ac:dyDescent="0.25">
      <c r="A14" s="35"/>
      <c r="B14" s="35"/>
      <c r="C14" s="35"/>
      <c r="D14" s="35"/>
      <c r="E14" s="112"/>
      <c r="F14" s="169"/>
      <c r="G14" s="169"/>
      <c r="H14" s="169"/>
      <c r="I14" s="169"/>
      <c r="J14" s="169"/>
      <c r="K14" s="169"/>
      <c r="L14" s="169"/>
      <c r="M14" s="169"/>
      <c r="N14" s="169"/>
      <c r="O14" s="169"/>
      <c r="P14" s="169"/>
      <c r="Q14" s="169"/>
      <c r="R14" s="169"/>
      <c r="S14" s="169"/>
      <c r="T14" s="169"/>
      <c r="U14" s="169"/>
      <c r="V14" s="169"/>
      <c r="W14" s="169"/>
      <c r="X14" s="169"/>
      <c r="Y14" s="169"/>
      <c r="Z14" s="169"/>
      <c r="AA14" s="169"/>
      <c r="AB14" s="169"/>
    </row>
    <row r="15" spans="1:28" x14ac:dyDescent="0.25">
      <c r="A15" s="35"/>
      <c r="B15" s="35"/>
      <c r="C15" s="35"/>
      <c r="D15" s="35"/>
      <c r="E15" s="112"/>
      <c r="F15" s="169"/>
      <c r="G15" s="169"/>
      <c r="H15" s="169"/>
      <c r="I15" s="169"/>
      <c r="J15" s="169"/>
      <c r="K15" s="169"/>
      <c r="L15" s="169"/>
      <c r="M15" s="169"/>
      <c r="N15" s="169"/>
      <c r="O15" s="169"/>
      <c r="P15" s="169"/>
      <c r="Q15" s="169"/>
      <c r="R15" s="169"/>
      <c r="S15" s="169"/>
      <c r="T15" s="169"/>
      <c r="U15" s="169"/>
      <c r="V15" s="169"/>
      <c r="W15" s="169"/>
      <c r="X15" s="169"/>
      <c r="Y15" s="169"/>
      <c r="Z15" s="169"/>
      <c r="AA15" s="169"/>
      <c r="AB15" s="169"/>
    </row>
    <row r="16" spans="1:28" x14ac:dyDescent="0.25">
      <c r="A16" s="35"/>
      <c r="B16" s="35"/>
      <c r="C16" s="35"/>
      <c r="D16" s="35"/>
      <c r="E16" s="112"/>
      <c r="F16" s="169"/>
      <c r="G16" s="169"/>
      <c r="H16" s="169"/>
      <c r="I16" s="169"/>
      <c r="J16" s="169"/>
      <c r="K16" s="169"/>
      <c r="L16" s="169"/>
      <c r="M16" s="169"/>
      <c r="N16" s="169"/>
      <c r="O16" s="169"/>
      <c r="P16" s="169"/>
      <c r="Q16" s="169"/>
      <c r="R16" s="169"/>
      <c r="S16" s="169"/>
      <c r="T16" s="169"/>
      <c r="U16" s="169"/>
      <c r="V16" s="169"/>
      <c r="W16" s="169"/>
      <c r="X16" s="169"/>
      <c r="Y16" s="169"/>
      <c r="Z16" s="169"/>
      <c r="AA16" s="169"/>
      <c r="AB16" s="169"/>
    </row>
    <row r="17" spans="1:28" x14ac:dyDescent="0.25">
      <c r="A17" s="35"/>
      <c r="B17" s="35"/>
      <c r="C17" s="35"/>
      <c r="D17" s="35"/>
      <c r="E17" s="112"/>
      <c r="F17" s="169"/>
      <c r="G17" s="169"/>
      <c r="H17" s="169"/>
      <c r="I17" s="169"/>
      <c r="J17" s="169"/>
      <c r="K17" s="169"/>
      <c r="L17" s="169"/>
      <c r="M17" s="169"/>
      <c r="N17" s="169"/>
      <c r="O17" s="169"/>
      <c r="P17" s="169"/>
      <c r="Q17" s="169"/>
      <c r="R17" s="169"/>
      <c r="S17" s="169"/>
      <c r="T17" s="169"/>
      <c r="U17" s="169"/>
      <c r="V17" s="169"/>
      <c r="W17" s="169"/>
      <c r="X17" s="169"/>
      <c r="Y17" s="169"/>
      <c r="Z17" s="169"/>
      <c r="AA17" s="169"/>
      <c r="AB17" s="169"/>
    </row>
    <row r="18" spans="1:28" x14ac:dyDescent="0.25">
      <c r="A18" s="35"/>
      <c r="B18" s="35"/>
      <c r="C18" s="35"/>
      <c r="D18" s="35"/>
      <c r="E18" s="112"/>
      <c r="F18" s="169"/>
      <c r="G18" s="169"/>
      <c r="H18" s="169"/>
      <c r="I18" s="169"/>
      <c r="J18" s="169"/>
      <c r="K18" s="169"/>
      <c r="L18" s="169"/>
      <c r="M18" s="169"/>
      <c r="N18" s="169"/>
      <c r="O18" s="169"/>
      <c r="P18" s="169"/>
      <c r="Q18" s="169"/>
      <c r="R18" s="169"/>
      <c r="S18" s="169"/>
      <c r="T18" s="169"/>
      <c r="U18" s="169"/>
      <c r="V18" s="169"/>
      <c r="W18" s="169"/>
      <c r="X18" s="169"/>
      <c r="Y18" s="169"/>
      <c r="Z18" s="169"/>
      <c r="AA18" s="169"/>
      <c r="AB18" s="169"/>
    </row>
    <row r="19" spans="1:28" x14ac:dyDescent="0.25">
      <c r="A19" s="35"/>
      <c r="B19" s="35"/>
      <c r="C19" s="35"/>
      <c r="D19" s="35"/>
      <c r="E19" s="112"/>
      <c r="F19" s="169"/>
      <c r="G19" s="169"/>
      <c r="H19" s="169"/>
      <c r="I19" s="169"/>
      <c r="J19" s="169"/>
      <c r="K19" s="169"/>
      <c r="L19" s="169"/>
      <c r="M19" s="169"/>
      <c r="N19" s="169"/>
      <c r="O19" s="169"/>
      <c r="P19" s="169"/>
      <c r="Q19" s="169"/>
      <c r="R19" s="169"/>
      <c r="S19" s="169"/>
      <c r="T19" s="169"/>
      <c r="U19" s="169"/>
      <c r="V19" s="169"/>
      <c r="W19" s="169"/>
      <c r="X19" s="169"/>
      <c r="Y19" s="169"/>
      <c r="Z19" s="169"/>
      <c r="AA19" s="169"/>
      <c r="AB19" s="169"/>
    </row>
    <row r="20" spans="1:28" x14ac:dyDescent="0.25">
      <c r="A20" s="35"/>
      <c r="B20" s="35"/>
      <c r="C20" s="35"/>
      <c r="D20" s="35"/>
      <c r="E20" s="112"/>
      <c r="F20" s="169"/>
      <c r="G20" s="169"/>
      <c r="H20" s="169"/>
      <c r="I20" s="169"/>
      <c r="J20" s="169"/>
      <c r="K20" s="169"/>
      <c r="L20" s="169"/>
      <c r="M20" s="169"/>
      <c r="N20" s="169"/>
      <c r="O20" s="169"/>
      <c r="P20" s="169"/>
      <c r="Q20" s="169"/>
      <c r="R20" s="169"/>
      <c r="S20" s="169"/>
      <c r="T20" s="169"/>
      <c r="U20" s="169"/>
      <c r="V20" s="169"/>
      <c r="W20" s="169"/>
      <c r="X20" s="169"/>
      <c r="Y20" s="169"/>
      <c r="Z20" s="169"/>
      <c r="AA20" s="169"/>
      <c r="AB20" s="169"/>
    </row>
    <row r="21" spans="1:28" ht="15" customHeight="1" x14ac:dyDescent="0.25">
      <c r="A21" s="104"/>
      <c r="B21" s="104"/>
      <c r="C21" s="104"/>
      <c r="D21" s="104"/>
      <c r="E21" s="112"/>
      <c r="F21" s="169"/>
      <c r="G21" s="169"/>
      <c r="H21" s="169"/>
      <c r="I21" s="169"/>
      <c r="J21" s="169"/>
      <c r="K21" s="169"/>
      <c r="L21" s="169"/>
      <c r="M21" s="169"/>
      <c r="N21" s="169"/>
      <c r="O21" s="169"/>
      <c r="P21" s="169"/>
      <c r="Q21" s="169"/>
      <c r="R21" s="169"/>
      <c r="S21" s="169"/>
      <c r="T21" s="169"/>
      <c r="U21" s="169"/>
      <c r="V21" s="169"/>
      <c r="W21" s="169"/>
      <c r="X21" s="169"/>
      <c r="Y21" s="169"/>
      <c r="Z21" s="169"/>
      <c r="AA21" s="169"/>
      <c r="AB21" s="169"/>
    </row>
    <row r="22" spans="1:28" ht="15" customHeight="1" x14ac:dyDescent="0.25">
      <c r="A22" s="104"/>
      <c r="B22" s="104"/>
      <c r="C22" s="104"/>
      <c r="D22" s="104"/>
      <c r="E22" s="112"/>
      <c r="F22" s="169"/>
      <c r="G22" s="169"/>
      <c r="H22" s="169"/>
      <c r="I22" s="169"/>
      <c r="J22" s="169"/>
      <c r="K22" s="169"/>
      <c r="L22" s="169"/>
      <c r="M22" s="169"/>
      <c r="N22" s="169"/>
      <c r="O22" s="169"/>
      <c r="P22" s="169"/>
      <c r="Q22" s="169"/>
      <c r="R22" s="169"/>
      <c r="S22" s="169"/>
      <c r="T22" s="169"/>
      <c r="U22" s="169"/>
      <c r="V22" s="169"/>
      <c r="W22" s="169"/>
      <c r="X22" s="169"/>
      <c r="Y22" s="169"/>
      <c r="Z22" s="169"/>
      <c r="AA22" s="169"/>
      <c r="AB22" s="169"/>
    </row>
    <row r="23" spans="1:28" ht="15" customHeight="1" x14ac:dyDescent="0.25">
      <c r="A23" s="104"/>
      <c r="B23" s="104"/>
      <c r="C23" s="104"/>
      <c r="D23" s="104"/>
      <c r="E23" s="112"/>
      <c r="F23" s="169"/>
      <c r="G23" s="169"/>
      <c r="H23" s="169"/>
      <c r="I23" s="169"/>
      <c r="J23" s="169"/>
      <c r="K23" s="169"/>
      <c r="L23" s="169"/>
      <c r="M23" s="169"/>
      <c r="N23" s="169"/>
      <c r="O23" s="169"/>
      <c r="P23" s="169"/>
      <c r="Q23" s="169"/>
      <c r="R23" s="169"/>
      <c r="S23" s="169"/>
      <c r="T23" s="169"/>
      <c r="U23" s="169"/>
      <c r="V23" s="169"/>
      <c r="W23" s="169"/>
      <c r="X23" s="169"/>
      <c r="Y23" s="169"/>
      <c r="Z23" s="169"/>
      <c r="AA23" s="169"/>
      <c r="AB23" s="169"/>
    </row>
    <row r="24" spans="1:28" ht="15" customHeight="1" x14ac:dyDescent="0.25">
      <c r="A24" s="104"/>
      <c r="B24" s="104"/>
      <c r="C24" s="104"/>
      <c r="D24" s="104"/>
      <c r="E24" s="112"/>
      <c r="F24" s="169"/>
      <c r="G24" s="169"/>
      <c r="H24" s="169"/>
      <c r="I24" s="169"/>
      <c r="J24" s="169"/>
      <c r="K24" s="169"/>
      <c r="L24" s="169"/>
      <c r="M24" s="169"/>
      <c r="N24" s="169"/>
      <c r="O24" s="169"/>
      <c r="P24" s="169"/>
      <c r="Q24" s="169"/>
      <c r="R24" s="169"/>
      <c r="S24" s="169"/>
      <c r="T24" s="169"/>
      <c r="U24" s="169"/>
      <c r="V24" s="169"/>
      <c r="W24" s="169"/>
      <c r="X24" s="169"/>
      <c r="Y24" s="169"/>
      <c r="Z24" s="169"/>
      <c r="AA24" s="169"/>
      <c r="AB24" s="169"/>
    </row>
    <row r="25" spans="1:28" ht="15" customHeight="1" x14ac:dyDescent="0.25">
      <c r="A25" s="104"/>
      <c r="B25" s="104"/>
      <c r="C25" s="104"/>
      <c r="D25" s="104"/>
      <c r="E25" s="112"/>
      <c r="F25" s="169"/>
      <c r="G25" s="169"/>
      <c r="H25" s="169"/>
      <c r="I25" s="169"/>
      <c r="J25" s="169"/>
      <c r="K25" s="169"/>
      <c r="L25" s="169"/>
      <c r="M25" s="169"/>
      <c r="N25" s="169"/>
      <c r="O25" s="169"/>
      <c r="P25" s="169"/>
      <c r="Q25" s="169"/>
      <c r="R25" s="169"/>
      <c r="S25" s="169"/>
      <c r="T25" s="169"/>
      <c r="U25" s="169"/>
      <c r="V25" s="169"/>
      <c r="W25" s="169"/>
      <c r="X25" s="169"/>
      <c r="Y25" s="169"/>
      <c r="Z25" s="169"/>
      <c r="AA25" s="169"/>
      <c r="AB25" s="169"/>
    </row>
    <row r="26" spans="1:28" ht="15" customHeight="1" x14ac:dyDescent="0.45">
      <c r="A26" s="36"/>
      <c r="B26" s="34"/>
      <c r="C26" s="34"/>
      <c r="D26" s="34"/>
      <c r="E26" s="114"/>
      <c r="F26" s="169"/>
      <c r="G26" s="169"/>
      <c r="H26" s="169"/>
      <c r="I26" s="169"/>
      <c r="J26" s="169"/>
      <c r="K26" s="169"/>
      <c r="L26" s="169"/>
      <c r="M26" s="169"/>
      <c r="N26" s="169"/>
      <c r="O26" s="169"/>
      <c r="P26" s="169"/>
      <c r="Q26" s="169"/>
      <c r="R26" s="169"/>
      <c r="S26" s="169"/>
      <c r="T26" s="169"/>
      <c r="U26" s="169"/>
      <c r="V26" s="169"/>
      <c r="W26" s="169"/>
      <c r="X26" s="169"/>
      <c r="Y26" s="169"/>
      <c r="Z26" s="169"/>
      <c r="AA26" s="169"/>
      <c r="AB26" s="169"/>
    </row>
    <row r="27" spans="1:28" ht="15" customHeight="1" x14ac:dyDescent="0.45">
      <c r="A27" s="34"/>
      <c r="B27" s="34"/>
      <c r="C27" s="34"/>
      <c r="D27" s="34"/>
      <c r="E27" s="114"/>
      <c r="F27" s="169"/>
      <c r="G27" s="169"/>
      <c r="H27" s="169"/>
      <c r="I27" s="169"/>
      <c r="J27" s="169"/>
      <c r="K27" s="169"/>
      <c r="L27" s="169"/>
      <c r="M27" s="169"/>
      <c r="N27" s="169"/>
      <c r="O27" s="169"/>
      <c r="P27" s="169"/>
      <c r="Q27" s="169"/>
      <c r="R27" s="169"/>
      <c r="S27" s="169"/>
      <c r="T27" s="169"/>
      <c r="U27" s="169"/>
      <c r="V27" s="169"/>
      <c r="W27" s="169"/>
      <c r="X27" s="169"/>
      <c r="Y27" s="169"/>
      <c r="Z27" s="169"/>
      <c r="AA27" s="169"/>
      <c r="AB27" s="169"/>
    </row>
    <row r="28" spans="1:28" x14ac:dyDescent="0.25">
      <c r="A28" s="35"/>
      <c r="B28" s="35"/>
      <c r="C28" s="35"/>
      <c r="D28" s="35"/>
      <c r="E28" s="112"/>
      <c r="F28" s="169"/>
      <c r="G28" s="169"/>
      <c r="H28" s="169"/>
      <c r="I28" s="169"/>
      <c r="J28" s="169"/>
      <c r="K28" s="169"/>
      <c r="L28" s="169"/>
      <c r="M28" s="169"/>
      <c r="N28" s="169"/>
      <c r="O28" s="169"/>
      <c r="P28" s="169"/>
      <c r="Q28" s="169"/>
      <c r="R28" s="169"/>
      <c r="S28" s="169"/>
      <c r="T28" s="169"/>
      <c r="U28" s="169"/>
      <c r="V28" s="169"/>
      <c r="W28" s="169"/>
      <c r="X28" s="169"/>
      <c r="Y28" s="169"/>
      <c r="Z28" s="169"/>
      <c r="AA28" s="169"/>
      <c r="AB28" s="169"/>
    </row>
    <row r="29" spans="1:28" x14ac:dyDescent="0.25">
      <c r="A29" s="35"/>
      <c r="B29" s="35"/>
      <c r="C29" s="35"/>
      <c r="D29" s="35"/>
      <c r="E29" s="112"/>
      <c r="F29" s="169"/>
      <c r="G29" s="169"/>
      <c r="H29" s="169"/>
      <c r="I29" s="169"/>
      <c r="J29" s="169"/>
      <c r="K29" s="169"/>
      <c r="L29" s="169"/>
      <c r="M29" s="169"/>
      <c r="N29" s="169"/>
      <c r="O29" s="169"/>
      <c r="P29" s="169"/>
      <c r="Q29" s="169"/>
      <c r="R29" s="169"/>
      <c r="S29" s="169"/>
      <c r="T29" s="169"/>
      <c r="U29" s="169"/>
      <c r="V29" s="169"/>
      <c r="W29" s="169"/>
      <c r="X29" s="169"/>
      <c r="Y29" s="169"/>
      <c r="Z29" s="169"/>
      <c r="AA29" s="169"/>
      <c r="AB29" s="169"/>
    </row>
    <row r="30" spans="1:28" ht="15" customHeight="1" x14ac:dyDescent="0.25">
      <c r="A30" s="35"/>
      <c r="B30" s="35"/>
      <c r="C30" s="35"/>
      <c r="D30" s="35"/>
      <c r="E30" s="112"/>
      <c r="F30" s="169"/>
      <c r="G30" s="169"/>
      <c r="H30" s="169"/>
      <c r="I30" s="169"/>
      <c r="J30" s="169"/>
      <c r="K30" s="169"/>
      <c r="L30" s="169"/>
      <c r="M30" s="169"/>
      <c r="N30" s="169"/>
      <c r="O30" s="169"/>
      <c r="P30" s="169"/>
      <c r="Q30" s="169"/>
      <c r="R30" s="169"/>
      <c r="S30" s="169"/>
      <c r="T30" s="169"/>
      <c r="U30" s="169"/>
      <c r="V30" s="169"/>
      <c r="W30" s="169"/>
      <c r="X30" s="169"/>
      <c r="Y30" s="169"/>
      <c r="Z30" s="169"/>
      <c r="AA30" s="169"/>
      <c r="AB30" s="169"/>
    </row>
    <row r="31" spans="1:28" s="22" customFormat="1" ht="15.75" customHeight="1" x14ac:dyDescent="0.25">
      <c r="A31" s="105"/>
      <c r="B31" s="105"/>
      <c r="C31" s="105"/>
      <c r="D31" s="105"/>
      <c r="E31" s="115"/>
      <c r="G31" s="106"/>
      <c r="H31" s="106"/>
      <c r="I31" s="106"/>
      <c r="J31" s="106"/>
      <c r="K31" s="106"/>
      <c r="L31" s="106"/>
    </row>
    <row r="32" spans="1:28" s="22" customFormat="1" x14ac:dyDescent="0.25">
      <c r="A32" s="105"/>
      <c r="B32" s="105"/>
      <c r="C32" s="105"/>
      <c r="D32" s="105"/>
      <c r="E32" s="115"/>
    </row>
    <row r="33" spans="1:30" x14ac:dyDescent="0.25">
      <c r="A33" s="35"/>
      <c r="B33" s="35"/>
      <c r="C33" s="35"/>
      <c r="D33" s="35"/>
      <c r="E33" s="112"/>
      <c r="F33" s="22"/>
      <c r="G33" s="22"/>
      <c r="H33" s="22"/>
      <c r="I33" s="22"/>
      <c r="J33" s="22"/>
      <c r="K33" s="22"/>
      <c r="L33" s="22"/>
      <c r="M33" s="22"/>
      <c r="N33" s="22"/>
      <c r="O33" s="22"/>
    </row>
    <row r="34" spans="1:30" s="107" customFormat="1" ht="15.75" thickBot="1" x14ac:dyDescent="0.3">
      <c r="A34" s="108"/>
      <c r="B34" s="108"/>
      <c r="C34" s="108"/>
      <c r="D34" s="108"/>
      <c r="E34" s="116"/>
    </row>
    <row r="35" spans="1:30" x14ac:dyDescent="0.25">
      <c r="B35" s="112"/>
      <c r="C35" s="112"/>
      <c r="D35" s="112"/>
      <c r="E35" s="112"/>
      <c r="F35" s="22"/>
      <c r="G35" s="22"/>
      <c r="H35" s="22"/>
      <c r="I35" s="22"/>
      <c r="J35" s="22"/>
      <c r="K35" s="22"/>
      <c r="L35" s="22"/>
      <c r="M35" s="22"/>
      <c r="N35" s="22"/>
      <c r="O35" s="22"/>
    </row>
    <row r="36" spans="1:30" x14ac:dyDescent="0.25">
      <c r="B36" s="112"/>
      <c r="C36" s="112"/>
      <c r="D36" s="112"/>
      <c r="E36" s="112"/>
      <c r="M36" s="22"/>
      <c r="N36" s="22"/>
      <c r="O36" s="22"/>
    </row>
    <row r="37" spans="1:30" x14ac:dyDescent="0.25">
      <c r="B37" s="112"/>
      <c r="C37" s="112"/>
      <c r="D37" s="112"/>
      <c r="E37" s="112"/>
    </row>
    <row r="38" spans="1:30" x14ac:dyDescent="0.25">
      <c r="B38" s="112"/>
      <c r="C38" s="112"/>
      <c r="D38" s="112"/>
      <c r="E38" s="112"/>
    </row>
    <row r="39" spans="1:30" x14ac:dyDescent="0.25">
      <c r="B39" s="112"/>
      <c r="C39" s="112"/>
      <c r="D39" s="112"/>
      <c r="E39" s="165" t="s">
        <v>25</v>
      </c>
      <c r="F39" s="166"/>
      <c r="G39" s="166"/>
      <c r="H39" s="166"/>
      <c r="I39" s="166"/>
      <c r="J39" s="166"/>
      <c r="K39" s="166"/>
      <c r="L39" s="166"/>
    </row>
    <row r="40" spans="1:30" x14ac:dyDescent="0.25">
      <c r="B40" s="112"/>
      <c r="C40" s="112"/>
      <c r="D40" s="112"/>
      <c r="AD40" s="20" t="s">
        <v>314</v>
      </c>
    </row>
    <row r="41" spans="1:30" x14ac:dyDescent="0.25">
      <c r="B41" s="112"/>
      <c r="C41" s="112"/>
      <c r="D41" s="112"/>
      <c r="E41" s="112"/>
    </row>
    <row r="42" spans="1:30" x14ac:dyDescent="0.25">
      <c r="B42" s="112"/>
      <c r="C42" s="112"/>
      <c r="D42" s="112"/>
      <c r="E42" s="112"/>
    </row>
    <row r="43" spans="1:30" x14ac:dyDescent="0.25">
      <c r="B43" s="112"/>
      <c r="C43" s="112"/>
      <c r="D43" s="112"/>
      <c r="E43" s="112"/>
    </row>
    <row r="44" spans="1:30" x14ac:dyDescent="0.25">
      <c r="B44" s="112"/>
      <c r="C44" s="112"/>
      <c r="D44" s="112"/>
      <c r="E44" s="112"/>
    </row>
    <row r="45" spans="1:30" x14ac:dyDescent="0.25">
      <c r="B45" s="112"/>
      <c r="C45" s="112"/>
      <c r="D45" s="112"/>
      <c r="E45" s="112"/>
    </row>
    <row r="46" spans="1:30" x14ac:dyDescent="0.25">
      <c r="B46" s="112"/>
      <c r="C46" s="112"/>
      <c r="D46" s="112"/>
      <c r="E46" s="112"/>
    </row>
    <row r="47" spans="1:30" x14ac:dyDescent="0.25">
      <c r="B47" s="112"/>
      <c r="C47" s="112"/>
      <c r="D47" s="112"/>
      <c r="E47" s="112"/>
    </row>
    <row r="48" spans="1:30" x14ac:dyDescent="0.25">
      <c r="B48" s="112"/>
      <c r="C48" s="112"/>
      <c r="D48" s="112"/>
      <c r="E48" s="112"/>
    </row>
    <row r="49" spans="2:5" x14ac:dyDescent="0.25">
      <c r="B49" s="112"/>
      <c r="C49" s="112"/>
      <c r="D49" s="112"/>
      <c r="E49" s="112"/>
    </row>
    <row r="50" spans="2:5" x14ac:dyDescent="0.25">
      <c r="B50" s="112"/>
      <c r="C50" s="112"/>
      <c r="D50" s="112"/>
      <c r="E50" s="112"/>
    </row>
    <row r="51" spans="2:5" x14ac:dyDescent="0.25">
      <c r="B51" s="112"/>
      <c r="C51" s="112"/>
      <c r="D51" s="112"/>
      <c r="E51" s="112"/>
    </row>
    <row r="52" spans="2:5" x14ac:dyDescent="0.25">
      <c r="B52" s="112"/>
      <c r="C52" s="112"/>
      <c r="D52" s="112"/>
      <c r="E52" s="112"/>
    </row>
    <row r="53" spans="2:5" x14ac:dyDescent="0.25">
      <c r="B53" s="112"/>
      <c r="C53" s="112"/>
      <c r="D53" s="112"/>
      <c r="E53" s="112"/>
    </row>
    <row r="54" spans="2:5" x14ac:dyDescent="0.25">
      <c r="B54" s="112"/>
      <c r="C54" s="112"/>
      <c r="D54" s="112"/>
      <c r="E54" s="112"/>
    </row>
    <row r="55" spans="2:5" x14ac:dyDescent="0.25">
      <c r="B55" s="112"/>
      <c r="C55" s="112"/>
      <c r="D55" s="112"/>
      <c r="E55" s="112"/>
    </row>
    <row r="56" spans="2:5" x14ac:dyDescent="0.25">
      <c r="B56" s="112"/>
      <c r="C56" s="112"/>
      <c r="D56" s="112"/>
      <c r="E56" s="112"/>
    </row>
    <row r="57" spans="2:5" x14ac:dyDescent="0.25">
      <c r="B57" s="112"/>
      <c r="C57" s="112"/>
      <c r="D57" s="112"/>
      <c r="E57" s="112"/>
    </row>
    <row r="58" spans="2:5" x14ac:dyDescent="0.25">
      <c r="B58" s="112"/>
      <c r="C58" s="112"/>
      <c r="D58" s="112"/>
      <c r="E58" s="112"/>
    </row>
    <row r="59" spans="2:5" x14ac:dyDescent="0.25">
      <c r="B59" s="112"/>
      <c r="C59" s="112"/>
      <c r="D59" s="112"/>
      <c r="E59" s="112"/>
    </row>
    <row r="60" spans="2:5" x14ac:dyDescent="0.25">
      <c r="B60" s="112"/>
      <c r="C60" s="112"/>
      <c r="D60" s="112"/>
      <c r="E60" s="112"/>
    </row>
    <row r="61" spans="2:5" x14ac:dyDescent="0.25">
      <c r="B61" s="112"/>
      <c r="C61" s="112"/>
      <c r="D61" s="112"/>
      <c r="E61" s="112"/>
    </row>
    <row r="62" spans="2:5" x14ac:dyDescent="0.25">
      <c r="B62" s="112"/>
      <c r="C62" s="112"/>
      <c r="D62" s="112"/>
      <c r="E62" s="112"/>
    </row>
    <row r="63" spans="2:5" x14ac:dyDescent="0.25">
      <c r="B63" s="112"/>
      <c r="C63" s="112"/>
      <c r="D63" s="112"/>
      <c r="E63" s="112"/>
    </row>
    <row r="64" spans="2:5" x14ac:dyDescent="0.25">
      <c r="B64" s="112"/>
      <c r="C64" s="112"/>
      <c r="D64" s="112"/>
      <c r="E64" s="112"/>
    </row>
    <row r="65" spans="2:5" x14ac:dyDescent="0.25">
      <c r="B65" s="112"/>
      <c r="C65" s="112"/>
      <c r="D65" s="112"/>
      <c r="E65" s="112"/>
    </row>
    <row r="66" spans="2:5" x14ac:dyDescent="0.25">
      <c r="B66" s="112"/>
      <c r="C66" s="112"/>
      <c r="D66" s="112"/>
      <c r="E66" s="112"/>
    </row>
    <row r="67" spans="2:5" x14ac:dyDescent="0.25">
      <c r="B67" s="112"/>
      <c r="C67" s="112"/>
      <c r="D67" s="112"/>
      <c r="E67" s="112"/>
    </row>
    <row r="68" spans="2:5" x14ac:dyDescent="0.25">
      <c r="B68" s="112"/>
      <c r="C68" s="112"/>
      <c r="D68" s="112"/>
      <c r="E68" s="112"/>
    </row>
    <row r="69" spans="2:5" x14ac:dyDescent="0.25">
      <c r="B69" s="112"/>
      <c r="C69" s="112"/>
      <c r="D69" s="112"/>
      <c r="E69" s="112"/>
    </row>
    <row r="70" spans="2:5" x14ac:dyDescent="0.25">
      <c r="B70" s="112"/>
      <c r="C70" s="112"/>
      <c r="D70" s="112"/>
      <c r="E70" s="112"/>
    </row>
    <row r="71" spans="2:5" x14ac:dyDescent="0.25">
      <c r="B71" s="112"/>
      <c r="C71" s="112"/>
      <c r="D71" s="112"/>
      <c r="E71" s="112"/>
    </row>
    <row r="72" spans="2:5" x14ac:dyDescent="0.25">
      <c r="B72" s="112"/>
      <c r="C72" s="112"/>
      <c r="D72" s="112"/>
      <c r="E72" s="112"/>
    </row>
    <row r="73" spans="2:5" x14ac:dyDescent="0.25">
      <c r="B73" s="112"/>
      <c r="C73" s="112"/>
      <c r="D73" s="112"/>
      <c r="E73" s="112"/>
    </row>
    <row r="74" spans="2:5" x14ac:dyDescent="0.25">
      <c r="B74" s="112"/>
      <c r="C74" s="112"/>
      <c r="D74" s="112"/>
      <c r="E74" s="112"/>
    </row>
    <row r="75" spans="2:5" x14ac:dyDescent="0.25">
      <c r="B75" s="112"/>
      <c r="C75" s="112"/>
      <c r="D75" s="112"/>
      <c r="E75" s="112"/>
    </row>
    <row r="76" spans="2:5" x14ac:dyDescent="0.25">
      <c r="B76" s="112"/>
      <c r="C76" s="112"/>
      <c r="D76" s="112"/>
      <c r="E76" s="112"/>
    </row>
    <row r="77" spans="2:5" x14ac:dyDescent="0.25">
      <c r="B77" s="112"/>
      <c r="C77" s="112"/>
      <c r="D77" s="112"/>
      <c r="E77" s="112"/>
    </row>
    <row r="78" spans="2:5" x14ac:dyDescent="0.25">
      <c r="B78" s="112"/>
      <c r="C78" s="112"/>
      <c r="D78" s="112"/>
      <c r="E78" s="112"/>
    </row>
    <row r="79" spans="2:5" x14ac:dyDescent="0.25">
      <c r="B79" s="112"/>
      <c r="C79" s="112"/>
      <c r="D79" s="112"/>
      <c r="E79" s="112"/>
    </row>
    <row r="80" spans="2:5" x14ac:dyDescent="0.25">
      <c r="B80" s="112"/>
      <c r="C80" s="112"/>
      <c r="D80" s="112"/>
      <c r="E80" s="112"/>
    </row>
    <row r="81" spans="2:5" x14ac:dyDescent="0.25">
      <c r="B81" s="112"/>
      <c r="C81" s="112"/>
      <c r="D81" s="112"/>
      <c r="E81" s="112"/>
    </row>
    <row r="82" spans="2:5" x14ac:dyDescent="0.25">
      <c r="B82" s="112"/>
      <c r="C82" s="112"/>
      <c r="D82" s="112"/>
      <c r="E82" s="112"/>
    </row>
    <row r="83" spans="2:5" x14ac:dyDescent="0.25">
      <c r="B83" s="112"/>
      <c r="C83" s="112"/>
      <c r="D83" s="112"/>
      <c r="E83" s="112"/>
    </row>
    <row r="84" spans="2:5" x14ac:dyDescent="0.25">
      <c r="B84" s="112"/>
      <c r="C84" s="112"/>
      <c r="D84" s="112"/>
      <c r="E84" s="112"/>
    </row>
    <row r="85" spans="2:5" x14ac:dyDescent="0.25">
      <c r="B85" s="112"/>
      <c r="C85" s="112"/>
      <c r="D85" s="112"/>
      <c r="E85" s="112"/>
    </row>
    <row r="86" spans="2:5" x14ac:dyDescent="0.25">
      <c r="B86" s="112"/>
      <c r="C86" s="112"/>
      <c r="D86" s="112"/>
      <c r="E86" s="112"/>
    </row>
    <row r="87" spans="2:5" x14ac:dyDescent="0.25">
      <c r="B87" s="112"/>
      <c r="C87" s="112"/>
      <c r="D87" s="112"/>
      <c r="E87" s="112"/>
    </row>
    <row r="88" spans="2:5" x14ac:dyDescent="0.25">
      <c r="B88" s="112"/>
      <c r="C88" s="112"/>
      <c r="D88" s="112"/>
      <c r="E88" s="112"/>
    </row>
    <row r="89" spans="2:5" x14ac:dyDescent="0.25">
      <c r="B89" s="112"/>
      <c r="C89" s="112"/>
      <c r="D89" s="112"/>
      <c r="E89" s="112"/>
    </row>
    <row r="90" spans="2:5" x14ac:dyDescent="0.25">
      <c r="B90" s="112"/>
      <c r="C90" s="112"/>
      <c r="D90" s="112"/>
      <c r="E90" s="112"/>
    </row>
    <row r="91" spans="2:5" x14ac:dyDescent="0.25">
      <c r="B91" s="112"/>
      <c r="C91" s="112"/>
      <c r="D91" s="112"/>
      <c r="E91" s="112"/>
    </row>
    <row r="92" spans="2:5" x14ac:dyDescent="0.25">
      <c r="B92" s="112"/>
      <c r="C92" s="112"/>
      <c r="D92" s="112"/>
      <c r="E92" s="112"/>
    </row>
    <row r="93" spans="2:5" x14ac:dyDescent="0.25">
      <c r="B93" s="112"/>
      <c r="C93" s="112"/>
      <c r="D93" s="112"/>
      <c r="E93" s="112"/>
    </row>
    <row r="94" spans="2:5" x14ac:dyDescent="0.25">
      <c r="B94" s="112"/>
      <c r="C94" s="112"/>
      <c r="D94" s="112"/>
      <c r="E94" s="112"/>
    </row>
    <row r="95" spans="2:5" x14ac:dyDescent="0.25">
      <c r="B95" s="112"/>
      <c r="C95" s="112"/>
      <c r="D95" s="112"/>
      <c r="E95" s="112"/>
    </row>
    <row r="96" spans="2:5" x14ac:dyDescent="0.25">
      <c r="B96" s="112"/>
      <c r="C96" s="112"/>
      <c r="D96" s="112"/>
      <c r="E96" s="112"/>
    </row>
    <row r="97" spans="2:5" x14ac:dyDescent="0.25">
      <c r="B97" s="112"/>
      <c r="C97" s="112"/>
      <c r="D97" s="112"/>
      <c r="E97" s="112"/>
    </row>
    <row r="98" spans="2:5" x14ac:dyDescent="0.25">
      <c r="B98" s="112"/>
      <c r="C98" s="112"/>
      <c r="D98" s="112"/>
      <c r="E98" s="112"/>
    </row>
    <row r="99" spans="2:5" x14ac:dyDescent="0.25">
      <c r="B99" s="112"/>
      <c r="C99" s="112"/>
      <c r="D99" s="112"/>
      <c r="E99" s="112"/>
    </row>
    <row r="100" spans="2:5" x14ac:dyDescent="0.25">
      <c r="B100" s="112"/>
      <c r="C100" s="112"/>
      <c r="D100" s="112"/>
      <c r="E100" s="112"/>
    </row>
    <row r="101" spans="2:5" x14ac:dyDescent="0.25">
      <c r="B101" s="112"/>
      <c r="C101" s="112"/>
      <c r="D101" s="112"/>
      <c r="E101" s="112"/>
    </row>
    <row r="102" spans="2:5" x14ac:dyDescent="0.25">
      <c r="B102" s="112"/>
      <c r="C102" s="112"/>
      <c r="D102" s="112"/>
      <c r="E102" s="112"/>
    </row>
    <row r="103" spans="2:5" x14ac:dyDescent="0.25">
      <c r="B103" s="112"/>
      <c r="C103" s="112"/>
      <c r="D103" s="112"/>
      <c r="E103" s="112"/>
    </row>
    <row r="104" spans="2:5" x14ac:dyDescent="0.25">
      <c r="B104" s="112"/>
      <c r="C104" s="112"/>
      <c r="D104" s="112"/>
      <c r="E104" s="112"/>
    </row>
    <row r="105" spans="2:5" x14ac:dyDescent="0.25">
      <c r="B105" s="112"/>
      <c r="C105" s="112"/>
      <c r="D105" s="112"/>
      <c r="E105" s="112"/>
    </row>
    <row r="106" spans="2:5" x14ac:dyDescent="0.25">
      <c r="B106" s="112"/>
      <c r="C106" s="112"/>
      <c r="D106" s="112"/>
      <c r="E106" s="112"/>
    </row>
    <row r="107" spans="2:5" x14ac:dyDescent="0.25">
      <c r="B107" s="112"/>
      <c r="C107" s="112"/>
      <c r="D107" s="112"/>
      <c r="E107" s="112"/>
    </row>
    <row r="108" spans="2:5" x14ac:dyDescent="0.25">
      <c r="B108" s="112"/>
      <c r="C108" s="112"/>
      <c r="D108" s="112"/>
      <c r="E108" s="112"/>
    </row>
    <row r="109" spans="2:5" x14ac:dyDescent="0.25">
      <c r="B109" s="112"/>
      <c r="C109" s="112"/>
      <c r="D109" s="112"/>
      <c r="E109" s="112"/>
    </row>
    <row r="110" spans="2:5" x14ac:dyDescent="0.25">
      <c r="B110" s="112"/>
      <c r="C110" s="112"/>
      <c r="D110" s="112"/>
      <c r="E110" s="112"/>
    </row>
    <row r="111" spans="2:5" x14ac:dyDescent="0.25">
      <c r="B111" s="112"/>
      <c r="C111" s="112"/>
      <c r="D111" s="112"/>
      <c r="E111" s="112"/>
    </row>
    <row r="112" spans="2:5" x14ac:dyDescent="0.25">
      <c r="B112" s="112"/>
      <c r="C112" s="112"/>
      <c r="D112" s="112"/>
      <c r="E112" s="112"/>
    </row>
    <row r="113" spans="2:5" x14ac:dyDescent="0.25">
      <c r="B113" s="112"/>
      <c r="C113" s="112"/>
      <c r="D113" s="112"/>
      <c r="E113" s="112"/>
    </row>
    <row r="114" spans="2:5" x14ac:dyDescent="0.25">
      <c r="B114" s="112"/>
      <c r="C114" s="112"/>
      <c r="D114" s="112"/>
      <c r="E114" s="112"/>
    </row>
    <row r="115" spans="2:5" x14ac:dyDescent="0.25">
      <c r="B115" s="112"/>
      <c r="C115" s="112"/>
      <c r="D115" s="112"/>
      <c r="E115" s="112"/>
    </row>
    <row r="116" spans="2:5" x14ac:dyDescent="0.25">
      <c r="B116" s="112"/>
      <c r="C116" s="112"/>
      <c r="D116" s="112"/>
      <c r="E116" s="112"/>
    </row>
    <row r="117" spans="2:5" x14ac:dyDescent="0.25">
      <c r="B117" s="112"/>
      <c r="C117" s="112"/>
      <c r="D117" s="112"/>
      <c r="E117" s="112"/>
    </row>
    <row r="118" spans="2:5" x14ac:dyDescent="0.25">
      <c r="B118" s="112"/>
      <c r="C118" s="112"/>
      <c r="D118" s="112"/>
      <c r="E118" s="112"/>
    </row>
    <row r="119" spans="2:5" x14ac:dyDescent="0.25">
      <c r="B119" s="112"/>
      <c r="C119" s="112"/>
      <c r="D119" s="112"/>
      <c r="E119" s="112"/>
    </row>
    <row r="120" spans="2:5" x14ac:dyDescent="0.25">
      <c r="B120" s="112"/>
      <c r="C120" s="112"/>
      <c r="D120" s="112"/>
      <c r="E120" s="112"/>
    </row>
    <row r="121" spans="2:5" x14ac:dyDescent="0.25">
      <c r="B121" s="112"/>
      <c r="C121" s="112"/>
      <c r="D121" s="112"/>
      <c r="E121" s="112"/>
    </row>
    <row r="122" spans="2:5" x14ac:dyDescent="0.25">
      <c r="B122" s="112"/>
      <c r="C122" s="112"/>
      <c r="D122" s="112"/>
      <c r="E122" s="112"/>
    </row>
    <row r="123" spans="2:5" x14ac:dyDescent="0.25">
      <c r="B123" s="112"/>
      <c r="C123" s="112"/>
      <c r="D123" s="112"/>
      <c r="E123" s="112"/>
    </row>
    <row r="124" spans="2:5" x14ac:dyDescent="0.25">
      <c r="B124" s="112"/>
      <c r="C124" s="112"/>
      <c r="D124" s="112"/>
      <c r="E124" s="112"/>
    </row>
    <row r="125" spans="2:5" x14ac:dyDescent="0.25">
      <c r="B125" s="112"/>
      <c r="C125" s="112"/>
      <c r="D125" s="112"/>
      <c r="E125" s="112"/>
    </row>
    <row r="126" spans="2:5" x14ac:dyDescent="0.25">
      <c r="B126" s="112"/>
      <c r="C126" s="112"/>
      <c r="D126" s="112"/>
      <c r="E126" s="112"/>
    </row>
    <row r="127" spans="2:5" x14ac:dyDescent="0.25">
      <c r="B127" s="112"/>
      <c r="C127" s="112"/>
      <c r="D127" s="112"/>
      <c r="E127" s="112"/>
    </row>
    <row r="128" spans="2:5" x14ac:dyDescent="0.25">
      <c r="B128" s="112"/>
      <c r="C128" s="112"/>
      <c r="D128" s="112"/>
      <c r="E128" s="112"/>
    </row>
    <row r="129" spans="2:5" x14ac:dyDescent="0.25">
      <c r="B129" s="112"/>
      <c r="C129" s="112"/>
      <c r="D129" s="112"/>
      <c r="E129" s="112"/>
    </row>
    <row r="130" spans="2:5" x14ac:dyDescent="0.25">
      <c r="B130" s="112"/>
      <c r="C130" s="112"/>
      <c r="D130" s="112"/>
      <c r="E130" s="112"/>
    </row>
    <row r="131" spans="2:5" x14ac:dyDescent="0.25">
      <c r="B131" s="112"/>
      <c r="C131" s="112"/>
      <c r="D131" s="112"/>
      <c r="E131" s="112"/>
    </row>
    <row r="132" spans="2:5" x14ac:dyDescent="0.25">
      <c r="B132" s="112"/>
      <c r="C132" s="112"/>
      <c r="D132" s="112"/>
      <c r="E132" s="112"/>
    </row>
    <row r="133" spans="2:5" x14ac:dyDescent="0.25">
      <c r="B133" s="112"/>
      <c r="C133" s="112"/>
      <c r="D133" s="112"/>
      <c r="E133" s="112"/>
    </row>
    <row r="134" spans="2:5" x14ac:dyDescent="0.25">
      <c r="B134" s="112"/>
      <c r="C134" s="112"/>
      <c r="D134" s="112"/>
      <c r="E134" s="112"/>
    </row>
    <row r="135" spans="2:5" x14ac:dyDescent="0.25">
      <c r="B135" s="112"/>
      <c r="C135" s="112"/>
      <c r="D135" s="112"/>
      <c r="E135" s="112"/>
    </row>
    <row r="136" spans="2:5" x14ac:dyDescent="0.25">
      <c r="B136" s="112"/>
      <c r="C136" s="112"/>
      <c r="D136" s="112"/>
      <c r="E136" s="112"/>
    </row>
    <row r="137" spans="2:5" x14ac:dyDescent="0.25">
      <c r="B137" s="112"/>
      <c r="C137" s="112"/>
      <c r="D137" s="112"/>
      <c r="E137" s="112"/>
    </row>
    <row r="138" spans="2:5" x14ac:dyDescent="0.25">
      <c r="B138" s="112"/>
      <c r="C138" s="112"/>
      <c r="D138" s="112"/>
      <c r="E138" s="112"/>
    </row>
    <row r="139" spans="2:5" x14ac:dyDescent="0.25">
      <c r="B139" s="112"/>
      <c r="C139" s="112"/>
      <c r="D139" s="112"/>
      <c r="E139" s="112"/>
    </row>
    <row r="140" spans="2:5" x14ac:dyDescent="0.25">
      <c r="B140" s="112"/>
      <c r="C140" s="112"/>
      <c r="D140" s="112"/>
      <c r="E140" s="112"/>
    </row>
    <row r="141" spans="2:5" x14ac:dyDescent="0.25">
      <c r="B141" s="112"/>
      <c r="C141" s="112"/>
      <c r="D141" s="112"/>
      <c r="E141" s="112"/>
    </row>
    <row r="142" spans="2:5" x14ac:dyDescent="0.25">
      <c r="B142" s="112"/>
      <c r="C142" s="112"/>
      <c r="D142" s="112"/>
      <c r="E142" s="112"/>
    </row>
    <row r="143" spans="2:5" x14ac:dyDescent="0.25">
      <c r="B143" s="112"/>
      <c r="C143" s="112"/>
      <c r="D143" s="112"/>
      <c r="E143" s="112"/>
    </row>
    <row r="144" spans="2:5" x14ac:dyDescent="0.25">
      <c r="B144" s="112"/>
      <c r="C144" s="112"/>
      <c r="D144" s="112"/>
      <c r="E144" s="112"/>
    </row>
    <row r="145" spans="2:5" x14ac:dyDescent="0.25">
      <c r="B145" s="112"/>
      <c r="C145" s="112"/>
      <c r="D145" s="112"/>
      <c r="E145" s="112"/>
    </row>
    <row r="146" spans="2:5" x14ac:dyDescent="0.25">
      <c r="B146" s="112"/>
      <c r="C146" s="112"/>
      <c r="D146" s="112"/>
      <c r="E146" s="112"/>
    </row>
    <row r="147" spans="2:5" x14ac:dyDescent="0.25">
      <c r="B147" s="112"/>
      <c r="C147" s="112"/>
      <c r="D147" s="112"/>
      <c r="E147" s="112"/>
    </row>
    <row r="148" spans="2:5" x14ac:dyDescent="0.25">
      <c r="B148" s="112"/>
      <c r="C148" s="112"/>
      <c r="D148" s="112"/>
      <c r="E148" s="112"/>
    </row>
    <row r="149" spans="2:5" x14ac:dyDescent="0.25">
      <c r="B149" s="112"/>
      <c r="C149" s="112"/>
      <c r="D149" s="112"/>
      <c r="E149" s="112"/>
    </row>
    <row r="150" spans="2:5" x14ac:dyDescent="0.25">
      <c r="B150" s="112"/>
      <c r="C150" s="112"/>
      <c r="D150" s="112"/>
      <c r="E150" s="112"/>
    </row>
    <row r="151" spans="2:5" x14ac:dyDescent="0.25">
      <c r="B151" s="112"/>
      <c r="C151" s="112"/>
      <c r="D151" s="112"/>
      <c r="E151" s="112"/>
    </row>
    <row r="152" spans="2:5" x14ac:dyDescent="0.25">
      <c r="B152" s="112"/>
      <c r="C152" s="112"/>
      <c r="D152" s="112"/>
      <c r="E152" s="112"/>
    </row>
    <row r="153" spans="2:5" x14ac:dyDescent="0.25">
      <c r="B153" s="112"/>
      <c r="C153" s="112"/>
      <c r="D153" s="112"/>
      <c r="E153" s="112"/>
    </row>
    <row r="154" spans="2:5" x14ac:dyDescent="0.25">
      <c r="B154" s="112"/>
      <c r="C154" s="112"/>
      <c r="D154" s="112"/>
      <c r="E154" s="112"/>
    </row>
    <row r="155" spans="2:5" x14ac:dyDescent="0.25">
      <c r="B155" s="112"/>
      <c r="C155" s="112"/>
      <c r="D155" s="112"/>
      <c r="E155" s="112"/>
    </row>
    <row r="156" spans="2:5" x14ac:dyDescent="0.25">
      <c r="B156" s="112"/>
      <c r="C156" s="112"/>
      <c r="D156" s="112"/>
      <c r="E156" s="112"/>
    </row>
    <row r="157" spans="2:5" x14ac:dyDescent="0.25">
      <c r="B157" s="112"/>
      <c r="C157" s="112"/>
      <c r="D157" s="112"/>
      <c r="E157" s="112"/>
    </row>
    <row r="158" spans="2:5" x14ac:dyDescent="0.25">
      <c r="B158" s="112"/>
      <c r="C158" s="112"/>
      <c r="D158" s="112"/>
      <c r="E158" s="112"/>
    </row>
    <row r="159" spans="2:5" x14ac:dyDescent="0.25">
      <c r="B159" s="112"/>
      <c r="C159" s="112"/>
      <c r="D159" s="112"/>
      <c r="E159" s="112"/>
    </row>
    <row r="160" spans="2:5" x14ac:dyDescent="0.25">
      <c r="B160" s="112"/>
      <c r="C160" s="112"/>
      <c r="D160" s="112"/>
      <c r="E160" s="112"/>
    </row>
    <row r="161" spans="2:5" x14ac:dyDescent="0.25">
      <c r="B161" s="112"/>
      <c r="C161" s="112"/>
      <c r="D161" s="112"/>
      <c r="E161" s="112"/>
    </row>
    <row r="162" spans="2:5" x14ac:dyDescent="0.25">
      <c r="B162" s="112"/>
      <c r="C162" s="112"/>
      <c r="D162" s="112"/>
      <c r="E162" s="112"/>
    </row>
    <row r="163" spans="2:5" x14ac:dyDescent="0.25">
      <c r="B163" s="112"/>
      <c r="C163" s="112"/>
      <c r="D163" s="112"/>
      <c r="E163" s="112"/>
    </row>
    <row r="164" spans="2:5" x14ac:dyDescent="0.25">
      <c r="B164" s="112"/>
      <c r="C164" s="112"/>
      <c r="D164" s="112"/>
      <c r="E164" s="112"/>
    </row>
    <row r="165" spans="2:5" x14ac:dyDescent="0.25">
      <c r="B165" s="112"/>
      <c r="C165" s="112"/>
      <c r="D165" s="112"/>
      <c r="E165" s="112"/>
    </row>
    <row r="166" spans="2:5" x14ac:dyDescent="0.25">
      <c r="B166" s="112"/>
      <c r="C166" s="112"/>
      <c r="D166" s="112"/>
      <c r="E166" s="112"/>
    </row>
    <row r="167" spans="2:5" x14ac:dyDescent="0.25">
      <c r="B167" s="112"/>
      <c r="C167" s="112"/>
      <c r="D167" s="112"/>
      <c r="E167" s="112"/>
    </row>
    <row r="168" spans="2:5" x14ac:dyDescent="0.25">
      <c r="B168" s="112"/>
      <c r="C168" s="112"/>
      <c r="D168" s="112"/>
      <c r="E168" s="112"/>
    </row>
    <row r="169" spans="2:5" x14ac:dyDescent="0.25">
      <c r="B169" s="112"/>
      <c r="C169" s="112"/>
      <c r="D169" s="112"/>
      <c r="E169" s="112"/>
    </row>
    <row r="170" spans="2:5" x14ac:dyDescent="0.25">
      <c r="B170" s="112"/>
      <c r="C170" s="112"/>
      <c r="D170" s="112"/>
      <c r="E170" s="112"/>
    </row>
    <row r="171" spans="2:5" x14ac:dyDescent="0.25">
      <c r="B171" s="112"/>
      <c r="C171" s="112"/>
      <c r="D171" s="112"/>
      <c r="E171" s="112"/>
    </row>
    <row r="172" spans="2:5" x14ac:dyDescent="0.25">
      <c r="B172" s="112"/>
      <c r="C172" s="112"/>
      <c r="D172" s="112"/>
      <c r="E172" s="112"/>
    </row>
    <row r="173" spans="2:5" x14ac:dyDescent="0.25">
      <c r="B173" s="112"/>
      <c r="C173" s="112"/>
      <c r="D173" s="112"/>
      <c r="E173" s="112"/>
    </row>
    <row r="174" spans="2:5" x14ac:dyDescent="0.25">
      <c r="B174" s="112"/>
      <c r="C174" s="112"/>
      <c r="D174" s="112"/>
      <c r="E174" s="112"/>
    </row>
    <row r="175" spans="2:5" x14ac:dyDescent="0.25">
      <c r="B175" s="112"/>
      <c r="C175" s="112"/>
      <c r="D175" s="112"/>
      <c r="E175" s="112"/>
    </row>
    <row r="176" spans="2:5" x14ac:dyDescent="0.25">
      <c r="B176" s="112"/>
      <c r="C176" s="112"/>
      <c r="D176" s="112"/>
      <c r="E176" s="112"/>
    </row>
    <row r="177" spans="2:5" x14ac:dyDescent="0.25">
      <c r="B177" s="112"/>
      <c r="C177" s="112"/>
      <c r="D177" s="112"/>
      <c r="E177" s="112"/>
    </row>
    <row r="178" spans="2:5" x14ac:dyDescent="0.25">
      <c r="B178" s="112"/>
      <c r="C178" s="112"/>
      <c r="D178" s="112"/>
      <c r="E178" s="112"/>
    </row>
    <row r="179" spans="2:5" x14ac:dyDescent="0.25">
      <c r="B179" s="112"/>
      <c r="C179" s="112"/>
      <c r="D179" s="112"/>
      <c r="E179" s="112"/>
    </row>
    <row r="180" spans="2:5" x14ac:dyDescent="0.25">
      <c r="B180" s="112"/>
      <c r="C180" s="112"/>
      <c r="D180" s="112"/>
      <c r="E180" s="112"/>
    </row>
    <row r="181" spans="2:5" x14ac:dyDescent="0.25">
      <c r="B181" s="112"/>
      <c r="C181" s="112"/>
      <c r="D181" s="112"/>
      <c r="E181" s="112"/>
    </row>
    <row r="182" spans="2:5" x14ac:dyDescent="0.25">
      <c r="B182" s="112"/>
      <c r="C182" s="112"/>
      <c r="D182" s="112"/>
      <c r="E182" s="112"/>
    </row>
    <row r="183" spans="2:5" x14ac:dyDescent="0.25">
      <c r="B183" s="112"/>
      <c r="C183" s="112"/>
      <c r="D183" s="112"/>
      <c r="E183" s="112"/>
    </row>
    <row r="184" spans="2:5" x14ac:dyDescent="0.25">
      <c r="B184" s="112"/>
      <c r="C184" s="112"/>
      <c r="D184" s="112"/>
      <c r="E184" s="112"/>
    </row>
    <row r="185" spans="2:5" x14ac:dyDescent="0.25">
      <c r="B185" s="112"/>
      <c r="C185" s="112"/>
      <c r="D185" s="112"/>
      <c r="E185" s="112"/>
    </row>
    <row r="186" spans="2:5" x14ac:dyDescent="0.25">
      <c r="B186" s="112"/>
      <c r="C186" s="112"/>
      <c r="D186" s="112"/>
      <c r="E186" s="112"/>
    </row>
    <row r="187" spans="2:5" x14ac:dyDescent="0.25">
      <c r="B187" s="112"/>
      <c r="C187" s="112"/>
      <c r="D187" s="112"/>
      <c r="E187" s="112"/>
    </row>
    <row r="188" spans="2:5" x14ac:dyDescent="0.25">
      <c r="B188" s="112"/>
      <c r="C188" s="112"/>
      <c r="D188" s="112"/>
      <c r="E188" s="112"/>
    </row>
    <row r="189" spans="2:5" x14ac:dyDescent="0.25">
      <c r="B189" s="112"/>
      <c r="C189" s="112"/>
      <c r="D189" s="112"/>
      <c r="E189" s="112"/>
    </row>
    <row r="190" spans="2:5" x14ac:dyDescent="0.25">
      <c r="B190" s="112"/>
      <c r="C190" s="112"/>
      <c r="D190" s="112"/>
      <c r="E190" s="112"/>
    </row>
    <row r="191" spans="2:5" x14ac:dyDescent="0.25">
      <c r="B191" s="112"/>
      <c r="C191" s="112"/>
      <c r="D191" s="112"/>
      <c r="E191" s="112"/>
    </row>
    <row r="192" spans="2:5" x14ac:dyDescent="0.25">
      <c r="B192" s="112"/>
      <c r="C192" s="112"/>
      <c r="D192" s="112"/>
      <c r="E192" s="112"/>
    </row>
    <row r="193" spans="2:5" x14ac:dyDescent="0.25">
      <c r="B193" s="112"/>
      <c r="C193" s="112"/>
      <c r="D193" s="112"/>
      <c r="E193" s="112"/>
    </row>
    <row r="194" spans="2:5" x14ac:dyDescent="0.25">
      <c r="B194" s="112"/>
      <c r="C194" s="112"/>
      <c r="D194" s="112"/>
      <c r="E194" s="112"/>
    </row>
    <row r="195" spans="2:5" x14ac:dyDescent="0.25">
      <c r="B195" s="112"/>
      <c r="C195" s="112"/>
      <c r="D195" s="112"/>
      <c r="E195" s="112"/>
    </row>
    <row r="196" spans="2:5" x14ac:dyDescent="0.25">
      <c r="B196" s="112"/>
      <c r="C196" s="112"/>
      <c r="D196" s="112"/>
      <c r="E196" s="112"/>
    </row>
    <row r="197" spans="2:5" x14ac:dyDescent="0.25">
      <c r="B197" s="112"/>
      <c r="C197" s="112"/>
      <c r="D197" s="112"/>
      <c r="E197" s="112"/>
    </row>
    <row r="198" spans="2:5" x14ac:dyDescent="0.25">
      <c r="B198" s="112"/>
      <c r="C198" s="112"/>
      <c r="D198" s="112"/>
      <c r="E198" s="112"/>
    </row>
    <row r="199" spans="2:5" x14ac:dyDescent="0.25">
      <c r="B199" s="112"/>
      <c r="C199" s="112"/>
      <c r="D199" s="112"/>
      <c r="E199" s="112"/>
    </row>
    <row r="200" spans="2:5" x14ac:dyDescent="0.25">
      <c r="B200" s="112"/>
      <c r="C200" s="112"/>
      <c r="D200" s="112"/>
      <c r="E200" s="112"/>
    </row>
    <row r="201" spans="2:5" x14ac:dyDescent="0.25">
      <c r="B201" s="112"/>
      <c r="C201" s="112"/>
      <c r="D201" s="112"/>
      <c r="E201" s="112"/>
    </row>
    <row r="202" spans="2:5" x14ac:dyDescent="0.25">
      <c r="B202" s="112"/>
      <c r="C202" s="112"/>
      <c r="D202" s="112"/>
      <c r="E202" s="112"/>
    </row>
    <row r="203" spans="2:5" x14ac:dyDescent="0.25">
      <c r="B203" s="112"/>
      <c r="C203" s="112"/>
      <c r="D203" s="112"/>
      <c r="E203" s="112"/>
    </row>
    <row r="204" spans="2:5" x14ac:dyDescent="0.25">
      <c r="B204" s="112"/>
      <c r="C204" s="112"/>
      <c r="D204" s="112"/>
      <c r="E204" s="112"/>
    </row>
    <row r="205" spans="2:5" x14ac:dyDescent="0.25">
      <c r="B205" s="112"/>
      <c r="C205" s="112"/>
      <c r="D205" s="112"/>
      <c r="E205" s="112"/>
    </row>
    <row r="206" spans="2:5" x14ac:dyDescent="0.25">
      <c r="B206" s="112"/>
      <c r="C206" s="112"/>
      <c r="D206" s="112"/>
      <c r="E206" s="112"/>
    </row>
    <row r="207" spans="2:5" x14ac:dyDescent="0.25">
      <c r="B207" s="112"/>
      <c r="C207" s="112"/>
      <c r="D207" s="112"/>
      <c r="E207" s="112"/>
    </row>
    <row r="208" spans="2:5" x14ac:dyDescent="0.25">
      <c r="B208" s="112"/>
      <c r="C208" s="112"/>
      <c r="D208" s="112"/>
      <c r="E208" s="112"/>
    </row>
    <row r="209" spans="2:5" x14ac:dyDescent="0.25">
      <c r="B209" s="112"/>
      <c r="C209" s="112"/>
      <c r="D209" s="112"/>
      <c r="E209" s="112"/>
    </row>
    <row r="210" spans="2:5" x14ac:dyDescent="0.25">
      <c r="B210" s="112"/>
      <c r="C210" s="112"/>
      <c r="D210" s="112"/>
      <c r="E210" s="112"/>
    </row>
    <row r="211" spans="2:5" x14ac:dyDescent="0.25">
      <c r="B211" s="112"/>
      <c r="C211" s="112"/>
      <c r="D211" s="112"/>
      <c r="E211" s="112"/>
    </row>
    <row r="212" spans="2:5" x14ac:dyDescent="0.25">
      <c r="B212" s="112"/>
      <c r="C212" s="112"/>
      <c r="D212" s="112"/>
      <c r="E212" s="112"/>
    </row>
    <row r="213" spans="2:5" x14ac:dyDescent="0.25">
      <c r="B213" s="112"/>
      <c r="C213" s="112"/>
      <c r="D213" s="112"/>
      <c r="E213" s="112"/>
    </row>
    <row r="214" spans="2:5" x14ac:dyDescent="0.25">
      <c r="B214" s="112"/>
      <c r="C214" s="112"/>
      <c r="D214" s="112"/>
      <c r="E214" s="112"/>
    </row>
    <row r="215" spans="2:5" x14ac:dyDescent="0.25">
      <c r="B215" s="112"/>
      <c r="C215" s="112"/>
      <c r="D215" s="112"/>
      <c r="E215" s="112"/>
    </row>
    <row r="216" spans="2:5" x14ac:dyDescent="0.25">
      <c r="B216" s="112"/>
      <c r="C216" s="112"/>
      <c r="D216" s="112"/>
      <c r="E216" s="112"/>
    </row>
    <row r="217" spans="2:5" x14ac:dyDescent="0.25">
      <c r="B217" s="112"/>
      <c r="C217" s="112"/>
      <c r="D217" s="112"/>
      <c r="E217" s="112"/>
    </row>
    <row r="218" spans="2:5" x14ac:dyDescent="0.25">
      <c r="B218" s="112"/>
      <c r="C218" s="112"/>
      <c r="D218" s="112"/>
      <c r="E218" s="112"/>
    </row>
    <row r="219" spans="2:5" x14ac:dyDescent="0.25">
      <c r="B219" s="112"/>
      <c r="C219" s="112"/>
      <c r="D219" s="112"/>
      <c r="E219" s="112"/>
    </row>
    <row r="220" spans="2:5" x14ac:dyDescent="0.25">
      <c r="B220" s="112"/>
      <c r="C220" s="112"/>
      <c r="D220" s="112"/>
      <c r="E220" s="112"/>
    </row>
    <row r="221" spans="2:5" x14ac:dyDescent="0.25">
      <c r="B221" s="112"/>
      <c r="C221" s="112"/>
      <c r="D221" s="112"/>
      <c r="E221" s="112"/>
    </row>
    <row r="222" spans="2:5" x14ac:dyDescent="0.25">
      <c r="B222" s="112"/>
      <c r="C222" s="112"/>
      <c r="D222" s="112"/>
      <c r="E222" s="112"/>
    </row>
    <row r="223" spans="2:5" x14ac:dyDescent="0.25">
      <c r="B223" s="112"/>
      <c r="C223" s="112"/>
      <c r="D223" s="112"/>
      <c r="E223" s="112"/>
    </row>
    <row r="224" spans="2:5" x14ac:dyDescent="0.25">
      <c r="B224" s="112"/>
      <c r="C224" s="112"/>
      <c r="D224" s="112"/>
      <c r="E224" s="112"/>
    </row>
    <row r="225" spans="2:5" x14ac:dyDescent="0.25">
      <c r="B225" s="112"/>
      <c r="C225" s="112"/>
      <c r="D225" s="112"/>
      <c r="E225" s="112"/>
    </row>
    <row r="226" spans="2:5" x14ac:dyDescent="0.25">
      <c r="B226" s="112"/>
      <c r="C226" s="112"/>
      <c r="D226" s="112"/>
      <c r="E226" s="112"/>
    </row>
    <row r="227" spans="2:5" x14ac:dyDescent="0.25">
      <c r="B227" s="112"/>
      <c r="C227" s="112"/>
      <c r="D227" s="112"/>
      <c r="E227" s="112"/>
    </row>
    <row r="228" spans="2:5" x14ac:dyDescent="0.25">
      <c r="B228" s="112"/>
      <c r="C228" s="112"/>
      <c r="D228" s="112"/>
      <c r="E228" s="112"/>
    </row>
    <row r="229" spans="2:5" x14ac:dyDescent="0.25">
      <c r="B229" s="112"/>
      <c r="C229" s="112"/>
      <c r="D229" s="112"/>
      <c r="E229" s="112"/>
    </row>
    <row r="230" spans="2:5" x14ac:dyDescent="0.25">
      <c r="B230" s="112"/>
      <c r="C230" s="112"/>
      <c r="D230" s="112"/>
      <c r="E230" s="112"/>
    </row>
    <row r="231" spans="2:5" x14ac:dyDescent="0.25">
      <c r="B231" s="112"/>
      <c r="C231" s="112"/>
      <c r="D231" s="112"/>
      <c r="E231" s="112"/>
    </row>
    <row r="232" spans="2:5" x14ac:dyDescent="0.25">
      <c r="B232" s="112"/>
      <c r="C232" s="112"/>
      <c r="D232" s="112"/>
      <c r="E232" s="112"/>
    </row>
    <row r="233" spans="2:5" x14ac:dyDescent="0.25">
      <c r="B233" s="112"/>
      <c r="C233" s="112"/>
      <c r="D233" s="112"/>
      <c r="E233" s="112"/>
    </row>
    <row r="234" spans="2:5" x14ac:dyDescent="0.25">
      <c r="B234" s="112"/>
      <c r="C234" s="112"/>
      <c r="D234" s="112"/>
      <c r="E234" s="112"/>
    </row>
    <row r="235" spans="2:5" x14ac:dyDescent="0.25">
      <c r="B235" s="112"/>
      <c r="C235" s="112"/>
      <c r="D235" s="112"/>
      <c r="E235" s="112"/>
    </row>
    <row r="236" spans="2:5" x14ac:dyDescent="0.25">
      <c r="B236" s="112"/>
      <c r="C236" s="112"/>
      <c r="D236" s="112"/>
      <c r="E236" s="112"/>
    </row>
    <row r="237" spans="2:5" x14ac:dyDescent="0.25">
      <c r="B237" s="112"/>
      <c r="C237" s="112"/>
      <c r="D237" s="112"/>
      <c r="E237" s="112"/>
    </row>
    <row r="238" spans="2:5" x14ac:dyDescent="0.25">
      <c r="B238" s="112"/>
      <c r="C238" s="112"/>
      <c r="D238" s="112"/>
      <c r="E238" s="112"/>
    </row>
    <row r="239" spans="2:5" x14ac:dyDescent="0.25">
      <c r="B239" s="112"/>
      <c r="C239" s="112"/>
      <c r="D239" s="112"/>
      <c r="E239" s="112"/>
    </row>
    <row r="240" spans="2:5" x14ac:dyDescent="0.25">
      <c r="B240" s="112"/>
      <c r="C240" s="112"/>
      <c r="D240" s="112"/>
      <c r="E240" s="112"/>
    </row>
    <row r="241" spans="2:5" x14ac:dyDescent="0.25">
      <c r="B241" s="112"/>
      <c r="C241" s="112"/>
      <c r="D241" s="112"/>
      <c r="E241" s="112"/>
    </row>
    <row r="242" spans="2:5" x14ac:dyDescent="0.25">
      <c r="B242" s="112"/>
      <c r="C242" s="112"/>
      <c r="D242" s="112"/>
      <c r="E242" s="112"/>
    </row>
    <row r="243" spans="2:5" x14ac:dyDescent="0.25">
      <c r="B243" s="112"/>
      <c r="C243" s="112"/>
      <c r="D243" s="112"/>
      <c r="E243" s="112"/>
    </row>
    <row r="244" spans="2:5" x14ac:dyDescent="0.25">
      <c r="B244" s="112"/>
      <c r="C244" s="112"/>
      <c r="D244" s="112"/>
      <c r="E244" s="112"/>
    </row>
    <row r="245" spans="2:5" x14ac:dyDescent="0.25">
      <c r="B245" s="112"/>
      <c r="C245" s="112"/>
      <c r="D245" s="112"/>
      <c r="E245" s="112"/>
    </row>
    <row r="246" spans="2:5" x14ac:dyDescent="0.25">
      <c r="B246" s="112"/>
      <c r="C246" s="112"/>
      <c r="D246" s="112"/>
      <c r="E246" s="112"/>
    </row>
    <row r="247" spans="2:5" x14ac:dyDescent="0.25">
      <c r="B247" s="112"/>
      <c r="C247" s="112"/>
      <c r="D247" s="112"/>
      <c r="E247" s="112"/>
    </row>
    <row r="248" spans="2:5" x14ac:dyDescent="0.25">
      <c r="B248" s="112"/>
      <c r="C248" s="112"/>
      <c r="D248" s="112"/>
      <c r="E248" s="112"/>
    </row>
    <row r="249" spans="2:5" x14ac:dyDescent="0.25">
      <c r="B249" s="112"/>
      <c r="C249" s="112"/>
      <c r="D249" s="112"/>
      <c r="E249" s="112"/>
    </row>
    <row r="250" spans="2:5" x14ac:dyDescent="0.25">
      <c r="B250" s="112"/>
      <c r="C250" s="112"/>
      <c r="D250" s="112"/>
      <c r="E250" s="112"/>
    </row>
    <row r="251" spans="2:5" x14ac:dyDescent="0.25">
      <c r="B251" s="112"/>
      <c r="C251" s="112"/>
      <c r="D251" s="112"/>
      <c r="E251" s="112"/>
    </row>
    <row r="252" spans="2:5" x14ac:dyDescent="0.25">
      <c r="B252" s="112"/>
      <c r="C252" s="112"/>
      <c r="D252" s="112"/>
      <c r="E252" s="112"/>
    </row>
    <row r="253" spans="2:5" x14ac:dyDescent="0.25">
      <c r="B253" s="112"/>
      <c r="C253" s="112"/>
      <c r="D253" s="112"/>
      <c r="E253" s="112"/>
    </row>
    <row r="254" spans="2:5" x14ac:dyDescent="0.25">
      <c r="B254" s="112"/>
      <c r="C254" s="112"/>
      <c r="D254" s="112"/>
      <c r="E254" s="112"/>
    </row>
    <row r="255" spans="2:5" x14ac:dyDescent="0.25">
      <c r="B255" s="112"/>
      <c r="C255" s="112"/>
      <c r="D255" s="112"/>
      <c r="E255" s="112"/>
    </row>
    <row r="256" spans="2:5" x14ac:dyDescent="0.25">
      <c r="B256" s="112"/>
      <c r="C256" s="112"/>
      <c r="D256" s="112"/>
      <c r="E256" s="112"/>
    </row>
    <row r="257" spans="2:5" x14ac:dyDescent="0.25">
      <c r="B257" s="112"/>
      <c r="C257" s="112"/>
      <c r="D257" s="112"/>
      <c r="E257" s="112"/>
    </row>
    <row r="258" spans="2:5" x14ac:dyDescent="0.25">
      <c r="B258" s="112"/>
      <c r="C258" s="112"/>
      <c r="D258" s="112"/>
      <c r="E258" s="112"/>
    </row>
    <row r="259" spans="2:5" x14ac:dyDescent="0.25">
      <c r="B259" s="112"/>
      <c r="C259" s="112"/>
      <c r="D259" s="112"/>
      <c r="E259" s="112"/>
    </row>
    <row r="260" spans="2:5" x14ac:dyDescent="0.25">
      <c r="B260" s="112"/>
      <c r="C260" s="112"/>
      <c r="D260" s="112"/>
      <c r="E260" s="112"/>
    </row>
    <row r="261" spans="2:5" x14ac:dyDescent="0.25">
      <c r="B261" s="112"/>
      <c r="C261" s="112"/>
      <c r="D261" s="112"/>
      <c r="E261" s="112"/>
    </row>
    <row r="262" spans="2:5" x14ac:dyDescent="0.25">
      <c r="B262" s="112"/>
      <c r="C262" s="112"/>
      <c r="D262" s="112"/>
      <c r="E262" s="112"/>
    </row>
    <row r="263" spans="2:5" x14ac:dyDescent="0.25">
      <c r="B263" s="112"/>
      <c r="C263" s="112"/>
      <c r="D263" s="112"/>
      <c r="E263" s="112"/>
    </row>
    <row r="264" spans="2:5" x14ac:dyDescent="0.25">
      <c r="B264" s="112"/>
      <c r="C264" s="112"/>
      <c r="D264" s="112"/>
      <c r="E264" s="112"/>
    </row>
    <row r="265" spans="2:5" x14ac:dyDescent="0.25">
      <c r="B265" s="112"/>
      <c r="C265" s="112"/>
      <c r="D265" s="112"/>
      <c r="E265" s="112"/>
    </row>
    <row r="266" spans="2:5" x14ac:dyDescent="0.25">
      <c r="B266" s="112"/>
      <c r="C266" s="112"/>
      <c r="D266" s="112"/>
      <c r="E266" s="112"/>
    </row>
    <row r="267" spans="2:5" x14ac:dyDescent="0.25">
      <c r="B267" s="112"/>
      <c r="C267" s="112"/>
      <c r="D267" s="112"/>
      <c r="E267" s="112"/>
    </row>
    <row r="268" spans="2:5" x14ac:dyDescent="0.25">
      <c r="B268" s="112"/>
      <c r="C268" s="112"/>
      <c r="D268" s="112"/>
      <c r="E268" s="112"/>
    </row>
    <row r="269" spans="2:5" x14ac:dyDescent="0.25">
      <c r="B269" s="112"/>
      <c r="C269" s="112"/>
      <c r="D269" s="112"/>
      <c r="E269" s="112"/>
    </row>
    <row r="270" spans="2:5" x14ac:dyDescent="0.25">
      <c r="B270" s="112"/>
      <c r="C270" s="112"/>
      <c r="D270" s="112"/>
      <c r="E270" s="112"/>
    </row>
    <row r="271" spans="2:5" x14ac:dyDescent="0.25">
      <c r="B271" s="112"/>
      <c r="C271" s="112"/>
      <c r="D271" s="112"/>
      <c r="E271" s="112"/>
    </row>
    <row r="272" spans="2:5" x14ac:dyDescent="0.25">
      <c r="B272" s="112"/>
      <c r="C272" s="112"/>
      <c r="D272" s="112"/>
      <c r="E272" s="112"/>
    </row>
    <row r="273" spans="2:5" x14ac:dyDescent="0.25">
      <c r="B273" s="112"/>
      <c r="C273" s="112"/>
      <c r="D273" s="112"/>
      <c r="E273" s="112"/>
    </row>
    <row r="274" spans="2:5" x14ac:dyDescent="0.25">
      <c r="B274" s="112"/>
      <c r="C274" s="112"/>
      <c r="D274" s="112"/>
      <c r="E274" s="112"/>
    </row>
    <row r="275" spans="2:5" x14ac:dyDescent="0.25">
      <c r="B275" s="112"/>
      <c r="C275" s="112"/>
      <c r="D275" s="112"/>
      <c r="E275" s="112"/>
    </row>
    <row r="276" spans="2:5" x14ac:dyDescent="0.25">
      <c r="B276" s="112"/>
      <c r="C276" s="112"/>
      <c r="D276" s="112"/>
      <c r="E276" s="112"/>
    </row>
    <row r="277" spans="2:5" x14ac:dyDescent="0.25">
      <c r="B277" s="112"/>
      <c r="C277" s="112"/>
      <c r="D277" s="112"/>
      <c r="E277" s="112"/>
    </row>
    <row r="278" spans="2:5" x14ac:dyDescent="0.25">
      <c r="B278" s="112"/>
      <c r="C278" s="112"/>
      <c r="D278" s="112"/>
      <c r="E278" s="112"/>
    </row>
    <row r="279" spans="2:5" x14ac:dyDescent="0.25">
      <c r="B279" s="112"/>
      <c r="C279" s="112"/>
      <c r="D279" s="112"/>
      <c r="E279" s="112"/>
    </row>
    <row r="280" spans="2:5" x14ac:dyDescent="0.25">
      <c r="B280" s="112"/>
      <c r="C280" s="112"/>
      <c r="D280" s="112"/>
      <c r="E280" s="112"/>
    </row>
    <row r="281" spans="2:5" x14ac:dyDescent="0.25">
      <c r="B281" s="112"/>
      <c r="C281" s="112"/>
      <c r="D281" s="112"/>
      <c r="E281" s="112"/>
    </row>
    <row r="282" spans="2:5" x14ac:dyDescent="0.25">
      <c r="B282" s="112"/>
      <c r="C282" s="112"/>
      <c r="D282" s="112"/>
      <c r="E282" s="112"/>
    </row>
    <row r="283" spans="2:5" x14ac:dyDescent="0.25">
      <c r="B283" s="112"/>
      <c r="C283" s="112"/>
      <c r="D283" s="112"/>
      <c r="E283" s="112"/>
    </row>
    <row r="284" spans="2:5" x14ac:dyDescent="0.25">
      <c r="B284" s="112"/>
      <c r="C284" s="112"/>
      <c r="D284" s="112"/>
      <c r="E284" s="112"/>
    </row>
    <row r="285" spans="2:5" x14ac:dyDescent="0.25">
      <c r="B285" s="112"/>
      <c r="C285" s="112"/>
      <c r="D285" s="112"/>
      <c r="E285" s="112"/>
    </row>
    <row r="286" spans="2:5" x14ac:dyDescent="0.25">
      <c r="B286" s="112"/>
      <c r="C286" s="112"/>
      <c r="D286" s="112"/>
      <c r="E286" s="112"/>
    </row>
    <row r="287" spans="2:5" x14ac:dyDescent="0.25">
      <c r="B287" s="112"/>
      <c r="C287" s="112"/>
      <c r="D287" s="112"/>
      <c r="E287" s="112"/>
    </row>
    <row r="288" spans="2:5" x14ac:dyDescent="0.25">
      <c r="B288" s="112"/>
      <c r="C288" s="112"/>
      <c r="D288" s="112"/>
      <c r="E288" s="112"/>
    </row>
    <row r="289" spans="2:5" x14ac:dyDescent="0.25">
      <c r="B289" s="112"/>
      <c r="C289" s="112"/>
      <c r="D289" s="112"/>
      <c r="E289" s="112"/>
    </row>
    <row r="290" spans="2:5" x14ac:dyDescent="0.25">
      <c r="B290" s="112"/>
      <c r="C290" s="112"/>
      <c r="D290" s="112"/>
      <c r="E290" s="112"/>
    </row>
    <row r="291" spans="2:5" x14ac:dyDescent="0.25">
      <c r="B291" s="112"/>
      <c r="C291" s="112"/>
      <c r="D291" s="112"/>
      <c r="E291" s="112"/>
    </row>
    <row r="292" spans="2:5" x14ac:dyDescent="0.25">
      <c r="B292" s="112"/>
      <c r="C292" s="112"/>
      <c r="D292" s="112"/>
      <c r="E292" s="112"/>
    </row>
    <row r="293" spans="2:5" x14ac:dyDescent="0.25">
      <c r="B293" s="112"/>
      <c r="C293" s="112"/>
      <c r="D293" s="112"/>
      <c r="E293" s="112"/>
    </row>
    <row r="294" spans="2:5" x14ac:dyDescent="0.25">
      <c r="B294" s="112"/>
      <c r="C294" s="112"/>
      <c r="D294" s="112"/>
      <c r="E294" s="112"/>
    </row>
    <row r="295" spans="2:5" x14ac:dyDescent="0.25">
      <c r="B295" s="112"/>
      <c r="C295" s="112"/>
      <c r="D295" s="112"/>
      <c r="E295" s="112"/>
    </row>
    <row r="296" spans="2:5" x14ac:dyDescent="0.25">
      <c r="B296" s="112"/>
      <c r="C296" s="112"/>
      <c r="D296" s="112"/>
      <c r="E296" s="112"/>
    </row>
    <row r="297" spans="2:5" x14ac:dyDescent="0.25">
      <c r="B297" s="112"/>
      <c r="C297" s="112"/>
      <c r="D297" s="112"/>
      <c r="E297" s="112"/>
    </row>
    <row r="298" spans="2:5" x14ac:dyDescent="0.25">
      <c r="B298" s="112"/>
      <c r="C298" s="112"/>
      <c r="D298" s="112"/>
      <c r="E298" s="112"/>
    </row>
    <row r="299" spans="2:5" x14ac:dyDescent="0.25">
      <c r="B299" s="112"/>
      <c r="C299" s="112"/>
      <c r="D299" s="112"/>
      <c r="E299" s="112"/>
    </row>
    <row r="300" spans="2:5" x14ac:dyDescent="0.25">
      <c r="B300" s="112"/>
      <c r="C300" s="112"/>
      <c r="D300" s="112"/>
      <c r="E300" s="112"/>
    </row>
    <row r="301" spans="2:5" x14ac:dyDescent="0.25">
      <c r="B301" s="112"/>
      <c r="C301" s="112"/>
      <c r="D301" s="112"/>
      <c r="E301" s="112"/>
    </row>
    <row r="302" spans="2:5" x14ac:dyDescent="0.25">
      <c r="B302" s="112"/>
      <c r="C302" s="112"/>
      <c r="D302" s="112"/>
      <c r="E302" s="112"/>
    </row>
    <row r="303" spans="2:5" x14ac:dyDescent="0.25">
      <c r="B303" s="112"/>
      <c r="C303" s="112"/>
      <c r="D303" s="112"/>
      <c r="E303" s="112"/>
    </row>
    <row r="304" spans="2:5" x14ac:dyDescent="0.25">
      <c r="B304" s="112"/>
      <c r="C304" s="112"/>
      <c r="D304" s="112"/>
      <c r="E304" s="112"/>
    </row>
    <row r="305" spans="2:5" x14ac:dyDescent="0.25">
      <c r="B305" s="112"/>
      <c r="C305" s="112"/>
      <c r="D305" s="112"/>
      <c r="E305" s="112"/>
    </row>
    <row r="306" spans="2:5" x14ac:dyDescent="0.25">
      <c r="B306" s="112"/>
      <c r="C306" s="112"/>
      <c r="D306" s="112"/>
      <c r="E306" s="112"/>
    </row>
    <row r="307" spans="2:5" x14ac:dyDescent="0.25">
      <c r="B307" s="112"/>
      <c r="C307" s="112"/>
      <c r="D307" s="112"/>
      <c r="E307" s="112"/>
    </row>
    <row r="308" spans="2:5" x14ac:dyDescent="0.25">
      <c r="B308" s="112"/>
      <c r="C308" s="112"/>
      <c r="D308" s="112"/>
      <c r="E308" s="112"/>
    </row>
    <row r="309" spans="2:5" x14ac:dyDescent="0.25">
      <c r="B309" s="112"/>
      <c r="C309" s="112"/>
      <c r="D309" s="112"/>
      <c r="E309" s="112"/>
    </row>
    <row r="310" spans="2:5" x14ac:dyDescent="0.25">
      <c r="B310" s="112"/>
      <c r="C310" s="112"/>
      <c r="D310" s="112"/>
      <c r="E310" s="112"/>
    </row>
    <row r="311" spans="2:5" x14ac:dyDescent="0.25">
      <c r="B311" s="112"/>
      <c r="C311" s="112"/>
      <c r="D311" s="112"/>
      <c r="E311" s="112"/>
    </row>
    <row r="312" spans="2:5" x14ac:dyDescent="0.25">
      <c r="B312" s="112"/>
      <c r="C312" s="112"/>
      <c r="D312" s="112"/>
      <c r="E312" s="112"/>
    </row>
    <row r="313" spans="2:5" x14ac:dyDescent="0.25">
      <c r="B313" s="112"/>
      <c r="C313" s="112"/>
      <c r="D313" s="112"/>
      <c r="E313" s="112"/>
    </row>
    <row r="314" spans="2:5" x14ac:dyDescent="0.25">
      <c r="B314" s="112"/>
      <c r="C314" s="112"/>
      <c r="D314" s="112"/>
      <c r="E314" s="112"/>
    </row>
    <row r="315" spans="2:5" x14ac:dyDescent="0.25">
      <c r="B315" s="112"/>
      <c r="C315" s="112"/>
      <c r="D315" s="112"/>
      <c r="E315" s="112"/>
    </row>
    <row r="316" spans="2:5" x14ac:dyDescent="0.25">
      <c r="B316" s="112"/>
      <c r="C316" s="112"/>
      <c r="D316" s="112"/>
      <c r="E316" s="112"/>
    </row>
    <row r="317" spans="2:5" x14ac:dyDescent="0.25">
      <c r="B317" s="112"/>
      <c r="C317" s="112"/>
      <c r="D317" s="112"/>
      <c r="E317" s="112"/>
    </row>
    <row r="318" spans="2:5" x14ac:dyDescent="0.25">
      <c r="B318" s="112"/>
      <c r="C318" s="112"/>
      <c r="D318" s="112"/>
      <c r="E318" s="112"/>
    </row>
    <row r="319" spans="2:5" x14ac:dyDescent="0.25">
      <c r="B319" s="112"/>
      <c r="C319" s="112"/>
      <c r="D319" s="112"/>
      <c r="E319" s="112"/>
    </row>
    <row r="320" spans="2:5" x14ac:dyDescent="0.25">
      <c r="B320" s="112"/>
      <c r="C320" s="112"/>
      <c r="D320" s="112"/>
      <c r="E320" s="112"/>
    </row>
    <row r="321" spans="2:5" x14ac:dyDescent="0.25">
      <c r="B321" s="112"/>
      <c r="C321" s="112"/>
      <c r="D321" s="112"/>
      <c r="E321" s="112"/>
    </row>
    <row r="322" spans="2:5" x14ac:dyDescent="0.25">
      <c r="B322" s="112"/>
      <c r="C322" s="112"/>
      <c r="D322" s="112"/>
      <c r="E322" s="112"/>
    </row>
    <row r="323" spans="2:5" x14ac:dyDescent="0.25">
      <c r="B323" s="112"/>
      <c r="C323" s="112"/>
      <c r="D323" s="112"/>
      <c r="E323" s="112"/>
    </row>
    <row r="324" spans="2:5" x14ac:dyDescent="0.25">
      <c r="B324" s="112"/>
      <c r="C324" s="112"/>
      <c r="D324" s="112"/>
      <c r="E324" s="112"/>
    </row>
    <row r="325" spans="2:5" x14ac:dyDescent="0.25">
      <c r="B325" s="112"/>
      <c r="C325" s="112"/>
      <c r="D325" s="112"/>
      <c r="E325" s="112"/>
    </row>
    <row r="326" spans="2:5" x14ac:dyDescent="0.25">
      <c r="B326" s="112"/>
      <c r="C326" s="112"/>
      <c r="D326" s="112"/>
      <c r="E326" s="112"/>
    </row>
    <row r="327" spans="2:5" x14ac:dyDescent="0.25">
      <c r="B327" s="112"/>
      <c r="C327" s="112"/>
      <c r="D327" s="112"/>
      <c r="E327" s="112"/>
    </row>
    <row r="328" spans="2:5" x14ac:dyDescent="0.25">
      <c r="B328" s="112"/>
      <c r="C328" s="112"/>
      <c r="D328" s="112"/>
      <c r="E328" s="112"/>
    </row>
    <row r="329" spans="2:5" x14ac:dyDescent="0.25">
      <c r="B329" s="112"/>
      <c r="C329" s="112"/>
      <c r="D329" s="112"/>
      <c r="E329" s="112"/>
    </row>
    <row r="330" spans="2:5" x14ac:dyDescent="0.25">
      <c r="B330" s="112"/>
      <c r="C330" s="112"/>
      <c r="D330" s="112"/>
      <c r="E330" s="112"/>
    </row>
    <row r="331" spans="2:5" x14ac:dyDescent="0.25">
      <c r="B331" s="112"/>
      <c r="C331" s="112"/>
      <c r="D331" s="112"/>
      <c r="E331" s="112"/>
    </row>
    <row r="332" spans="2:5" x14ac:dyDescent="0.25">
      <c r="B332" s="112"/>
      <c r="C332" s="112"/>
      <c r="D332" s="112"/>
      <c r="E332" s="112"/>
    </row>
    <row r="333" spans="2:5" x14ac:dyDescent="0.25">
      <c r="B333" s="112"/>
      <c r="C333" s="112"/>
      <c r="D333" s="112"/>
      <c r="E333" s="112"/>
    </row>
    <row r="334" spans="2:5" x14ac:dyDescent="0.25">
      <c r="B334" s="112"/>
      <c r="C334" s="112"/>
      <c r="D334" s="112"/>
      <c r="E334" s="112"/>
    </row>
    <row r="335" spans="2:5" x14ac:dyDescent="0.25">
      <c r="B335" s="112"/>
      <c r="C335" s="112"/>
      <c r="D335" s="112"/>
      <c r="E335" s="112"/>
    </row>
    <row r="336" spans="2:5" x14ac:dyDescent="0.25">
      <c r="B336" s="112"/>
      <c r="C336" s="112"/>
      <c r="D336" s="112"/>
      <c r="E336" s="112"/>
    </row>
    <row r="337" spans="2:5" x14ac:dyDescent="0.25">
      <c r="B337" s="112"/>
      <c r="C337" s="112"/>
      <c r="D337" s="112"/>
      <c r="E337" s="112"/>
    </row>
    <row r="338" spans="2:5" x14ac:dyDescent="0.25">
      <c r="B338" s="112"/>
      <c r="C338" s="112"/>
      <c r="D338" s="112"/>
      <c r="E338" s="112"/>
    </row>
    <row r="339" spans="2:5" x14ac:dyDescent="0.25">
      <c r="B339" s="112"/>
      <c r="C339" s="112"/>
      <c r="D339" s="112"/>
      <c r="E339" s="112"/>
    </row>
    <row r="340" spans="2:5" x14ac:dyDescent="0.25">
      <c r="B340" s="112"/>
      <c r="C340" s="112"/>
      <c r="D340" s="112"/>
      <c r="E340" s="112"/>
    </row>
    <row r="341" spans="2:5" x14ac:dyDescent="0.25">
      <c r="B341" s="112"/>
      <c r="C341" s="112"/>
      <c r="D341" s="112"/>
      <c r="E341" s="112"/>
    </row>
    <row r="342" spans="2:5" x14ac:dyDescent="0.25">
      <c r="B342" s="112"/>
      <c r="C342" s="112"/>
      <c r="D342" s="112"/>
      <c r="E342" s="112"/>
    </row>
    <row r="343" spans="2:5" x14ac:dyDescent="0.25">
      <c r="B343" s="112"/>
      <c r="C343" s="112"/>
      <c r="D343" s="112"/>
      <c r="E343" s="112"/>
    </row>
    <row r="344" spans="2:5" x14ac:dyDescent="0.25">
      <c r="B344" s="112"/>
      <c r="C344" s="112"/>
      <c r="D344" s="112"/>
      <c r="E344" s="112"/>
    </row>
    <row r="345" spans="2:5" x14ac:dyDescent="0.25">
      <c r="B345" s="112"/>
      <c r="C345" s="112"/>
      <c r="D345" s="112"/>
      <c r="E345" s="112"/>
    </row>
    <row r="346" spans="2:5" x14ac:dyDescent="0.25">
      <c r="B346" s="112"/>
      <c r="C346" s="112"/>
      <c r="D346" s="112"/>
      <c r="E346" s="112"/>
    </row>
    <row r="347" spans="2:5" x14ac:dyDescent="0.25">
      <c r="B347" s="112"/>
      <c r="C347" s="112"/>
      <c r="D347" s="112"/>
      <c r="E347" s="112"/>
    </row>
    <row r="348" spans="2:5" x14ac:dyDescent="0.25">
      <c r="B348" s="112"/>
      <c r="C348" s="112"/>
      <c r="D348" s="112"/>
      <c r="E348" s="112"/>
    </row>
    <row r="349" spans="2:5" x14ac:dyDescent="0.25">
      <c r="B349" s="112"/>
      <c r="C349" s="112"/>
      <c r="D349" s="112"/>
      <c r="E349" s="112"/>
    </row>
    <row r="350" spans="2:5" x14ac:dyDescent="0.25">
      <c r="B350" s="112"/>
      <c r="C350" s="112"/>
      <c r="D350" s="112"/>
      <c r="E350" s="112"/>
    </row>
    <row r="351" spans="2:5" x14ac:dyDescent="0.25">
      <c r="B351" s="112"/>
      <c r="C351" s="112"/>
      <c r="D351" s="112"/>
      <c r="E351" s="112"/>
    </row>
    <row r="352" spans="2:5" x14ac:dyDescent="0.25">
      <c r="B352" s="112"/>
      <c r="C352" s="112"/>
      <c r="D352" s="112"/>
      <c r="E352" s="112"/>
    </row>
    <row r="353" spans="2:5" x14ac:dyDescent="0.25">
      <c r="B353" s="112"/>
      <c r="C353" s="112"/>
      <c r="D353" s="112"/>
      <c r="E353" s="112"/>
    </row>
    <row r="354" spans="2:5" x14ac:dyDescent="0.25">
      <c r="B354" s="112"/>
      <c r="C354" s="112"/>
      <c r="D354" s="112"/>
      <c r="E354" s="112"/>
    </row>
    <row r="355" spans="2:5" x14ac:dyDescent="0.25">
      <c r="B355" s="112"/>
      <c r="C355" s="112"/>
      <c r="D355" s="112"/>
      <c r="E355" s="112"/>
    </row>
    <row r="356" spans="2:5" x14ac:dyDescent="0.25">
      <c r="B356" s="112"/>
      <c r="C356" s="112"/>
      <c r="D356" s="112"/>
      <c r="E356" s="112"/>
    </row>
    <row r="357" spans="2:5" x14ac:dyDescent="0.25">
      <c r="B357" s="112"/>
      <c r="C357" s="112"/>
      <c r="D357" s="112"/>
      <c r="E357" s="112"/>
    </row>
    <row r="358" spans="2:5" x14ac:dyDescent="0.25">
      <c r="B358" s="112"/>
      <c r="C358" s="112"/>
      <c r="D358" s="112"/>
      <c r="E358" s="112"/>
    </row>
    <row r="359" spans="2:5" x14ac:dyDescent="0.25">
      <c r="B359" s="112"/>
      <c r="C359" s="112"/>
      <c r="D359" s="112"/>
      <c r="E359" s="112"/>
    </row>
    <row r="360" spans="2:5" x14ac:dyDescent="0.25">
      <c r="B360" s="112"/>
      <c r="C360" s="112"/>
      <c r="D360" s="112"/>
      <c r="E360" s="112"/>
    </row>
    <row r="361" spans="2:5" x14ac:dyDescent="0.25">
      <c r="B361" s="112"/>
      <c r="C361" s="112"/>
      <c r="D361" s="112"/>
      <c r="E361" s="112"/>
    </row>
    <row r="362" spans="2:5" x14ac:dyDescent="0.25">
      <c r="B362" s="112"/>
      <c r="C362" s="112"/>
      <c r="D362" s="112"/>
      <c r="E362" s="112"/>
    </row>
    <row r="363" spans="2:5" x14ac:dyDescent="0.25">
      <c r="B363" s="112"/>
      <c r="C363" s="112"/>
      <c r="D363" s="112"/>
      <c r="E363" s="112"/>
    </row>
    <row r="364" spans="2:5" x14ac:dyDescent="0.25">
      <c r="B364" s="112"/>
      <c r="C364" s="112"/>
      <c r="D364" s="112"/>
      <c r="E364" s="112"/>
    </row>
    <row r="365" spans="2:5" x14ac:dyDescent="0.25">
      <c r="B365" s="112"/>
      <c r="C365" s="112"/>
      <c r="D365" s="112"/>
      <c r="E365" s="112"/>
    </row>
    <row r="366" spans="2:5" x14ac:dyDescent="0.25">
      <c r="B366" s="112"/>
      <c r="C366" s="112"/>
      <c r="D366" s="112"/>
      <c r="E366" s="112"/>
    </row>
    <row r="367" spans="2:5" x14ac:dyDescent="0.25">
      <c r="B367" s="112"/>
      <c r="C367" s="112"/>
      <c r="D367" s="112"/>
      <c r="E367" s="112"/>
    </row>
    <row r="368" spans="2:5" x14ac:dyDescent="0.25">
      <c r="B368" s="112"/>
      <c r="C368" s="112"/>
      <c r="D368" s="112"/>
      <c r="E368" s="112"/>
    </row>
    <row r="369" spans="2:5" x14ac:dyDescent="0.25">
      <c r="B369" s="112"/>
      <c r="C369" s="112"/>
      <c r="D369" s="112"/>
      <c r="E369" s="112"/>
    </row>
    <row r="370" spans="2:5" x14ac:dyDescent="0.25">
      <c r="B370" s="112"/>
      <c r="C370" s="112"/>
      <c r="D370" s="112"/>
      <c r="E370" s="112"/>
    </row>
    <row r="371" spans="2:5" x14ac:dyDescent="0.25">
      <c r="B371" s="112"/>
      <c r="C371" s="112"/>
      <c r="D371" s="112"/>
      <c r="E371" s="112"/>
    </row>
    <row r="372" spans="2:5" x14ac:dyDescent="0.25">
      <c r="B372" s="112"/>
      <c r="C372" s="112"/>
      <c r="D372" s="112"/>
      <c r="E372" s="112"/>
    </row>
    <row r="373" spans="2:5" x14ac:dyDescent="0.25">
      <c r="B373" s="112"/>
      <c r="C373" s="112"/>
      <c r="D373" s="112"/>
      <c r="E373" s="112"/>
    </row>
    <row r="374" spans="2:5" x14ac:dyDescent="0.25">
      <c r="B374" s="112"/>
      <c r="C374" s="112"/>
      <c r="D374" s="112"/>
      <c r="E374" s="112"/>
    </row>
    <row r="375" spans="2:5" x14ac:dyDescent="0.25">
      <c r="B375" s="112"/>
      <c r="C375" s="112"/>
      <c r="D375" s="112"/>
      <c r="E375" s="112"/>
    </row>
    <row r="376" spans="2:5" x14ac:dyDescent="0.25">
      <c r="B376" s="112"/>
      <c r="C376" s="112"/>
      <c r="D376" s="112"/>
      <c r="E376" s="112"/>
    </row>
    <row r="377" spans="2:5" x14ac:dyDescent="0.25">
      <c r="B377" s="112"/>
      <c r="C377" s="112"/>
      <c r="D377" s="112"/>
      <c r="E377" s="112"/>
    </row>
    <row r="378" spans="2:5" x14ac:dyDescent="0.25">
      <c r="B378" s="112"/>
      <c r="C378" s="112"/>
      <c r="D378" s="112"/>
      <c r="E378" s="112"/>
    </row>
    <row r="379" spans="2:5" x14ac:dyDescent="0.25">
      <c r="B379" s="112"/>
      <c r="C379" s="112"/>
      <c r="D379" s="112"/>
      <c r="E379" s="112"/>
    </row>
    <row r="380" spans="2:5" x14ac:dyDescent="0.25">
      <c r="B380" s="112"/>
      <c r="C380" s="112"/>
      <c r="D380" s="112"/>
      <c r="E380" s="112"/>
    </row>
    <row r="381" spans="2:5" x14ac:dyDescent="0.25">
      <c r="B381" s="112"/>
      <c r="C381" s="112"/>
      <c r="D381" s="112"/>
      <c r="E381" s="112"/>
    </row>
    <row r="382" spans="2:5" x14ac:dyDescent="0.25">
      <c r="B382" s="112"/>
      <c r="C382" s="112"/>
      <c r="D382" s="112"/>
      <c r="E382" s="112"/>
    </row>
    <row r="383" spans="2:5" x14ac:dyDescent="0.25">
      <c r="B383" s="112"/>
      <c r="C383" s="112"/>
      <c r="D383" s="112"/>
      <c r="E383" s="112"/>
    </row>
    <row r="384" spans="2:5" x14ac:dyDescent="0.25">
      <c r="B384" s="112"/>
      <c r="C384" s="112"/>
      <c r="D384" s="112"/>
      <c r="E384" s="112"/>
    </row>
    <row r="385" spans="2:5" x14ac:dyDescent="0.25">
      <c r="B385" s="112"/>
      <c r="C385" s="112"/>
      <c r="D385" s="112"/>
      <c r="E385" s="112"/>
    </row>
    <row r="386" spans="2:5" x14ac:dyDescent="0.25">
      <c r="B386" s="112"/>
      <c r="C386" s="112"/>
      <c r="D386" s="112"/>
      <c r="E386" s="112"/>
    </row>
    <row r="387" spans="2:5" x14ac:dyDescent="0.25">
      <c r="B387" s="112"/>
      <c r="C387" s="112"/>
      <c r="D387" s="112"/>
      <c r="E387" s="112"/>
    </row>
    <row r="388" spans="2:5" x14ac:dyDescent="0.25">
      <c r="B388" s="112"/>
      <c r="C388" s="112"/>
      <c r="D388" s="112"/>
      <c r="E388" s="112"/>
    </row>
    <row r="389" spans="2:5" x14ac:dyDescent="0.25">
      <c r="B389" s="112"/>
      <c r="C389" s="112"/>
      <c r="D389" s="112"/>
      <c r="E389" s="112"/>
    </row>
    <row r="390" spans="2:5" x14ac:dyDescent="0.25">
      <c r="B390" s="112"/>
      <c r="C390" s="112"/>
      <c r="D390" s="112"/>
      <c r="E390" s="112"/>
    </row>
    <row r="391" spans="2:5" x14ac:dyDescent="0.25">
      <c r="B391" s="112"/>
      <c r="C391" s="112"/>
      <c r="D391" s="112"/>
      <c r="E391" s="112"/>
    </row>
    <row r="392" spans="2:5" x14ac:dyDescent="0.25">
      <c r="B392" s="112"/>
      <c r="C392" s="112"/>
      <c r="D392" s="112"/>
      <c r="E392" s="112"/>
    </row>
    <row r="393" spans="2:5" x14ac:dyDescent="0.25">
      <c r="B393" s="112"/>
      <c r="C393" s="112"/>
      <c r="D393" s="112"/>
      <c r="E393" s="112"/>
    </row>
    <row r="394" spans="2:5" x14ac:dyDescent="0.25">
      <c r="B394" s="112"/>
      <c r="C394" s="112"/>
      <c r="D394" s="112"/>
      <c r="E394" s="112"/>
    </row>
    <row r="395" spans="2:5" x14ac:dyDescent="0.25">
      <c r="B395" s="112"/>
      <c r="C395" s="112"/>
      <c r="D395" s="112"/>
      <c r="E395" s="112"/>
    </row>
    <row r="396" spans="2:5" x14ac:dyDescent="0.25">
      <c r="B396" s="112"/>
      <c r="C396" s="112"/>
      <c r="D396" s="112"/>
      <c r="E396" s="112"/>
    </row>
    <row r="397" spans="2:5" x14ac:dyDescent="0.25">
      <c r="B397" s="112"/>
      <c r="C397" s="112"/>
      <c r="D397" s="112"/>
      <c r="E397" s="112"/>
    </row>
    <row r="398" spans="2:5" x14ac:dyDescent="0.25">
      <c r="B398" s="112"/>
      <c r="C398" s="112"/>
      <c r="D398" s="112"/>
      <c r="E398" s="112"/>
    </row>
    <row r="399" spans="2:5" x14ac:dyDescent="0.25">
      <c r="B399" s="112"/>
      <c r="C399" s="112"/>
      <c r="D399" s="112"/>
      <c r="E399" s="112"/>
    </row>
    <row r="400" spans="2:5" x14ac:dyDescent="0.25">
      <c r="B400" s="112"/>
      <c r="C400" s="112"/>
      <c r="D400" s="112"/>
      <c r="E400" s="112"/>
    </row>
    <row r="401" spans="2:5" x14ac:dyDescent="0.25">
      <c r="B401" s="112"/>
      <c r="C401" s="112"/>
      <c r="D401" s="112"/>
      <c r="E401" s="112"/>
    </row>
    <row r="402" spans="2:5" x14ac:dyDescent="0.25">
      <c r="B402" s="112"/>
      <c r="C402" s="112"/>
      <c r="D402" s="112"/>
      <c r="E402" s="112"/>
    </row>
    <row r="403" spans="2:5" x14ac:dyDescent="0.25">
      <c r="B403" s="112"/>
      <c r="C403" s="112"/>
      <c r="D403" s="112"/>
      <c r="E403" s="112"/>
    </row>
    <row r="404" spans="2:5" x14ac:dyDescent="0.25">
      <c r="B404" s="112"/>
      <c r="C404" s="112"/>
      <c r="D404" s="112"/>
      <c r="E404" s="112"/>
    </row>
    <row r="405" spans="2:5" x14ac:dyDescent="0.25">
      <c r="B405" s="112"/>
      <c r="C405" s="112"/>
      <c r="D405" s="112"/>
      <c r="E405" s="112"/>
    </row>
    <row r="406" spans="2:5" x14ac:dyDescent="0.25">
      <c r="B406" s="112"/>
      <c r="C406" s="112"/>
      <c r="D406" s="112"/>
      <c r="E406" s="112"/>
    </row>
    <row r="407" spans="2:5" x14ac:dyDescent="0.25">
      <c r="B407" s="112"/>
      <c r="C407" s="112"/>
      <c r="D407" s="112"/>
      <c r="E407" s="112"/>
    </row>
    <row r="408" spans="2:5" x14ac:dyDescent="0.25">
      <c r="B408" s="112"/>
      <c r="C408" s="112"/>
      <c r="D408" s="112"/>
      <c r="E408" s="112"/>
    </row>
    <row r="409" spans="2:5" x14ac:dyDescent="0.25">
      <c r="B409" s="112"/>
      <c r="C409" s="112"/>
      <c r="D409" s="112"/>
      <c r="E409" s="112"/>
    </row>
    <row r="410" spans="2:5" x14ac:dyDescent="0.25">
      <c r="B410" s="112"/>
      <c r="C410" s="112"/>
      <c r="D410" s="112"/>
      <c r="E410" s="112"/>
    </row>
    <row r="411" spans="2:5" x14ac:dyDescent="0.25">
      <c r="B411" s="112"/>
      <c r="C411" s="112"/>
      <c r="D411" s="112"/>
      <c r="E411" s="112"/>
    </row>
    <row r="412" spans="2:5" x14ac:dyDescent="0.25">
      <c r="B412" s="112"/>
      <c r="C412" s="112"/>
      <c r="D412" s="112"/>
      <c r="E412" s="112"/>
    </row>
    <row r="413" spans="2:5" x14ac:dyDescent="0.25">
      <c r="B413" s="112"/>
      <c r="C413" s="112"/>
      <c r="D413" s="112"/>
      <c r="E413" s="112"/>
    </row>
    <row r="414" spans="2:5" x14ac:dyDescent="0.25">
      <c r="B414" s="112"/>
      <c r="C414" s="112"/>
      <c r="D414" s="112"/>
      <c r="E414" s="112"/>
    </row>
    <row r="415" spans="2:5" x14ac:dyDescent="0.25">
      <c r="B415" s="112"/>
      <c r="C415" s="112"/>
      <c r="D415" s="112"/>
      <c r="E415" s="112"/>
    </row>
    <row r="416" spans="2:5" x14ac:dyDescent="0.25">
      <c r="B416" s="112"/>
      <c r="C416" s="112"/>
      <c r="D416" s="112"/>
      <c r="E416" s="112"/>
    </row>
    <row r="417" spans="2:5" x14ac:dyDescent="0.25">
      <c r="B417" s="112"/>
      <c r="C417" s="112"/>
      <c r="D417" s="112"/>
      <c r="E417" s="112"/>
    </row>
    <row r="418" spans="2:5" x14ac:dyDescent="0.25">
      <c r="B418" s="112"/>
      <c r="C418" s="112"/>
      <c r="D418" s="112"/>
      <c r="E418" s="112"/>
    </row>
    <row r="419" spans="2:5" x14ac:dyDescent="0.25">
      <c r="B419" s="112"/>
      <c r="C419" s="112"/>
      <c r="D419" s="112"/>
      <c r="E419" s="112"/>
    </row>
    <row r="420" spans="2:5" x14ac:dyDescent="0.25">
      <c r="B420" s="112"/>
      <c r="C420" s="112"/>
      <c r="D420" s="112"/>
      <c r="E420" s="112"/>
    </row>
    <row r="421" spans="2:5" x14ac:dyDescent="0.25">
      <c r="B421" s="112"/>
      <c r="C421" s="112"/>
      <c r="D421" s="112"/>
      <c r="E421" s="112"/>
    </row>
    <row r="422" spans="2:5" x14ac:dyDescent="0.25">
      <c r="B422" s="112"/>
      <c r="C422" s="112"/>
      <c r="D422" s="112"/>
      <c r="E422" s="112"/>
    </row>
    <row r="423" spans="2:5" x14ac:dyDescent="0.25">
      <c r="B423" s="112"/>
      <c r="C423" s="112"/>
      <c r="D423" s="112"/>
      <c r="E423" s="112"/>
    </row>
    <row r="424" spans="2:5" x14ac:dyDescent="0.25">
      <c r="B424" s="112"/>
      <c r="C424" s="112"/>
      <c r="D424" s="112"/>
      <c r="E424" s="112"/>
    </row>
    <row r="425" spans="2:5" x14ac:dyDescent="0.25">
      <c r="B425" s="112"/>
      <c r="C425" s="112"/>
      <c r="D425" s="112"/>
      <c r="E425" s="112"/>
    </row>
    <row r="426" spans="2:5" x14ac:dyDescent="0.25">
      <c r="B426" s="112"/>
      <c r="C426" s="112"/>
      <c r="D426" s="112"/>
      <c r="E426" s="112"/>
    </row>
    <row r="427" spans="2:5" x14ac:dyDescent="0.25">
      <c r="B427" s="112"/>
      <c r="C427" s="112"/>
      <c r="D427" s="112"/>
      <c r="E427" s="112"/>
    </row>
    <row r="428" spans="2:5" x14ac:dyDescent="0.25">
      <c r="B428" s="112"/>
      <c r="C428" s="112"/>
      <c r="D428" s="112"/>
      <c r="E428" s="112"/>
    </row>
    <row r="429" spans="2:5" x14ac:dyDescent="0.25">
      <c r="B429" s="112"/>
      <c r="C429" s="112"/>
      <c r="D429" s="112"/>
      <c r="E429" s="112"/>
    </row>
    <row r="430" spans="2:5" x14ac:dyDescent="0.25">
      <c r="B430" s="112"/>
      <c r="C430" s="112"/>
      <c r="D430" s="112"/>
      <c r="E430" s="112"/>
    </row>
    <row r="431" spans="2:5" x14ac:dyDescent="0.25">
      <c r="B431" s="112"/>
      <c r="C431" s="112"/>
      <c r="D431" s="112"/>
      <c r="E431" s="112"/>
    </row>
    <row r="432" spans="2:5" x14ac:dyDescent="0.25">
      <c r="B432" s="112"/>
      <c r="C432" s="112"/>
      <c r="D432" s="112"/>
      <c r="E432" s="112"/>
    </row>
    <row r="433" spans="2:5" x14ac:dyDescent="0.25">
      <c r="B433" s="112"/>
      <c r="C433" s="112"/>
      <c r="D433" s="112"/>
      <c r="E433" s="112"/>
    </row>
    <row r="434" spans="2:5" x14ac:dyDescent="0.25">
      <c r="B434" s="112"/>
      <c r="C434" s="112"/>
      <c r="D434" s="112"/>
      <c r="E434" s="112"/>
    </row>
    <row r="435" spans="2:5" x14ac:dyDescent="0.25">
      <c r="B435" s="112"/>
      <c r="C435" s="112"/>
      <c r="D435" s="112"/>
      <c r="E435" s="112"/>
    </row>
    <row r="436" spans="2:5" x14ac:dyDescent="0.25">
      <c r="B436" s="112"/>
      <c r="C436" s="112"/>
      <c r="D436" s="112"/>
      <c r="E436" s="112"/>
    </row>
    <row r="437" spans="2:5" x14ac:dyDescent="0.25">
      <c r="B437" s="112"/>
      <c r="C437" s="112"/>
      <c r="D437" s="112"/>
      <c r="E437" s="112"/>
    </row>
    <row r="438" spans="2:5" x14ac:dyDescent="0.25">
      <c r="B438" s="112"/>
      <c r="C438" s="112"/>
      <c r="D438" s="112"/>
      <c r="E438" s="112"/>
    </row>
    <row r="439" spans="2:5" x14ac:dyDescent="0.25">
      <c r="B439" s="112"/>
      <c r="C439" s="112"/>
      <c r="D439" s="112"/>
      <c r="E439" s="112"/>
    </row>
    <row r="440" spans="2:5" x14ac:dyDescent="0.25">
      <c r="B440" s="112"/>
      <c r="C440" s="112"/>
      <c r="D440" s="112"/>
      <c r="E440" s="112"/>
    </row>
    <row r="441" spans="2:5" x14ac:dyDescent="0.25">
      <c r="B441" s="112"/>
      <c r="C441" s="112"/>
      <c r="D441" s="112"/>
      <c r="E441" s="112"/>
    </row>
    <row r="442" spans="2:5" x14ac:dyDescent="0.25">
      <c r="B442" s="112"/>
      <c r="C442" s="112"/>
      <c r="D442" s="112"/>
      <c r="E442" s="112"/>
    </row>
    <row r="443" spans="2:5" x14ac:dyDescent="0.25">
      <c r="B443" s="112"/>
      <c r="C443" s="112"/>
      <c r="D443" s="112"/>
      <c r="E443" s="112"/>
    </row>
    <row r="444" spans="2:5" x14ac:dyDescent="0.25">
      <c r="B444" s="112"/>
      <c r="C444" s="112"/>
      <c r="D444" s="112"/>
      <c r="E444" s="112"/>
    </row>
    <row r="445" spans="2:5" x14ac:dyDescent="0.25">
      <c r="B445" s="112"/>
      <c r="C445" s="112"/>
      <c r="D445" s="112"/>
      <c r="E445" s="112"/>
    </row>
    <row r="446" spans="2:5" x14ac:dyDescent="0.25">
      <c r="B446" s="112"/>
      <c r="C446" s="112"/>
      <c r="D446" s="112"/>
      <c r="E446" s="112"/>
    </row>
    <row r="447" spans="2:5" x14ac:dyDescent="0.25">
      <c r="B447" s="112"/>
      <c r="C447" s="112"/>
      <c r="D447" s="112"/>
      <c r="E447" s="112"/>
    </row>
    <row r="448" spans="2:5" x14ac:dyDescent="0.25">
      <c r="B448" s="112"/>
      <c r="C448" s="112"/>
      <c r="D448" s="112"/>
      <c r="E448" s="112"/>
    </row>
    <row r="449" spans="2:5" x14ac:dyDescent="0.25">
      <c r="B449" s="112"/>
      <c r="C449" s="112"/>
      <c r="D449" s="112"/>
      <c r="E449" s="112"/>
    </row>
    <row r="450" spans="2:5" x14ac:dyDescent="0.25">
      <c r="B450" s="112"/>
      <c r="C450" s="112"/>
      <c r="D450" s="112"/>
      <c r="E450" s="112"/>
    </row>
    <row r="451" spans="2:5" x14ac:dyDescent="0.25">
      <c r="B451" s="112"/>
      <c r="C451" s="112"/>
      <c r="D451" s="112"/>
      <c r="E451" s="112"/>
    </row>
    <row r="452" spans="2:5" x14ac:dyDescent="0.25">
      <c r="B452" s="112"/>
      <c r="C452" s="112"/>
      <c r="D452" s="112"/>
      <c r="E452" s="112"/>
    </row>
    <row r="453" spans="2:5" x14ac:dyDescent="0.25">
      <c r="B453" s="112"/>
      <c r="C453" s="112"/>
      <c r="D453" s="112"/>
      <c r="E453" s="112"/>
    </row>
    <row r="454" spans="2:5" x14ac:dyDescent="0.25">
      <c r="B454" s="112"/>
      <c r="C454" s="112"/>
      <c r="D454" s="112"/>
      <c r="E454" s="112"/>
    </row>
    <row r="455" spans="2:5" x14ac:dyDescent="0.25">
      <c r="B455" s="112"/>
      <c r="C455" s="112"/>
      <c r="D455" s="112"/>
      <c r="E455" s="112"/>
    </row>
    <row r="456" spans="2:5" x14ac:dyDescent="0.25">
      <c r="B456" s="112"/>
      <c r="C456" s="112"/>
      <c r="D456" s="112"/>
      <c r="E456" s="112"/>
    </row>
    <row r="457" spans="2:5" x14ac:dyDescent="0.25">
      <c r="B457" s="112"/>
      <c r="C457" s="112"/>
      <c r="D457" s="112"/>
      <c r="E457" s="112"/>
    </row>
    <row r="458" spans="2:5" x14ac:dyDescent="0.25">
      <c r="B458" s="112"/>
      <c r="C458" s="112"/>
      <c r="D458" s="112"/>
      <c r="E458" s="112"/>
    </row>
    <row r="459" spans="2:5" x14ac:dyDescent="0.25">
      <c r="B459" s="112"/>
      <c r="C459" s="112"/>
      <c r="D459" s="112"/>
      <c r="E459" s="112"/>
    </row>
    <row r="460" spans="2:5" x14ac:dyDescent="0.25">
      <c r="B460" s="112"/>
      <c r="C460" s="112"/>
      <c r="D460" s="112"/>
      <c r="E460" s="112"/>
    </row>
    <row r="461" spans="2:5" x14ac:dyDescent="0.25">
      <c r="B461" s="112"/>
      <c r="C461" s="112"/>
      <c r="D461" s="112"/>
      <c r="E461" s="112"/>
    </row>
    <row r="462" spans="2:5" x14ac:dyDescent="0.25">
      <c r="B462" s="112"/>
      <c r="C462" s="112"/>
      <c r="D462" s="112"/>
      <c r="E462" s="112"/>
    </row>
    <row r="463" spans="2:5" x14ac:dyDescent="0.25">
      <c r="B463" s="112"/>
      <c r="C463" s="112"/>
      <c r="D463" s="112"/>
      <c r="E463" s="112"/>
    </row>
    <row r="464" spans="2:5" x14ac:dyDescent="0.25">
      <c r="B464" s="112"/>
      <c r="C464" s="112"/>
      <c r="D464" s="112"/>
      <c r="E464" s="112"/>
    </row>
    <row r="465" spans="2:5" x14ac:dyDescent="0.25">
      <c r="B465" s="112"/>
      <c r="C465" s="112"/>
      <c r="D465" s="112"/>
      <c r="E465" s="112"/>
    </row>
    <row r="466" spans="2:5" x14ac:dyDescent="0.25">
      <c r="B466" s="112"/>
      <c r="C466" s="112"/>
      <c r="D466" s="112"/>
      <c r="E466" s="112"/>
    </row>
    <row r="467" spans="2:5" x14ac:dyDescent="0.25">
      <c r="B467" s="112"/>
      <c r="C467" s="112"/>
      <c r="D467" s="112"/>
      <c r="E467" s="112"/>
    </row>
    <row r="468" spans="2:5" x14ac:dyDescent="0.25">
      <c r="B468" s="112"/>
      <c r="C468" s="112"/>
      <c r="D468" s="112"/>
      <c r="E468" s="112"/>
    </row>
    <row r="469" spans="2:5" x14ac:dyDescent="0.25">
      <c r="B469" s="112"/>
      <c r="C469" s="112"/>
      <c r="D469" s="112"/>
      <c r="E469" s="112"/>
    </row>
    <row r="470" spans="2:5" x14ac:dyDescent="0.25">
      <c r="B470" s="112"/>
      <c r="C470" s="112"/>
      <c r="D470" s="112"/>
      <c r="E470" s="112"/>
    </row>
    <row r="471" spans="2:5" x14ac:dyDescent="0.25">
      <c r="B471" s="112"/>
      <c r="C471" s="112"/>
      <c r="D471" s="112"/>
      <c r="E471" s="112"/>
    </row>
    <row r="472" spans="2:5" x14ac:dyDescent="0.25">
      <c r="B472" s="112"/>
      <c r="C472" s="112"/>
      <c r="D472" s="112"/>
      <c r="E472" s="112"/>
    </row>
    <row r="473" spans="2:5" x14ac:dyDescent="0.25">
      <c r="B473" s="112"/>
      <c r="C473" s="112"/>
      <c r="D473" s="112"/>
      <c r="E473" s="112"/>
    </row>
    <row r="474" spans="2:5" x14ac:dyDescent="0.25">
      <c r="B474" s="112"/>
      <c r="C474" s="112"/>
      <c r="D474" s="112"/>
      <c r="E474" s="112"/>
    </row>
    <row r="475" spans="2:5" x14ac:dyDescent="0.25">
      <c r="B475" s="112"/>
      <c r="C475" s="112"/>
      <c r="D475" s="112"/>
      <c r="E475" s="112"/>
    </row>
    <row r="476" spans="2:5" x14ac:dyDescent="0.25">
      <c r="B476" s="112"/>
      <c r="C476" s="112"/>
      <c r="D476" s="112"/>
      <c r="E476" s="112"/>
    </row>
    <row r="477" spans="2:5" x14ac:dyDescent="0.25">
      <c r="B477" s="112"/>
      <c r="C477" s="112"/>
      <c r="D477" s="112"/>
      <c r="E477" s="112"/>
    </row>
    <row r="478" spans="2:5" x14ac:dyDescent="0.25">
      <c r="B478" s="112"/>
      <c r="C478" s="112"/>
      <c r="D478" s="112"/>
      <c r="E478" s="112"/>
    </row>
    <row r="479" spans="2:5" x14ac:dyDescent="0.25">
      <c r="B479" s="112"/>
      <c r="C479" s="112"/>
      <c r="D479" s="112"/>
      <c r="E479" s="112"/>
    </row>
    <row r="480" spans="2:5" x14ac:dyDescent="0.25">
      <c r="B480" s="112"/>
      <c r="C480" s="112"/>
      <c r="D480" s="112"/>
      <c r="E480" s="112"/>
    </row>
    <row r="481" spans="2:5" x14ac:dyDescent="0.25">
      <c r="B481" s="112"/>
      <c r="C481" s="112"/>
      <c r="D481" s="112"/>
      <c r="E481" s="112"/>
    </row>
    <row r="482" spans="2:5" x14ac:dyDescent="0.25">
      <c r="B482" s="112"/>
      <c r="C482" s="112"/>
      <c r="D482" s="112"/>
      <c r="E482" s="112"/>
    </row>
    <row r="483" spans="2:5" x14ac:dyDescent="0.25">
      <c r="B483" s="112"/>
      <c r="C483" s="112"/>
      <c r="D483" s="112"/>
      <c r="E483" s="112"/>
    </row>
    <row r="484" spans="2:5" x14ac:dyDescent="0.25">
      <c r="B484" s="112"/>
      <c r="C484" s="112"/>
      <c r="D484" s="112"/>
      <c r="E484" s="112"/>
    </row>
    <row r="485" spans="2:5" x14ac:dyDescent="0.25">
      <c r="B485" s="112"/>
      <c r="C485" s="112"/>
      <c r="D485" s="112"/>
      <c r="E485" s="112"/>
    </row>
    <row r="486" spans="2:5" x14ac:dyDescent="0.25">
      <c r="B486" s="112"/>
      <c r="C486" s="112"/>
      <c r="D486" s="112"/>
      <c r="E486" s="112"/>
    </row>
    <row r="487" spans="2:5" x14ac:dyDescent="0.25">
      <c r="B487" s="112"/>
      <c r="C487" s="112"/>
      <c r="D487" s="112"/>
      <c r="E487" s="112"/>
    </row>
    <row r="488" spans="2:5" x14ac:dyDescent="0.25">
      <c r="B488" s="112"/>
      <c r="C488" s="112"/>
      <c r="D488" s="112"/>
      <c r="E488" s="112"/>
    </row>
    <row r="489" spans="2:5" x14ac:dyDescent="0.25">
      <c r="B489" s="112"/>
      <c r="C489" s="112"/>
      <c r="D489" s="112"/>
      <c r="E489" s="112"/>
    </row>
    <row r="490" spans="2:5" x14ac:dyDescent="0.25">
      <c r="B490" s="112"/>
      <c r="C490" s="112"/>
      <c r="D490" s="112"/>
      <c r="E490" s="112"/>
    </row>
    <row r="491" spans="2:5" x14ac:dyDescent="0.25">
      <c r="B491" s="112"/>
      <c r="C491" s="112"/>
      <c r="D491" s="112"/>
      <c r="E491" s="112"/>
    </row>
    <row r="492" spans="2:5" x14ac:dyDescent="0.25">
      <c r="B492" s="112"/>
      <c r="C492" s="112"/>
      <c r="D492" s="112"/>
      <c r="E492" s="112"/>
    </row>
    <row r="493" spans="2:5" x14ac:dyDescent="0.25">
      <c r="B493" s="112"/>
      <c r="C493" s="112"/>
      <c r="D493" s="112"/>
      <c r="E493" s="112"/>
    </row>
    <row r="494" spans="2:5" x14ac:dyDescent="0.25">
      <c r="B494" s="112"/>
      <c r="C494" s="112"/>
      <c r="D494" s="112"/>
      <c r="E494" s="112"/>
    </row>
    <row r="495" spans="2:5" x14ac:dyDescent="0.25">
      <c r="B495" s="112"/>
      <c r="C495" s="112"/>
      <c r="D495" s="112"/>
      <c r="E495" s="112"/>
    </row>
    <row r="496" spans="2:5" x14ac:dyDescent="0.25">
      <c r="B496" s="112"/>
      <c r="C496" s="112"/>
      <c r="D496" s="112"/>
      <c r="E496" s="112"/>
    </row>
    <row r="497" spans="2:5" x14ac:dyDescent="0.25">
      <c r="B497" s="112"/>
      <c r="C497" s="112"/>
      <c r="D497" s="112"/>
      <c r="E497" s="112"/>
    </row>
    <row r="498" spans="2:5" x14ac:dyDescent="0.25">
      <c r="B498" s="112"/>
      <c r="C498" s="112"/>
      <c r="D498" s="112"/>
      <c r="E498" s="112"/>
    </row>
    <row r="499" spans="2:5" x14ac:dyDescent="0.25">
      <c r="B499" s="112"/>
      <c r="C499" s="112"/>
      <c r="D499" s="112"/>
      <c r="E499" s="112"/>
    </row>
    <row r="500" spans="2:5" x14ac:dyDescent="0.25">
      <c r="B500" s="112"/>
      <c r="C500" s="112"/>
      <c r="D500" s="112"/>
      <c r="E500" s="112"/>
    </row>
    <row r="501" spans="2:5" x14ac:dyDescent="0.25">
      <c r="B501" s="112"/>
      <c r="C501" s="112"/>
      <c r="D501" s="112"/>
      <c r="E501" s="112"/>
    </row>
    <row r="502" spans="2:5" x14ac:dyDescent="0.25">
      <c r="B502" s="112"/>
      <c r="C502" s="112"/>
      <c r="D502" s="112"/>
      <c r="E502" s="112"/>
    </row>
    <row r="503" spans="2:5" x14ac:dyDescent="0.25">
      <c r="B503" s="112"/>
      <c r="C503" s="112"/>
      <c r="D503" s="112"/>
      <c r="E503" s="112"/>
    </row>
    <row r="504" spans="2:5" x14ac:dyDescent="0.25">
      <c r="B504" s="112"/>
      <c r="C504" s="112"/>
      <c r="D504" s="112"/>
      <c r="E504" s="112"/>
    </row>
    <row r="505" spans="2:5" x14ac:dyDescent="0.25">
      <c r="B505" s="112"/>
      <c r="C505" s="112"/>
      <c r="D505" s="112"/>
      <c r="E505" s="112"/>
    </row>
    <row r="506" spans="2:5" x14ac:dyDescent="0.25">
      <c r="B506" s="112"/>
      <c r="C506" s="112"/>
      <c r="D506" s="112"/>
      <c r="E506" s="112"/>
    </row>
    <row r="507" spans="2:5" x14ac:dyDescent="0.25">
      <c r="B507" s="112"/>
      <c r="C507" s="112"/>
      <c r="D507" s="112"/>
      <c r="E507" s="112"/>
    </row>
    <row r="508" spans="2:5" x14ac:dyDescent="0.25">
      <c r="B508" s="112"/>
      <c r="C508" s="112"/>
      <c r="D508" s="112"/>
      <c r="E508" s="112"/>
    </row>
    <row r="509" spans="2:5" x14ac:dyDescent="0.25">
      <c r="B509" s="112"/>
      <c r="C509" s="112"/>
      <c r="D509" s="112"/>
      <c r="E509" s="112"/>
    </row>
    <row r="510" spans="2:5" x14ac:dyDescent="0.25">
      <c r="B510" s="112"/>
      <c r="C510" s="112"/>
      <c r="D510" s="112"/>
      <c r="E510" s="112"/>
    </row>
    <row r="511" spans="2:5" x14ac:dyDescent="0.25">
      <c r="B511" s="112"/>
      <c r="C511" s="112"/>
      <c r="D511" s="112"/>
      <c r="E511" s="112"/>
    </row>
    <row r="512" spans="2:5" x14ac:dyDescent="0.25">
      <c r="B512" s="112"/>
      <c r="C512" s="112"/>
      <c r="D512" s="112"/>
      <c r="E512" s="112"/>
    </row>
    <row r="513" spans="2:5" x14ac:dyDescent="0.25">
      <c r="B513" s="112"/>
      <c r="C513" s="112"/>
      <c r="D513" s="112"/>
      <c r="E513" s="112"/>
    </row>
    <row r="514" spans="2:5" x14ac:dyDescent="0.25">
      <c r="B514" s="112"/>
      <c r="C514" s="112"/>
      <c r="D514" s="112"/>
      <c r="E514" s="112"/>
    </row>
    <row r="515" spans="2:5" x14ac:dyDescent="0.25">
      <c r="B515" s="112"/>
      <c r="C515" s="112"/>
      <c r="D515" s="112"/>
      <c r="E515" s="112"/>
    </row>
    <row r="516" spans="2:5" x14ac:dyDescent="0.25">
      <c r="B516" s="112"/>
      <c r="C516" s="112"/>
      <c r="D516" s="112"/>
      <c r="E516" s="112"/>
    </row>
    <row r="517" spans="2:5" x14ac:dyDescent="0.25">
      <c r="B517" s="112"/>
      <c r="C517" s="112"/>
      <c r="D517" s="112"/>
      <c r="E517" s="112"/>
    </row>
    <row r="518" spans="2:5" x14ac:dyDescent="0.25">
      <c r="B518" s="112"/>
      <c r="C518" s="112"/>
      <c r="D518" s="112"/>
      <c r="E518" s="112"/>
    </row>
    <row r="519" spans="2:5" x14ac:dyDescent="0.25">
      <c r="B519" s="112"/>
      <c r="C519" s="112"/>
      <c r="D519" s="112"/>
      <c r="E519" s="112"/>
    </row>
    <row r="520" spans="2:5" x14ac:dyDescent="0.25">
      <c r="B520" s="112"/>
      <c r="C520" s="112"/>
      <c r="D520" s="112"/>
      <c r="E520" s="112"/>
    </row>
    <row r="521" spans="2:5" x14ac:dyDescent="0.25">
      <c r="B521" s="112"/>
      <c r="C521" s="112"/>
      <c r="D521" s="112"/>
      <c r="E521" s="112"/>
    </row>
    <row r="522" spans="2:5" x14ac:dyDescent="0.25">
      <c r="B522" s="112"/>
      <c r="C522" s="112"/>
      <c r="D522" s="112"/>
      <c r="E522" s="112"/>
    </row>
    <row r="523" spans="2:5" x14ac:dyDescent="0.25">
      <c r="B523" s="112"/>
      <c r="C523" s="112"/>
      <c r="D523" s="112"/>
      <c r="E523" s="112"/>
    </row>
    <row r="524" spans="2:5" x14ac:dyDescent="0.25">
      <c r="B524" s="112"/>
      <c r="C524" s="112"/>
      <c r="D524" s="112"/>
      <c r="E524" s="112"/>
    </row>
    <row r="525" spans="2:5" x14ac:dyDescent="0.25">
      <c r="B525" s="112"/>
      <c r="C525" s="112"/>
      <c r="D525" s="112"/>
      <c r="E525" s="112"/>
    </row>
    <row r="526" spans="2:5" x14ac:dyDescent="0.25">
      <c r="B526" s="112"/>
      <c r="C526" s="112"/>
      <c r="D526" s="112"/>
      <c r="E526" s="112"/>
    </row>
    <row r="527" spans="2:5" x14ac:dyDescent="0.25">
      <c r="B527" s="112"/>
      <c r="C527" s="112"/>
      <c r="D527" s="112"/>
      <c r="E527" s="112"/>
    </row>
    <row r="528" spans="2:5" x14ac:dyDescent="0.25">
      <c r="B528" s="112"/>
      <c r="C528" s="112"/>
      <c r="D528" s="112"/>
      <c r="E528" s="112"/>
    </row>
    <row r="529" spans="2:5" x14ac:dyDescent="0.25">
      <c r="B529" s="112"/>
      <c r="C529" s="112"/>
      <c r="D529" s="112"/>
      <c r="E529" s="112"/>
    </row>
    <row r="530" spans="2:5" x14ac:dyDescent="0.25">
      <c r="B530" s="112"/>
      <c r="C530" s="112"/>
      <c r="D530" s="112"/>
      <c r="E530" s="112"/>
    </row>
    <row r="531" spans="2:5" x14ac:dyDescent="0.25">
      <c r="B531" s="112"/>
      <c r="C531" s="112"/>
      <c r="D531" s="112"/>
      <c r="E531" s="112"/>
    </row>
    <row r="532" spans="2:5" x14ac:dyDescent="0.25">
      <c r="B532" s="112"/>
      <c r="C532" s="112"/>
      <c r="D532" s="112"/>
      <c r="E532" s="112"/>
    </row>
    <row r="533" spans="2:5" x14ac:dyDescent="0.25">
      <c r="B533" s="112"/>
      <c r="C533" s="112"/>
      <c r="D533" s="112"/>
      <c r="E533" s="112"/>
    </row>
    <row r="534" spans="2:5" x14ac:dyDescent="0.25">
      <c r="B534" s="112"/>
      <c r="C534" s="112"/>
      <c r="D534" s="112"/>
      <c r="E534" s="112"/>
    </row>
    <row r="535" spans="2:5" x14ac:dyDescent="0.25">
      <c r="B535" s="112"/>
      <c r="C535" s="112"/>
      <c r="D535" s="112"/>
      <c r="E535" s="112"/>
    </row>
    <row r="536" spans="2:5" x14ac:dyDescent="0.25">
      <c r="B536" s="112"/>
      <c r="C536" s="112"/>
      <c r="D536" s="112"/>
      <c r="E536" s="112"/>
    </row>
    <row r="537" spans="2:5" x14ac:dyDescent="0.25">
      <c r="B537" s="112"/>
      <c r="C537" s="112"/>
      <c r="D537" s="112"/>
      <c r="E537" s="112"/>
    </row>
    <row r="538" spans="2:5" x14ac:dyDescent="0.25">
      <c r="B538" s="112"/>
      <c r="C538" s="112"/>
      <c r="D538" s="112"/>
      <c r="E538" s="112"/>
    </row>
    <row r="539" spans="2:5" x14ac:dyDescent="0.25">
      <c r="B539" s="112"/>
      <c r="C539" s="112"/>
      <c r="D539" s="112"/>
      <c r="E539" s="112"/>
    </row>
    <row r="540" spans="2:5" x14ac:dyDescent="0.25">
      <c r="B540" s="112"/>
      <c r="C540" s="112"/>
      <c r="D540" s="112"/>
      <c r="E540" s="112"/>
    </row>
    <row r="541" spans="2:5" x14ac:dyDescent="0.25">
      <c r="B541" s="112"/>
      <c r="C541" s="112"/>
      <c r="D541" s="112"/>
      <c r="E541" s="112"/>
    </row>
    <row r="542" spans="2:5" x14ac:dyDescent="0.25">
      <c r="B542" s="112"/>
      <c r="C542" s="112"/>
      <c r="D542" s="112"/>
      <c r="E542" s="112"/>
    </row>
    <row r="543" spans="2:5" x14ac:dyDescent="0.25">
      <c r="B543" s="112"/>
      <c r="C543" s="112"/>
      <c r="D543" s="112"/>
      <c r="E543" s="112"/>
    </row>
    <row r="544" spans="2:5" x14ac:dyDescent="0.25">
      <c r="B544" s="112"/>
      <c r="C544" s="112"/>
      <c r="D544" s="112"/>
      <c r="E544" s="112"/>
    </row>
    <row r="545" spans="2:5" x14ac:dyDescent="0.25">
      <c r="B545" s="112"/>
      <c r="C545" s="112"/>
      <c r="D545" s="112"/>
      <c r="E545" s="112"/>
    </row>
    <row r="546" spans="2:5" x14ac:dyDescent="0.25">
      <c r="B546" s="112"/>
      <c r="C546" s="112"/>
      <c r="D546" s="112"/>
      <c r="E546" s="112"/>
    </row>
    <row r="547" spans="2:5" x14ac:dyDescent="0.25">
      <c r="B547" s="112"/>
      <c r="C547" s="112"/>
      <c r="D547" s="112"/>
      <c r="E547" s="112"/>
    </row>
    <row r="548" spans="2:5" x14ac:dyDescent="0.25">
      <c r="B548" s="112"/>
      <c r="C548" s="112"/>
      <c r="D548" s="112"/>
      <c r="E548" s="112"/>
    </row>
    <row r="549" spans="2:5" x14ac:dyDescent="0.25">
      <c r="B549" s="112"/>
      <c r="C549" s="112"/>
      <c r="D549" s="112"/>
      <c r="E549" s="112"/>
    </row>
    <row r="550" spans="2:5" x14ac:dyDescent="0.25">
      <c r="B550" s="112"/>
      <c r="C550" s="112"/>
      <c r="D550" s="112"/>
      <c r="E550" s="112"/>
    </row>
    <row r="551" spans="2:5" x14ac:dyDescent="0.25">
      <c r="B551" s="112"/>
      <c r="C551" s="112"/>
      <c r="D551" s="112"/>
      <c r="E551" s="112"/>
    </row>
    <row r="552" spans="2:5" x14ac:dyDescent="0.25">
      <c r="B552" s="112"/>
      <c r="C552" s="112"/>
      <c r="D552" s="112"/>
      <c r="E552" s="112"/>
    </row>
    <row r="553" spans="2:5" x14ac:dyDescent="0.25">
      <c r="B553" s="112"/>
      <c r="C553" s="112"/>
      <c r="D553" s="112"/>
      <c r="E553" s="112"/>
    </row>
    <row r="554" spans="2:5" x14ac:dyDescent="0.25">
      <c r="B554" s="112"/>
      <c r="C554" s="112"/>
      <c r="D554" s="112"/>
      <c r="E554" s="112"/>
    </row>
    <row r="555" spans="2:5" x14ac:dyDescent="0.25">
      <c r="B555" s="112"/>
      <c r="C555" s="112"/>
      <c r="D555" s="112"/>
      <c r="E555" s="112"/>
    </row>
    <row r="556" spans="2:5" x14ac:dyDescent="0.25">
      <c r="B556" s="112"/>
      <c r="C556" s="112"/>
      <c r="D556" s="112"/>
      <c r="E556" s="112"/>
    </row>
    <row r="557" spans="2:5" x14ac:dyDescent="0.25">
      <c r="B557" s="112"/>
      <c r="C557" s="112"/>
      <c r="D557" s="112"/>
      <c r="E557" s="112"/>
    </row>
    <row r="558" spans="2:5" x14ac:dyDescent="0.25">
      <c r="B558" s="112"/>
      <c r="C558" s="112"/>
      <c r="D558" s="112"/>
      <c r="E558" s="112"/>
    </row>
    <row r="559" spans="2:5" x14ac:dyDescent="0.25">
      <c r="B559" s="112"/>
      <c r="C559" s="112"/>
      <c r="D559" s="112"/>
      <c r="E559" s="112"/>
    </row>
    <row r="560" spans="2:5" x14ac:dyDescent="0.25">
      <c r="B560" s="112"/>
      <c r="C560" s="112"/>
      <c r="D560" s="112"/>
      <c r="E560" s="112"/>
    </row>
    <row r="561" spans="2:5" x14ac:dyDescent="0.25">
      <c r="B561" s="112"/>
      <c r="C561" s="112"/>
      <c r="D561" s="112"/>
      <c r="E561" s="112"/>
    </row>
    <row r="562" spans="2:5" x14ac:dyDescent="0.25">
      <c r="B562" s="112"/>
      <c r="C562" s="112"/>
      <c r="D562" s="112"/>
      <c r="E562" s="112"/>
    </row>
    <row r="563" spans="2:5" x14ac:dyDescent="0.25">
      <c r="B563" s="112"/>
      <c r="C563" s="112"/>
      <c r="D563" s="112"/>
      <c r="E563" s="112"/>
    </row>
    <row r="564" spans="2:5" x14ac:dyDescent="0.25">
      <c r="B564" s="112"/>
      <c r="C564" s="112"/>
      <c r="D564" s="112"/>
      <c r="E564" s="112"/>
    </row>
    <row r="565" spans="2:5" x14ac:dyDescent="0.25">
      <c r="B565" s="112"/>
      <c r="C565" s="112"/>
      <c r="D565" s="112"/>
      <c r="E565" s="112"/>
    </row>
    <row r="566" spans="2:5" x14ac:dyDescent="0.25">
      <c r="B566" s="112"/>
      <c r="C566" s="112"/>
      <c r="D566" s="112"/>
      <c r="E566" s="112"/>
    </row>
    <row r="567" spans="2:5" x14ac:dyDescent="0.25">
      <c r="B567" s="112"/>
      <c r="C567" s="112"/>
      <c r="D567" s="112"/>
      <c r="E567" s="112"/>
    </row>
    <row r="568" spans="2:5" x14ac:dyDescent="0.25">
      <c r="B568" s="112"/>
      <c r="C568" s="112"/>
      <c r="D568" s="112"/>
      <c r="E568" s="112"/>
    </row>
    <row r="569" spans="2:5" x14ac:dyDescent="0.25">
      <c r="B569" s="112"/>
      <c r="C569" s="112"/>
      <c r="D569" s="112"/>
      <c r="E569" s="112"/>
    </row>
    <row r="570" spans="2:5" x14ac:dyDescent="0.25">
      <c r="B570" s="112"/>
      <c r="C570" s="112"/>
      <c r="D570" s="112"/>
      <c r="E570" s="112"/>
    </row>
    <row r="571" spans="2:5" x14ac:dyDescent="0.25">
      <c r="B571" s="112"/>
      <c r="C571" s="112"/>
      <c r="D571" s="112"/>
      <c r="E571" s="112"/>
    </row>
    <row r="572" spans="2:5" x14ac:dyDescent="0.25">
      <c r="B572" s="112"/>
      <c r="C572" s="112"/>
      <c r="D572" s="112"/>
      <c r="E572" s="112"/>
    </row>
    <row r="573" spans="2:5" x14ac:dyDescent="0.25">
      <c r="B573" s="112"/>
      <c r="C573" s="112"/>
      <c r="D573" s="112"/>
      <c r="E573" s="112"/>
    </row>
    <row r="574" spans="2:5" x14ac:dyDescent="0.25">
      <c r="B574" s="112"/>
      <c r="C574" s="112"/>
      <c r="D574" s="112"/>
      <c r="E574" s="112"/>
    </row>
    <row r="575" spans="2:5" x14ac:dyDescent="0.25">
      <c r="B575" s="112"/>
      <c r="C575" s="112"/>
      <c r="D575" s="112"/>
      <c r="E575" s="112"/>
    </row>
    <row r="576" spans="2:5" x14ac:dyDescent="0.25">
      <c r="B576" s="112"/>
      <c r="C576" s="112"/>
      <c r="D576" s="112"/>
      <c r="E576" s="112"/>
    </row>
    <row r="577" spans="2:5" x14ac:dyDescent="0.25">
      <c r="B577" s="112"/>
      <c r="C577" s="112"/>
      <c r="D577" s="112"/>
      <c r="E577" s="112"/>
    </row>
    <row r="578" spans="2:5" x14ac:dyDescent="0.25">
      <c r="B578" s="112"/>
      <c r="C578" s="112"/>
      <c r="D578" s="112"/>
      <c r="E578" s="112"/>
    </row>
    <row r="579" spans="2:5" x14ac:dyDescent="0.25">
      <c r="B579" s="112"/>
      <c r="C579" s="112"/>
      <c r="D579" s="112"/>
      <c r="E579" s="112"/>
    </row>
    <row r="580" spans="2:5" x14ac:dyDescent="0.25">
      <c r="B580" s="112"/>
      <c r="C580" s="112"/>
      <c r="D580" s="112"/>
      <c r="E580" s="112"/>
    </row>
    <row r="581" spans="2:5" x14ac:dyDescent="0.25">
      <c r="B581" s="112"/>
      <c r="C581" s="112"/>
      <c r="D581" s="112"/>
      <c r="E581" s="112"/>
    </row>
    <row r="582" spans="2:5" x14ac:dyDescent="0.25">
      <c r="B582" s="112"/>
      <c r="C582" s="112"/>
      <c r="D582" s="112"/>
      <c r="E582" s="112"/>
    </row>
    <row r="583" spans="2:5" x14ac:dyDescent="0.25">
      <c r="B583" s="112"/>
      <c r="C583" s="112"/>
      <c r="D583" s="112"/>
      <c r="E583" s="112"/>
    </row>
    <row r="584" spans="2:5" x14ac:dyDescent="0.25">
      <c r="B584" s="112"/>
      <c r="C584" s="112"/>
      <c r="D584" s="112"/>
      <c r="E584" s="112"/>
    </row>
    <row r="585" spans="2:5" x14ac:dyDescent="0.25">
      <c r="B585" s="112"/>
      <c r="C585" s="112"/>
      <c r="D585" s="112"/>
      <c r="E585" s="112"/>
    </row>
    <row r="586" spans="2:5" x14ac:dyDescent="0.25">
      <c r="B586" s="112"/>
      <c r="C586" s="112"/>
      <c r="D586" s="112"/>
      <c r="E586" s="112"/>
    </row>
    <row r="587" spans="2:5" x14ac:dyDescent="0.25">
      <c r="B587" s="112"/>
      <c r="C587" s="112"/>
      <c r="D587" s="112"/>
      <c r="E587" s="112"/>
    </row>
    <row r="588" spans="2:5" x14ac:dyDescent="0.25">
      <c r="B588" s="112"/>
      <c r="C588" s="112"/>
      <c r="D588" s="112"/>
      <c r="E588" s="112"/>
    </row>
    <row r="589" spans="2:5" x14ac:dyDescent="0.25">
      <c r="B589" s="112"/>
      <c r="C589" s="112"/>
      <c r="D589" s="112"/>
      <c r="E589" s="112"/>
    </row>
    <row r="590" spans="2:5" x14ac:dyDescent="0.25">
      <c r="B590" s="112"/>
      <c r="C590" s="112"/>
      <c r="D590" s="112"/>
      <c r="E590" s="112"/>
    </row>
    <row r="591" spans="2:5" x14ac:dyDescent="0.25">
      <c r="B591" s="112"/>
      <c r="C591" s="112"/>
      <c r="D591" s="112"/>
      <c r="E591" s="112"/>
    </row>
    <row r="592" spans="2:5" x14ac:dyDescent="0.25">
      <c r="B592" s="112"/>
      <c r="C592" s="112"/>
      <c r="D592" s="112"/>
      <c r="E592" s="112"/>
    </row>
    <row r="593" spans="2:5" x14ac:dyDescent="0.25">
      <c r="B593" s="112"/>
      <c r="C593" s="112"/>
      <c r="D593" s="112"/>
      <c r="E593" s="112"/>
    </row>
    <row r="594" spans="2:5" x14ac:dyDescent="0.25">
      <c r="B594" s="112"/>
      <c r="C594" s="112"/>
      <c r="D594" s="112"/>
      <c r="E594" s="112"/>
    </row>
    <row r="595" spans="2:5" x14ac:dyDescent="0.25">
      <c r="B595" s="112"/>
      <c r="C595" s="112"/>
      <c r="D595" s="112"/>
      <c r="E595" s="112"/>
    </row>
    <row r="596" spans="2:5" x14ac:dyDescent="0.25">
      <c r="B596" s="112"/>
      <c r="C596" s="112"/>
      <c r="D596" s="112"/>
      <c r="E596" s="112"/>
    </row>
    <row r="597" spans="2:5" x14ac:dyDescent="0.25">
      <c r="B597" s="112"/>
      <c r="C597" s="112"/>
      <c r="D597" s="112"/>
      <c r="E597" s="112"/>
    </row>
    <row r="598" spans="2:5" x14ac:dyDescent="0.25">
      <c r="B598" s="112"/>
      <c r="C598" s="112"/>
      <c r="D598" s="112"/>
      <c r="E598" s="112"/>
    </row>
    <row r="599" spans="2:5" x14ac:dyDescent="0.25">
      <c r="B599" s="112"/>
      <c r="C599" s="112"/>
      <c r="D599" s="112"/>
      <c r="E599" s="112"/>
    </row>
    <row r="600" spans="2:5" x14ac:dyDescent="0.25">
      <c r="B600" s="112"/>
      <c r="C600" s="112"/>
      <c r="D600" s="112"/>
      <c r="E600" s="112"/>
    </row>
    <row r="601" spans="2:5" x14ac:dyDescent="0.25">
      <c r="B601" s="112"/>
      <c r="C601" s="112"/>
      <c r="D601" s="112"/>
      <c r="E601" s="112"/>
    </row>
    <row r="602" spans="2:5" x14ac:dyDescent="0.25">
      <c r="B602" s="112"/>
      <c r="C602" s="112"/>
      <c r="D602" s="112"/>
      <c r="E602" s="112"/>
    </row>
    <row r="603" spans="2:5" x14ac:dyDescent="0.25">
      <c r="B603" s="112"/>
      <c r="C603" s="112"/>
      <c r="D603" s="112"/>
      <c r="E603" s="112"/>
    </row>
    <row r="604" spans="2:5" x14ac:dyDescent="0.25">
      <c r="B604" s="112"/>
      <c r="C604" s="112"/>
      <c r="D604" s="112"/>
      <c r="E604" s="112"/>
    </row>
    <row r="605" spans="2:5" x14ac:dyDescent="0.25">
      <c r="B605" s="112"/>
      <c r="C605" s="112"/>
      <c r="D605" s="112"/>
      <c r="E605" s="112"/>
    </row>
    <row r="606" spans="2:5" x14ac:dyDescent="0.25">
      <c r="B606" s="112"/>
      <c r="C606" s="112"/>
      <c r="D606" s="112"/>
      <c r="E606" s="112"/>
    </row>
    <row r="607" spans="2:5" x14ac:dyDescent="0.25">
      <c r="B607" s="112"/>
      <c r="C607" s="112"/>
      <c r="D607" s="112"/>
      <c r="E607" s="112"/>
    </row>
    <row r="608" spans="2:5" x14ac:dyDescent="0.25">
      <c r="B608" s="112"/>
      <c r="C608" s="112"/>
      <c r="D608" s="112"/>
      <c r="E608" s="112"/>
    </row>
    <row r="609" spans="2:5" x14ac:dyDescent="0.25">
      <c r="B609" s="112"/>
      <c r="C609" s="112"/>
      <c r="D609" s="112"/>
      <c r="E609" s="112"/>
    </row>
    <row r="610" spans="2:5" x14ac:dyDescent="0.25">
      <c r="B610" s="112"/>
      <c r="C610" s="112"/>
      <c r="D610" s="112"/>
      <c r="E610" s="112"/>
    </row>
    <row r="611" spans="2:5" x14ac:dyDescent="0.25">
      <c r="B611" s="112"/>
      <c r="C611" s="112"/>
      <c r="D611" s="112"/>
      <c r="E611" s="112"/>
    </row>
    <row r="612" spans="2:5" x14ac:dyDescent="0.25">
      <c r="B612" s="112"/>
      <c r="C612" s="112"/>
      <c r="D612" s="112"/>
      <c r="E612" s="112"/>
    </row>
    <row r="613" spans="2:5" x14ac:dyDescent="0.25">
      <c r="B613" s="112"/>
      <c r="C613" s="112"/>
      <c r="D613" s="112"/>
      <c r="E613" s="112"/>
    </row>
    <row r="614" spans="2:5" x14ac:dyDescent="0.25">
      <c r="B614" s="112"/>
      <c r="C614" s="112"/>
      <c r="D614" s="112"/>
      <c r="E614" s="112"/>
    </row>
    <row r="615" spans="2:5" x14ac:dyDescent="0.25">
      <c r="B615" s="112"/>
      <c r="C615" s="112"/>
      <c r="D615" s="112"/>
      <c r="E615" s="112"/>
    </row>
    <row r="616" spans="2:5" x14ac:dyDescent="0.25">
      <c r="B616" s="112"/>
      <c r="C616" s="112"/>
      <c r="D616" s="112"/>
      <c r="E616" s="112"/>
    </row>
    <row r="617" spans="2:5" x14ac:dyDescent="0.25">
      <c r="B617" s="112"/>
      <c r="C617" s="112"/>
      <c r="D617" s="112"/>
      <c r="E617" s="112"/>
    </row>
    <row r="618" spans="2:5" x14ac:dyDescent="0.25">
      <c r="B618" s="112"/>
      <c r="C618" s="112"/>
      <c r="D618" s="112"/>
      <c r="E618" s="112"/>
    </row>
    <row r="619" spans="2:5" x14ac:dyDescent="0.25">
      <c r="B619" s="112"/>
      <c r="C619" s="112"/>
      <c r="D619" s="112"/>
      <c r="E619" s="112"/>
    </row>
    <row r="620" spans="2:5" x14ac:dyDescent="0.25">
      <c r="B620" s="112"/>
      <c r="C620" s="112"/>
      <c r="D620" s="112"/>
      <c r="E620" s="112"/>
    </row>
    <row r="621" spans="2:5" x14ac:dyDescent="0.25">
      <c r="B621" s="112"/>
      <c r="C621" s="112"/>
      <c r="D621" s="112"/>
      <c r="E621" s="112"/>
    </row>
    <row r="622" spans="2:5" x14ac:dyDescent="0.25">
      <c r="B622" s="112"/>
      <c r="C622" s="112"/>
      <c r="D622" s="112"/>
      <c r="E622" s="112"/>
    </row>
    <row r="623" spans="2:5" x14ac:dyDescent="0.25">
      <c r="B623" s="112"/>
      <c r="C623" s="112"/>
      <c r="D623" s="112"/>
      <c r="E623" s="112"/>
    </row>
    <row r="624" spans="2:5" x14ac:dyDescent="0.25">
      <c r="B624" s="112"/>
      <c r="C624" s="112"/>
      <c r="D624" s="112"/>
      <c r="E624" s="112"/>
    </row>
    <row r="625" spans="2:5" x14ac:dyDescent="0.25">
      <c r="B625" s="112"/>
      <c r="C625" s="112"/>
      <c r="D625" s="112"/>
      <c r="E625" s="112"/>
    </row>
    <row r="626" spans="2:5" x14ac:dyDescent="0.25">
      <c r="B626" s="112"/>
      <c r="C626" s="112"/>
      <c r="D626" s="112"/>
      <c r="E626" s="112"/>
    </row>
    <row r="627" spans="2:5" x14ac:dyDescent="0.25">
      <c r="B627" s="112"/>
      <c r="C627" s="112"/>
      <c r="D627" s="112"/>
      <c r="E627" s="112"/>
    </row>
    <row r="628" spans="2:5" x14ac:dyDescent="0.25">
      <c r="B628" s="112"/>
      <c r="C628" s="112"/>
      <c r="D628" s="112"/>
      <c r="E628" s="112"/>
    </row>
    <row r="629" spans="2:5" x14ac:dyDescent="0.25">
      <c r="B629" s="112"/>
      <c r="C629" s="112"/>
      <c r="D629" s="112"/>
      <c r="E629" s="112"/>
    </row>
    <row r="630" spans="2:5" x14ac:dyDescent="0.25">
      <c r="B630" s="112"/>
      <c r="C630" s="112"/>
      <c r="D630" s="112"/>
      <c r="E630" s="112"/>
    </row>
    <row r="631" spans="2:5" x14ac:dyDescent="0.25">
      <c r="B631" s="112"/>
      <c r="C631" s="112"/>
      <c r="D631" s="112"/>
      <c r="E631" s="112"/>
    </row>
    <row r="632" spans="2:5" x14ac:dyDescent="0.25">
      <c r="B632" s="112"/>
      <c r="C632" s="112"/>
      <c r="D632" s="112"/>
      <c r="E632" s="112"/>
    </row>
    <row r="633" spans="2:5" x14ac:dyDescent="0.25">
      <c r="B633" s="112"/>
      <c r="C633" s="112"/>
      <c r="D633" s="112"/>
      <c r="E633" s="112"/>
    </row>
    <row r="634" spans="2:5" x14ac:dyDescent="0.25">
      <c r="B634" s="112"/>
      <c r="C634" s="112"/>
      <c r="D634" s="112"/>
      <c r="E634" s="112"/>
    </row>
    <row r="635" spans="2:5" x14ac:dyDescent="0.25">
      <c r="B635" s="112"/>
      <c r="C635" s="112"/>
      <c r="D635" s="112"/>
      <c r="E635" s="112"/>
    </row>
    <row r="636" spans="2:5" x14ac:dyDescent="0.25">
      <c r="B636" s="112"/>
      <c r="C636" s="112"/>
      <c r="D636" s="112"/>
      <c r="E636" s="112"/>
    </row>
    <row r="637" spans="2:5" x14ac:dyDescent="0.25">
      <c r="B637" s="112"/>
      <c r="C637" s="112"/>
      <c r="D637" s="112"/>
      <c r="E637" s="112"/>
    </row>
    <row r="638" spans="2:5" x14ac:dyDescent="0.25">
      <c r="B638" s="112"/>
      <c r="C638" s="112"/>
      <c r="D638" s="112"/>
      <c r="E638" s="112"/>
    </row>
    <row r="639" spans="2:5" x14ac:dyDescent="0.25">
      <c r="B639" s="112"/>
      <c r="C639" s="112"/>
      <c r="D639" s="112"/>
      <c r="E639" s="112"/>
    </row>
    <row r="640" spans="2:5" x14ac:dyDescent="0.25">
      <c r="B640" s="112"/>
      <c r="C640" s="112"/>
      <c r="D640" s="112"/>
      <c r="E640" s="112"/>
    </row>
    <row r="641" spans="2:5" x14ac:dyDescent="0.25">
      <c r="B641" s="112"/>
      <c r="C641" s="112"/>
      <c r="D641" s="112"/>
      <c r="E641" s="112"/>
    </row>
    <row r="642" spans="2:5" x14ac:dyDescent="0.25">
      <c r="B642" s="112"/>
      <c r="C642" s="112"/>
      <c r="D642" s="112"/>
      <c r="E642" s="112"/>
    </row>
    <row r="643" spans="2:5" x14ac:dyDescent="0.25">
      <c r="B643" s="112"/>
      <c r="C643" s="112"/>
      <c r="D643" s="112"/>
      <c r="E643" s="112"/>
    </row>
    <row r="644" spans="2:5" x14ac:dyDescent="0.25">
      <c r="B644" s="112"/>
      <c r="C644" s="112"/>
      <c r="D644" s="112"/>
      <c r="E644" s="112"/>
    </row>
    <row r="645" spans="2:5" x14ac:dyDescent="0.25">
      <c r="B645" s="112"/>
      <c r="C645" s="112"/>
      <c r="D645" s="112"/>
      <c r="E645" s="112"/>
    </row>
    <row r="646" spans="2:5" x14ac:dyDescent="0.25">
      <c r="B646" s="112"/>
      <c r="C646" s="112"/>
      <c r="D646" s="112"/>
      <c r="E646" s="112"/>
    </row>
    <row r="647" spans="2:5" x14ac:dyDescent="0.25">
      <c r="B647" s="112"/>
      <c r="C647" s="112"/>
      <c r="D647" s="112"/>
      <c r="E647" s="112"/>
    </row>
    <row r="648" spans="2:5" x14ac:dyDescent="0.25">
      <c r="B648" s="112"/>
      <c r="C648" s="112"/>
      <c r="D648" s="112"/>
      <c r="E648" s="112"/>
    </row>
    <row r="649" spans="2:5" x14ac:dyDescent="0.25">
      <c r="B649" s="112"/>
      <c r="C649" s="112"/>
      <c r="D649" s="112"/>
      <c r="E649" s="112"/>
    </row>
    <row r="650" spans="2:5" x14ac:dyDescent="0.25">
      <c r="B650" s="112"/>
      <c r="C650" s="112"/>
      <c r="D650" s="112"/>
      <c r="E650" s="112"/>
    </row>
    <row r="651" spans="2:5" x14ac:dyDescent="0.25">
      <c r="B651" s="112"/>
      <c r="C651" s="112"/>
      <c r="D651" s="112"/>
      <c r="E651" s="112"/>
    </row>
    <row r="652" spans="2:5" x14ac:dyDescent="0.25">
      <c r="B652" s="112"/>
      <c r="C652" s="112"/>
      <c r="D652" s="112"/>
      <c r="E652" s="112"/>
    </row>
    <row r="653" spans="2:5" x14ac:dyDescent="0.25">
      <c r="B653" s="112"/>
      <c r="C653" s="112"/>
      <c r="D653" s="112"/>
      <c r="E653" s="112"/>
    </row>
    <row r="654" spans="2:5" x14ac:dyDescent="0.25">
      <c r="B654" s="112"/>
      <c r="C654" s="112"/>
      <c r="D654" s="112"/>
      <c r="E654" s="112"/>
    </row>
    <row r="655" spans="2:5" x14ac:dyDescent="0.25">
      <c r="B655" s="112"/>
      <c r="C655" s="112"/>
      <c r="D655" s="112"/>
      <c r="E655" s="112"/>
    </row>
    <row r="656" spans="2:5" x14ac:dyDescent="0.25">
      <c r="B656" s="112"/>
      <c r="C656" s="112"/>
      <c r="D656" s="112"/>
      <c r="E656" s="112"/>
    </row>
    <row r="657" spans="2:5" x14ac:dyDescent="0.25">
      <c r="B657" s="112"/>
      <c r="C657" s="112"/>
      <c r="D657" s="112"/>
      <c r="E657" s="112"/>
    </row>
    <row r="658" spans="2:5" x14ac:dyDescent="0.25">
      <c r="B658" s="112"/>
      <c r="C658" s="112"/>
      <c r="D658" s="112"/>
      <c r="E658" s="112"/>
    </row>
    <row r="659" spans="2:5" x14ac:dyDescent="0.25">
      <c r="B659" s="112"/>
      <c r="C659" s="112"/>
      <c r="D659" s="112"/>
      <c r="E659" s="112"/>
    </row>
    <row r="660" spans="2:5" x14ac:dyDescent="0.25">
      <c r="B660" s="112"/>
      <c r="C660" s="112"/>
      <c r="D660" s="112"/>
      <c r="E660" s="112"/>
    </row>
    <row r="661" spans="2:5" x14ac:dyDescent="0.25">
      <c r="B661" s="112"/>
      <c r="C661" s="112"/>
      <c r="D661" s="112"/>
      <c r="E661" s="112"/>
    </row>
    <row r="662" spans="2:5" x14ac:dyDescent="0.25">
      <c r="B662" s="112"/>
      <c r="C662" s="112"/>
      <c r="D662" s="112"/>
      <c r="E662" s="112"/>
    </row>
    <row r="663" spans="2:5" x14ac:dyDescent="0.25">
      <c r="B663" s="112"/>
      <c r="C663" s="112"/>
      <c r="D663" s="112"/>
      <c r="E663" s="112"/>
    </row>
    <row r="664" spans="2:5" x14ac:dyDescent="0.25">
      <c r="B664" s="112"/>
      <c r="C664" s="112"/>
      <c r="D664" s="112"/>
      <c r="E664" s="112"/>
    </row>
    <row r="665" spans="2:5" x14ac:dyDescent="0.25">
      <c r="B665" s="112"/>
      <c r="C665" s="112"/>
      <c r="D665" s="112"/>
      <c r="E665" s="112"/>
    </row>
    <row r="666" spans="2:5" x14ac:dyDescent="0.25">
      <c r="B666" s="112"/>
      <c r="C666" s="112"/>
      <c r="D666" s="112"/>
      <c r="E666" s="112"/>
    </row>
    <row r="667" spans="2:5" x14ac:dyDescent="0.25">
      <c r="B667" s="112"/>
      <c r="C667" s="112"/>
      <c r="D667" s="112"/>
      <c r="E667" s="112"/>
    </row>
    <row r="668" spans="2:5" x14ac:dyDescent="0.25">
      <c r="B668" s="112"/>
      <c r="C668" s="112"/>
      <c r="D668" s="112"/>
      <c r="E668" s="112"/>
    </row>
    <row r="669" spans="2:5" x14ac:dyDescent="0.25">
      <c r="B669" s="112"/>
      <c r="C669" s="112"/>
      <c r="D669" s="112"/>
      <c r="E669" s="112"/>
    </row>
    <row r="670" spans="2:5" x14ac:dyDescent="0.25">
      <c r="B670" s="112"/>
      <c r="C670" s="112"/>
      <c r="D670" s="112"/>
      <c r="E670" s="112"/>
    </row>
    <row r="671" spans="2:5" x14ac:dyDescent="0.25">
      <c r="B671" s="112"/>
      <c r="C671" s="112"/>
      <c r="D671" s="112"/>
      <c r="E671" s="112"/>
    </row>
    <row r="672" spans="2:5" x14ac:dyDescent="0.25">
      <c r="B672" s="112"/>
      <c r="C672" s="112"/>
      <c r="D672" s="112"/>
      <c r="E672" s="112"/>
    </row>
    <row r="673" spans="2:5" x14ac:dyDescent="0.25">
      <c r="B673" s="112"/>
      <c r="C673" s="112"/>
      <c r="D673" s="112"/>
      <c r="E673" s="112"/>
    </row>
    <row r="674" spans="2:5" x14ac:dyDescent="0.25">
      <c r="B674" s="112"/>
      <c r="C674" s="112"/>
      <c r="D674" s="112"/>
      <c r="E674" s="112"/>
    </row>
    <row r="675" spans="2:5" x14ac:dyDescent="0.25">
      <c r="B675" s="112"/>
      <c r="C675" s="112"/>
      <c r="D675" s="112"/>
      <c r="E675" s="112"/>
    </row>
    <row r="676" spans="2:5" x14ac:dyDescent="0.25">
      <c r="B676" s="112"/>
      <c r="C676" s="112"/>
      <c r="D676" s="112"/>
      <c r="E676" s="112"/>
    </row>
    <row r="677" spans="2:5" x14ac:dyDescent="0.25">
      <c r="B677" s="112"/>
      <c r="C677" s="112"/>
      <c r="D677" s="112"/>
      <c r="E677" s="112"/>
    </row>
    <row r="678" spans="2:5" x14ac:dyDescent="0.25">
      <c r="B678" s="112"/>
      <c r="C678" s="112"/>
      <c r="D678" s="112"/>
      <c r="E678" s="112"/>
    </row>
    <row r="679" spans="2:5" x14ac:dyDescent="0.25">
      <c r="B679" s="112"/>
      <c r="C679" s="112"/>
      <c r="D679" s="112"/>
      <c r="E679" s="112"/>
    </row>
    <row r="680" spans="2:5" x14ac:dyDescent="0.25">
      <c r="B680" s="112"/>
      <c r="C680" s="112"/>
      <c r="D680" s="112"/>
      <c r="E680" s="112"/>
    </row>
    <row r="681" spans="2:5" x14ac:dyDescent="0.25">
      <c r="B681" s="112"/>
      <c r="C681" s="112"/>
      <c r="D681" s="112"/>
      <c r="E681" s="112"/>
    </row>
    <row r="682" spans="2:5" x14ac:dyDescent="0.25">
      <c r="B682" s="112"/>
      <c r="C682" s="112"/>
      <c r="D682" s="112"/>
      <c r="E682" s="112"/>
    </row>
    <row r="683" spans="2:5" x14ac:dyDescent="0.25">
      <c r="B683" s="112"/>
      <c r="C683" s="112"/>
      <c r="D683" s="112"/>
      <c r="E683" s="112"/>
    </row>
    <row r="684" spans="2:5" x14ac:dyDescent="0.25">
      <c r="B684" s="112"/>
      <c r="C684" s="112"/>
      <c r="D684" s="112"/>
      <c r="E684" s="112"/>
    </row>
    <row r="685" spans="2:5" x14ac:dyDescent="0.25">
      <c r="B685" s="112"/>
      <c r="C685" s="112"/>
      <c r="D685" s="112"/>
      <c r="E685" s="112"/>
    </row>
    <row r="686" spans="2:5" x14ac:dyDescent="0.25">
      <c r="B686" s="112"/>
      <c r="C686" s="112"/>
      <c r="D686" s="112"/>
      <c r="E686" s="112"/>
    </row>
    <row r="687" spans="2:5" x14ac:dyDescent="0.25">
      <c r="B687" s="112"/>
      <c r="C687" s="112"/>
      <c r="D687" s="112"/>
      <c r="E687" s="112"/>
    </row>
    <row r="688" spans="2:5" x14ac:dyDescent="0.25">
      <c r="B688" s="112"/>
      <c r="C688" s="112"/>
      <c r="D688" s="112"/>
      <c r="E688" s="112"/>
    </row>
    <row r="689" spans="2:5" x14ac:dyDescent="0.25">
      <c r="B689" s="112"/>
      <c r="C689" s="112"/>
      <c r="D689" s="112"/>
      <c r="E689" s="112"/>
    </row>
    <row r="690" spans="2:5" x14ac:dyDescent="0.25">
      <c r="B690" s="112"/>
      <c r="C690" s="112"/>
      <c r="D690" s="112"/>
      <c r="E690" s="112"/>
    </row>
    <row r="691" spans="2:5" x14ac:dyDescent="0.25">
      <c r="B691" s="112"/>
      <c r="C691" s="112"/>
      <c r="D691" s="112"/>
      <c r="E691" s="112"/>
    </row>
    <row r="692" spans="2:5" x14ac:dyDescent="0.25">
      <c r="B692" s="112"/>
      <c r="C692" s="112"/>
      <c r="D692" s="112"/>
      <c r="E692" s="112"/>
    </row>
    <row r="693" spans="2:5" x14ac:dyDescent="0.25">
      <c r="B693" s="112"/>
      <c r="C693" s="112"/>
      <c r="D693" s="112"/>
      <c r="E693" s="112"/>
    </row>
    <row r="694" spans="2:5" x14ac:dyDescent="0.25">
      <c r="B694" s="112"/>
      <c r="C694" s="112"/>
      <c r="D694" s="112"/>
      <c r="E694" s="112"/>
    </row>
    <row r="695" spans="2:5" x14ac:dyDescent="0.25">
      <c r="B695" s="112"/>
      <c r="C695" s="112"/>
      <c r="D695" s="112"/>
      <c r="E695" s="112"/>
    </row>
    <row r="696" spans="2:5" x14ac:dyDescent="0.25">
      <c r="B696" s="112"/>
      <c r="C696" s="112"/>
      <c r="D696" s="112"/>
      <c r="E696" s="112"/>
    </row>
    <row r="697" spans="2:5" x14ac:dyDescent="0.25">
      <c r="B697" s="112"/>
      <c r="C697" s="112"/>
      <c r="D697" s="112"/>
      <c r="E697" s="112"/>
    </row>
    <row r="698" spans="2:5" x14ac:dyDescent="0.25">
      <c r="B698" s="112"/>
      <c r="C698" s="112"/>
      <c r="D698" s="112"/>
      <c r="E698" s="112"/>
    </row>
    <row r="699" spans="2:5" x14ac:dyDescent="0.25">
      <c r="B699" s="112"/>
      <c r="C699" s="112"/>
      <c r="D699" s="112"/>
      <c r="E699" s="112"/>
    </row>
    <row r="700" spans="2:5" x14ac:dyDescent="0.25">
      <c r="B700" s="112"/>
      <c r="C700" s="112"/>
      <c r="D700" s="112"/>
      <c r="E700" s="112"/>
    </row>
    <row r="701" spans="2:5" x14ac:dyDescent="0.25">
      <c r="B701" s="112"/>
      <c r="C701" s="112"/>
      <c r="D701" s="112"/>
      <c r="E701" s="112"/>
    </row>
    <row r="702" spans="2:5" x14ac:dyDescent="0.25">
      <c r="B702" s="112"/>
      <c r="C702" s="112"/>
      <c r="D702" s="112"/>
      <c r="E702" s="112"/>
    </row>
    <row r="703" spans="2:5" x14ac:dyDescent="0.25">
      <c r="B703" s="112"/>
      <c r="C703" s="112"/>
      <c r="D703" s="112"/>
      <c r="E703" s="112"/>
    </row>
    <row r="704" spans="2:5" x14ac:dyDescent="0.25">
      <c r="B704" s="112"/>
      <c r="C704" s="112"/>
      <c r="D704" s="112"/>
      <c r="E704" s="112"/>
    </row>
    <row r="705" spans="2:5" x14ac:dyDescent="0.25">
      <c r="B705" s="112"/>
      <c r="C705" s="112"/>
      <c r="D705" s="112"/>
      <c r="E705" s="112"/>
    </row>
    <row r="706" spans="2:5" x14ac:dyDescent="0.25">
      <c r="B706" s="112"/>
      <c r="C706" s="112"/>
      <c r="D706" s="112"/>
      <c r="E706" s="112"/>
    </row>
    <row r="707" spans="2:5" x14ac:dyDescent="0.25">
      <c r="B707" s="112"/>
      <c r="C707" s="112"/>
      <c r="D707" s="112"/>
      <c r="E707" s="112"/>
    </row>
    <row r="708" spans="2:5" x14ac:dyDescent="0.25">
      <c r="B708" s="112"/>
      <c r="C708" s="112"/>
      <c r="D708" s="112"/>
      <c r="E708" s="112"/>
    </row>
    <row r="709" spans="2:5" x14ac:dyDescent="0.25">
      <c r="B709" s="112"/>
      <c r="C709" s="112"/>
      <c r="D709" s="112"/>
      <c r="E709" s="112"/>
    </row>
    <row r="710" spans="2:5" x14ac:dyDescent="0.25">
      <c r="B710" s="112"/>
      <c r="C710" s="112"/>
      <c r="D710" s="112"/>
      <c r="E710" s="112"/>
    </row>
    <row r="711" spans="2:5" x14ac:dyDescent="0.25">
      <c r="B711" s="112"/>
      <c r="C711" s="112"/>
      <c r="D711" s="112"/>
      <c r="E711" s="112"/>
    </row>
    <row r="712" spans="2:5" x14ac:dyDescent="0.25">
      <c r="B712" s="112"/>
      <c r="C712" s="112"/>
      <c r="D712" s="112"/>
      <c r="E712" s="112"/>
    </row>
    <row r="713" spans="2:5" x14ac:dyDescent="0.25">
      <c r="B713" s="112"/>
      <c r="C713" s="112"/>
      <c r="D713" s="112"/>
      <c r="E713" s="112"/>
    </row>
    <row r="714" spans="2:5" x14ac:dyDescent="0.25">
      <c r="B714" s="112"/>
      <c r="C714" s="112"/>
      <c r="D714" s="112"/>
      <c r="E714" s="112"/>
    </row>
    <row r="715" spans="2:5" x14ac:dyDescent="0.25">
      <c r="B715" s="112"/>
      <c r="C715" s="112"/>
      <c r="D715" s="112"/>
      <c r="E715" s="112"/>
    </row>
    <row r="716" spans="2:5" x14ac:dyDescent="0.25">
      <c r="B716" s="112"/>
      <c r="C716" s="112"/>
      <c r="D716" s="112"/>
      <c r="E716" s="112"/>
    </row>
    <row r="717" spans="2:5" x14ac:dyDescent="0.25">
      <c r="B717" s="112"/>
      <c r="C717" s="112"/>
      <c r="D717" s="112"/>
      <c r="E717" s="112"/>
    </row>
    <row r="718" spans="2:5" x14ac:dyDescent="0.25">
      <c r="B718" s="112"/>
      <c r="C718" s="112"/>
      <c r="D718" s="112"/>
      <c r="E718" s="112"/>
    </row>
    <row r="719" spans="2:5" x14ac:dyDescent="0.25">
      <c r="B719" s="112"/>
      <c r="C719" s="112"/>
      <c r="D719" s="112"/>
      <c r="E719" s="112"/>
    </row>
    <row r="720" spans="2:5" x14ac:dyDescent="0.25">
      <c r="B720" s="112"/>
      <c r="C720" s="112"/>
      <c r="D720" s="112"/>
      <c r="E720" s="112"/>
    </row>
    <row r="721" spans="2:5" x14ac:dyDescent="0.25">
      <c r="B721" s="112"/>
      <c r="C721" s="112"/>
      <c r="D721" s="112"/>
      <c r="E721" s="112"/>
    </row>
    <row r="722" spans="2:5" x14ac:dyDescent="0.25">
      <c r="B722" s="112"/>
      <c r="C722" s="112"/>
      <c r="D722" s="112"/>
      <c r="E722" s="112"/>
    </row>
    <row r="723" spans="2:5" x14ac:dyDescent="0.25">
      <c r="B723" s="112"/>
      <c r="C723" s="112"/>
      <c r="D723" s="112"/>
      <c r="E723" s="112"/>
    </row>
    <row r="724" spans="2:5" x14ac:dyDescent="0.25">
      <c r="B724" s="112"/>
      <c r="C724" s="112"/>
      <c r="D724" s="112"/>
      <c r="E724" s="112"/>
    </row>
    <row r="725" spans="2:5" x14ac:dyDescent="0.25">
      <c r="B725" s="112"/>
      <c r="C725" s="112"/>
      <c r="D725" s="112"/>
      <c r="E725" s="112"/>
    </row>
    <row r="726" spans="2:5" x14ac:dyDescent="0.25">
      <c r="B726" s="112"/>
      <c r="C726" s="112"/>
      <c r="D726" s="112"/>
      <c r="E726" s="112"/>
    </row>
    <row r="727" spans="2:5" x14ac:dyDescent="0.25">
      <c r="B727" s="112"/>
      <c r="C727" s="112"/>
      <c r="D727" s="112"/>
      <c r="E727" s="112"/>
    </row>
    <row r="728" spans="2:5" x14ac:dyDescent="0.25">
      <c r="B728" s="112"/>
      <c r="C728" s="112"/>
      <c r="D728" s="112"/>
      <c r="E728" s="112"/>
    </row>
    <row r="729" spans="2:5" x14ac:dyDescent="0.25">
      <c r="B729" s="112"/>
      <c r="C729" s="112"/>
      <c r="D729" s="112"/>
      <c r="E729" s="112"/>
    </row>
    <row r="730" spans="2:5" x14ac:dyDescent="0.25">
      <c r="B730" s="112"/>
      <c r="C730" s="112"/>
      <c r="D730" s="112"/>
      <c r="E730" s="112"/>
    </row>
    <row r="731" spans="2:5" x14ac:dyDescent="0.25">
      <c r="B731" s="112"/>
      <c r="C731" s="112"/>
      <c r="D731" s="112"/>
      <c r="E731" s="112"/>
    </row>
    <row r="732" spans="2:5" x14ac:dyDescent="0.25">
      <c r="B732" s="112"/>
      <c r="C732" s="112"/>
      <c r="D732" s="112"/>
      <c r="E732" s="112"/>
    </row>
    <row r="733" spans="2:5" x14ac:dyDescent="0.25">
      <c r="B733" s="112"/>
      <c r="C733" s="112"/>
      <c r="D733" s="112"/>
      <c r="E733" s="112"/>
    </row>
    <row r="734" spans="2:5" x14ac:dyDescent="0.25">
      <c r="B734" s="112"/>
      <c r="C734" s="112"/>
      <c r="D734" s="112"/>
      <c r="E734" s="112"/>
    </row>
    <row r="735" spans="2:5" x14ac:dyDescent="0.25">
      <c r="B735" s="112"/>
      <c r="C735" s="112"/>
      <c r="D735" s="112"/>
      <c r="E735" s="112"/>
    </row>
    <row r="736" spans="2:5" x14ac:dyDescent="0.25">
      <c r="B736" s="112"/>
      <c r="C736" s="112"/>
      <c r="D736" s="112"/>
      <c r="E736" s="112"/>
    </row>
    <row r="737" spans="2:5" x14ac:dyDescent="0.25">
      <c r="B737" s="112"/>
      <c r="C737" s="112"/>
      <c r="D737" s="112"/>
      <c r="E737" s="112"/>
    </row>
    <row r="738" spans="2:5" x14ac:dyDescent="0.25">
      <c r="B738" s="112"/>
      <c r="C738" s="112"/>
      <c r="D738" s="112"/>
      <c r="E738" s="112"/>
    </row>
    <row r="739" spans="2:5" x14ac:dyDescent="0.25">
      <c r="B739" s="112"/>
      <c r="C739" s="112"/>
      <c r="D739" s="112"/>
      <c r="E739" s="112"/>
    </row>
    <row r="740" spans="2:5" x14ac:dyDescent="0.25">
      <c r="B740" s="112"/>
      <c r="C740" s="112"/>
      <c r="D740" s="112"/>
      <c r="E740" s="112"/>
    </row>
    <row r="741" spans="2:5" x14ac:dyDescent="0.25">
      <c r="B741" s="112"/>
      <c r="C741" s="112"/>
      <c r="D741" s="112"/>
      <c r="E741" s="112"/>
    </row>
    <row r="742" spans="2:5" x14ac:dyDescent="0.25">
      <c r="B742" s="112"/>
      <c r="C742" s="112"/>
      <c r="D742" s="112"/>
      <c r="E742" s="112"/>
    </row>
    <row r="743" spans="2:5" x14ac:dyDescent="0.25">
      <c r="B743" s="112"/>
      <c r="C743" s="112"/>
      <c r="D743" s="112"/>
      <c r="E743" s="112"/>
    </row>
    <row r="744" spans="2:5" x14ac:dyDescent="0.25">
      <c r="B744" s="112"/>
      <c r="C744" s="112"/>
      <c r="D744" s="112"/>
      <c r="E744" s="112"/>
    </row>
    <row r="745" spans="2:5" x14ac:dyDescent="0.25">
      <c r="B745" s="112"/>
      <c r="C745" s="112"/>
      <c r="D745" s="112"/>
      <c r="E745" s="112"/>
    </row>
    <row r="746" spans="2:5" x14ac:dyDescent="0.25">
      <c r="B746" s="112"/>
      <c r="C746" s="112"/>
      <c r="D746" s="112"/>
      <c r="E746" s="112"/>
    </row>
    <row r="747" spans="2:5" x14ac:dyDescent="0.25">
      <c r="B747" s="112"/>
      <c r="C747" s="112"/>
      <c r="D747" s="112"/>
      <c r="E747" s="112"/>
    </row>
    <row r="748" spans="2:5" x14ac:dyDescent="0.25">
      <c r="B748" s="112"/>
      <c r="C748" s="112"/>
      <c r="D748" s="112"/>
      <c r="E748" s="112"/>
    </row>
    <row r="749" spans="2:5" x14ac:dyDescent="0.25">
      <c r="B749" s="112"/>
      <c r="C749" s="112"/>
      <c r="D749" s="112"/>
      <c r="E749" s="112"/>
    </row>
    <row r="750" spans="2:5" x14ac:dyDescent="0.25">
      <c r="B750" s="112"/>
      <c r="C750" s="112"/>
      <c r="D750" s="112"/>
      <c r="E750" s="112"/>
    </row>
    <row r="751" spans="2:5" x14ac:dyDescent="0.25">
      <c r="B751" s="112"/>
      <c r="C751" s="112"/>
      <c r="D751" s="112"/>
      <c r="E751" s="112"/>
    </row>
    <row r="752" spans="2:5" x14ac:dyDescent="0.25">
      <c r="B752" s="112"/>
      <c r="C752" s="112"/>
      <c r="D752" s="112"/>
      <c r="E752" s="112"/>
    </row>
    <row r="753" spans="2:5" x14ac:dyDescent="0.25">
      <c r="B753" s="112"/>
      <c r="C753" s="112"/>
      <c r="D753" s="112"/>
      <c r="E753" s="112"/>
    </row>
    <row r="754" spans="2:5" x14ac:dyDescent="0.25">
      <c r="B754" s="112"/>
      <c r="C754" s="112"/>
      <c r="D754" s="112"/>
      <c r="E754" s="112"/>
    </row>
    <row r="755" spans="2:5" x14ac:dyDescent="0.25">
      <c r="B755" s="112"/>
      <c r="C755" s="112"/>
      <c r="D755" s="112"/>
      <c r="E755" s="112"/>
    </row>
    <row r="756" spans="2:5" x14ac:dyDescent="0.25">
      <c r="B756" s="112"/>
      <c r="C756" s="112"/>
      <c r="D756" s="112"/>
      <c r="E756" s="112"/>
    </row>
    <row r="757" spans="2:5" x14ac:dyDescent="0.25">
      <c r="B757" s="112"/>
      <c r="C757" s="112"/>
      <c r="D757" s="112"/>
      <c r="E757" s="112"/>
    </row>
    <row r="758" spans="2:5" x14ac:dyDescent="0.25">
      <c r="B758" s="112"/>
      <c r="C758" s="112"/>
      <c r="D758" s="112"/>
      <c r="E758" s="112"/>
    </row>
    <row r="759" spans="2:5" x14ac:dyDescent="0.25">
      <c r="B759" s="112"/>
      <c r="C759" s="112"/>
      <c r="D759" s="112"/>
      <c r="E759" s="112"/>
    </row>
    <row r="760" spans="2:5" x14ac:dyDescent="0.25">
      <c r="B760" s="112"/>
      <c r="C760" s="112"/>
      <c r="D760" s="112"/>
      <c r="E760" s="112"/>
    </row>
    <row r="761" spans="2:5" x14ac:dyDescent="0.25">
      <c r="B761" s="112"/>
      <c r="C761" s="112"/>
      <c r="D761" s="112"/>
      <c r="E761" s="112"/>
    </row>
    <row r="762" spans="2:5" x14ac:dyDescent="0.25">
      <c r="B762" s="112"/>
      <c r="C762" s="112"/>
      <c r="D762" s="112"/>
      <c r="E762" s="112"/>
    </row>
    <row r="763" spans="2:5" x14ac:dyDescent="0.25">
      <c r="B763" s="112"/>
      <c r="C763" s="112"/>
      <c r="D763" s="112"/>
      <c r="E763" s="112"/>
    </row>
    <row r="764" spans="2:5" x14ac:dyDescent="0.25">
      <c r="B764" s="112"/>
      <c r="C764" s="112"/>
      <c r="D764" s="112"/>
      <c r="E764" s="112"/>
    </row>
    <row r="765" spans="2:5" x14ac:dyDescent="0.25">
      <c r="B765" s="112"/>
      <c r="C765" s="112"/>
      <c r="D765" s="112"/>
      <c r="E765" s="112"/>
    </row>
    <row r="766" spans="2:5" x14ac:dyDescent="0.25">
      <c r="B766" s="112"/>
      <c r="C766" s="112"/>
      <c r="D766" s="112"/>
      <c r="E766" s="112"/>
    </row>
    <row r="767" spans="2:5" x14ac:dyDescent="0.25">
      <c r="B767" s="112"/>
      <c r="C767" s="112"/>
      <c r="D767" s="112"/>
      <c r="E767" s="112"/>
    </row>
    <row r="768" spans="2:5" x14ac:dyDescent="0.25">
      <c r="B768" s="112"/>
      <c r="C768" s="112"/>
      <c r="D768" s="112"/>
      <c r="E768" s="112"/>
    </row>
    <row r="769" spans="2:5" x14ac:dyDescent="0.25">
      <c r="B769" s="112"/>
      <c r="C769" s="112"/>
      <c r="D769" s="112"/>
      <c r="E769" s="112"/>
    </row>
    <row r="770" spans="2:5" x14ac:dyDescent="0.25">
      <c r="B770" s="112"/>
      <c r="C770" s="112"/>
      <c r="D770" s="112"/>
      <c r="E770" s="112"/>
    </row>
    <row r="771" spans="2:5" x14ac:dyDescent="0.25">
      <c r="B771" s="112"/>
      <c r="C771" s="112"/>
      <c r="D771" s="112"/>
      <c r="E771" s="112"/>
    </row>
    <row r="772" spans="2:5" x14ac:dyDescent="0.25">
      <c r="B772" s="112"/>
      <c r="C772" s="112"/>
      <c r="D772" s="112"/>
      <c r="E772" s="112"/>
    </row>
    <row r="773" spans="2:5" x14ac:dyDescent="0.25">
      <c r="B773" s="112"/>
      <c r="C773" s="112"/>
      <c r="D773" s="112"/>
      <c r="E773" s="112"/>
    </row>
    <row r="774" spans="2:5" x14ac:dyDescent="0.25">
      <c r="B774" s="112"/>
      <c r="C774" s="112"/>
      <c r="D774" s="112"/>
      <c r="E774" s="112"/>
    </row>
    <row r="775" spans="2:5" x14ac:dyDescent="0.25">
      <c r="B775" s="112"/>
      <c r="C775" s="112"/>
      <c r="D775" s="112"/>
      <c r="E775" s="112"/>
    </row>
    <row r="776" spans="2:5" x14ac:dyDescent="0.25">
      <c r="B776" s="112"/>
      <c r="C776" s="112"/>
      <c r="D776" s="112"/>
      <c r="E776" s="112"/>
    </row>
    <row r="777" spans="2:5" x14ac:dyDescent="0.25">
      <c r="B777" s="112"/>
      <c r="C777" s="112"/>
      <c r="D777" s="112"/>
      <c r="E777" s="112"/>
    </row>
    <row r="778" spans="2:5" x14ac:dyDescent="0.25">
      <c r="B778" s="112"/>
      <c r="C778" s="112"/>
      <c r="D778" s="112"/>
      <c r="E778" s="112"/>
    </row>
    <row r="779" spans="2:5" x14ac:dyDescent="0.25">
      <c r="B779" s="112"/>
      <c r="C779" s="112"/>
      <c r="D779" s="112"/>
      <c r="E779" s="112"/>
    </row>
    <row r="780" spans="2:5" x14ac:dyDescent="0.25">
      <c r="B780" s="112"/>
      <c r="C780" s="112"/>
      <c r="D780" s="112"/>
      <c r="E780" s="112"/>
    </row>
    <row r="781" spans="2:5" x14ac:dyDescent="0.25">
      <c r="B781" s="112"/>
      <c r="C781" s="112"/>
      <c r="D781" s="112"/>
      <c r="E781" s="112"/>
    </row>
    <row r="782" spans="2:5" x14ac:dyDescent="0.25">
      <c r="B782" s="112"/>
      <c r="C782" s="112"/>
      <c r="D782" s="112"/>
      <c r="E782" s="112"/>
    </row>
    <row r="783" spans="2:5" x14ac:dyDescent="0.25">
      <c r="B783" s="112"/>
      <c r="C783" s="112"/>
      <c r="D783" s="112"/>
      <c r="E783" s="112"/>
    </row>
    <row r="784" spans="2:5" x14ac:dyDescent="0.25">
      <c r="B784" s="112"/>
      <c r="C784" s="112"/>
      <c r="D784" s="112"/>
      <c r="E784" s="112"/>
    </row>
    <row r="785" spans="2:5" x14ac:dyDescent="0.25">
      <c r="B785" s="112"/>
      <c r="C785" s="112"/>
      <c r="D785" s="112"/>
      <c r="E785" s="112"/>
    </row>
    <row r="786" spans="2:5" x14ac:dyDescent="0.25">
      <c r="B786" s="112"/>
      <c r="C786" s="112"/>
      <c r="D786" s="112"/>
      <c r="E786" s="112"/>
    </row>
    <row r="787" spans="2:5" x14ac:dyDescent="0.25">
      <c r="B787" s="112"/>
      <c r="C787" s="112"/>
      <c r="D787" s="112"/>
      <c r="E787" s="112"/>
    </row>
    <row r="788" spans="2:5" x14ac:dyDescent="0.25">
      <c r="B788" s="112"/>
      <c r="C788" s="112"/>
      <c r="D788" s="112"/>
      <c r="E788" s="112"/>
    </row>
    <row r="789" spans="2:5" x14ac:dyDescent="0.25">
      <c r="B789" s="112"/>
      <c r="C789" s="112"/>
      <c r="D789" s="112"/>
      <c r="E789" s="112"/>
    </row>
    <row r="790" spans="2:5" x14ac:dyDescent="0.25">
      <c r="B790" s="112"/>
      <c r="C790" s="112"/>
      <c r="D790" s="112"/>
      <c r="E790" s="112"/>
    </row>
    <row r="791" spans="2:5" x14ac:dyDescent="0.25">
      <c r="B791" s="112"/>
      <c r="C791" s="112"/>
      <c r="D791" s="112"/>
      <c r="E791" s="112"/>
    </row>
    <row r="792" spans="2:5" x14ac:dyDescent="0.25">
      <c r="B792" s="112"/>
      <c r="C792" s="112"/>
      <c r="D792" s="112"/>
      <c r="E792" s="112"/>
    </row>
    <row r="793" spans="2:5" x14ac:dyDescent="0.25">
      <c r="B793" s="112"/>
      <c r="C793" s="112"/>
      <c r="D793" s="112"/>
      <c r="E793" s="112"/>
    </row>
    <row r="794" spans="2:5" x14ac:dyDescent="0.25">
      <c r="B794" s="112"/>
      <c r="C794" s="112"/>
      <c r="D794" s="112"/>
      <c r="E794" s="112"/>
    </row>
    <row r="795" spans="2:5" x14ac:dyDescent="0.25">
      <c r="B795" s="112"/>
      <c r="C795" s="112"/>
      <c r="D795" s="112"/>
      <c r="E795" s="112"/>
    </row>
    <row r="796" spans="2:5" x14ac:dyDescent="0.25">
      <c r="B796" s="112"/>
      <c r="C796" s="112"/>
      <c r="D796" s="112"/>
      <c r="E796" s="112"/>
    </row>
    <row r="797" spans="2:5" x14ac:dyDescent="0.25">
      <c r="B797" s="112"/>
      <c r="C797" s="112"/>
      <c r="D797" s="112"/>
      <c r="E797" s="112"/>
    </row>
    <row r="798" spans="2:5" x14ac:dyDescent="0.25">
      <c r="B798" s="112"/>
      <c r="C798" s="112"/>
      <c r="D798" s="112"/>
      <c r="E798" s="112"/>
    </row>
    <row r="799" spans="2:5" x14ac:dyDescent="0.25">
      <c r="B799" s="112"/>
      <c r="C799" s="112"/>
      <c r="D799" s="112"/>
      <c r="E799" s="112"/>
    </row>
    <row r="800" spans="2:5" x14ac:dyDescent="0.25">
      <c r="B800" s="112"/>
      <c r="C800" s="112"/>
      <c r="D800" s="112"/>
      <c r="E800" s="112"/>
    </row>
    <row r="801" spans="2:5" x14ac:dyDescent="0.25">
      <c r="B801" s="112"/>
      <c r="C801" s="112"/>
      <c r="D801" s="112"/>
      <c r="E801" s="112"/>
    </row>
    <row r="802" spans="2:5" x14ac:dyDescent="0.25">
      <c r="B802" s="112"/>
      <c r="C802" s="112"/>
      <c r="D802" s="112"/>
      <c r="E802" s="112"/>
    </row>
    <row r="803" spans="2:5" x14ac:dyDescent="0.25">
      <c r="B803" s="112"/>
      <c r="C803" s="112"/>
      <c r="D803" s="112"/>
      <c r="E803" s="112"/>
    </row>
    <row r="804" spans="2:5" x14ac:dyDescent="0.25">
      <c r="B804" s="112"/>
      <c r="C804" s="112"/>
      <c r="D804" s="112"/>
      <c r="E804" s="112"/>
    </row>
    <row r="805" spans="2:5" x14ac:dyDescent="0.25">
      <c r="B805" s="112"/>
      <c r="C805" s="112"/>
      <c r="D805" s="112"/>
      <c r="E805" s="112"/>
    </row>
    <row r="806" spans="2:5" x14ac:dyDescent="0.25">
      <c r="B806" s="112"/>
      <c r="C806" s="112"/>
      <c r="D806" s="112"/>
      <c r="E806" s="112"/>
    </row>
    <row r="807" spans="2:5" x14ac:dyDescent="0.25">
      <c r="B807" s="112"/>
      <c r="C807" s="112"/>
      <c r="D807" s="112"/>
      <c r="E807" s="112"/>
    </row>
    <row r="808" spans="2:5" x14ac:dyDescent="0.25">
      <c r="B808" s="112"/>
      <c r="C808" s="112"/>
      <c r="D808" s="112"/>
      <c r="E808" s="112"/>
    </row>
    <row r="809" spans="2:5" x14ac:dyDescent="0.25">
      <c r="B809" s="112"/>
      <c r="C809" s="112"/>
      <c r="D809" s="112"/>
      <c r="E809" s="112"/>
    </row>
    <row r="810" spans="2:5" x14ac:dyDescent="0.25">
      <c r="B810" s="112"/>
      <c r="C810" s="112"/>
      <c r="D810" s="112"/>
      <c r="E810" s="112"/>
    </row>
    <row r="811" spans="2:5" x14ac:dyDescent="0.25">
      <c r="B811" s="112"/>
      <c r="C811" s="112"/>
      <c r="D811" s="112"/>
      <c r="E811" s="112"/>
    </row>
    <row r="812" spans="2:5" x14ac:dyDescent="0.25">
      <c r="B812" s="112"/>
      <c r="C812" s="112"/>
      <c r="D812" s="112"/>
      <c r="E812" s="112"/>
    </row>
    <row r="813" spans="2:5" x14ac:dyDescent="0.25">
      <c r="B813" s="112"/>
      <c r="C813" s="112"/>
      <c r="D813" s="112"/>
      <c r="E813" s="112"/>
    </row>
    <row r="814" spans="2:5" x14ac:dyDescent="0.25">
      <c r="B814" s="112"/>
      <c r="C814" s="112"/>
      <c r="D814" s="112"/>
      <c r="E814" s="112"/>
    </row>
    <row r="815" spans="2:5" x14ac:dyDescent="0.25">
      <c r="B815" s="112"/>
      <c r="C815" s="112"/>
      <c r="D815" s="112"/>
      <c r="E815" s="112"/>
    </row>
    <row r="816" spans="2:5" x14ac:dyDescent="0.25">
      <c r="B816" s="112"/>
      <c r="C816" s="112"/>
      <c r="D816" s="112"/>
      <c r="E816" s="112"/>
    </row>
    <row r="817" spans="2:5" x14ac:dyDescent="0.25">
      <c r="B817" s="112"/>
      <c r="C817" s="112"/>
      <c r="D817" s="112"/>
      <c r="E817" s="112"/>
    </row>
    <row r="818" spans="2:5" x14ac:dyDescent="0.25">
      <c r="B818" s="112"/>
      <c r="C818" s="112"/>
      <c r="D818" s="112"/>
      <c r="E818" s="112"/>
    </row>
    <row r="819" spans="2:5" x14ac:dyDescent="0.25">
      <c r="B819" s="112"/>
      <c r="C819" s="112"/>
      <c r="D819" s="112"/>
      <c r="E819" s="112"/>
    </row>
    <row r="820" spans="2:5" x14ac:dyDescent="0.25">
      <c r="B820" s="112"/>
      <c r="C820" s="112"/>
      <c r="D820" s="112"/>
      <c r="E820" s="112"/>
    </row>
    <row r="821" spans="2:5" x14ac:dyDescent="0.25">
      <c r="B821" s="112"/>
      <c r="C821" s="112"/>
      <c r="D821" s="112"/>
      <c r="E821" s="112"/>
    </row>
    <row r="822" spans="2:5" x14ac:dyDescent="0.25">
      <c r="B822" s="112"/>
      <c r="C822" s="112"/>
      <c r="D822" s="112"/>
      <c r="E822" s="112"/>
    </row>
    <row r="823" spans="2:5" x14ac:dyDescent="0.25">
      <c r="B823" s="112"/>
      <c r="C823" s="112"/>
      <c r="D823" s="112"/>
      <c r="E823" s="112"/>
    </row>
    <row r="824" spans="2:5" x14ac:dyDescent="0.25">
      <c r="B824" s="112"/>
      <c r="C824" s="112"/>
      <c r="D824" s="112"/>
      <c r="E824" s="112"/>
    </row>
    <row r="825" spans="2:5" x14ac:dyDescent="0.25">
      <c r="B825" s="112"/>
      <c r="C825" s="112"/>
      <c r="D825" s="112"/>
      <c r="E825" s="112"/>
    </row>
    <row r="826" spans="2:5" x14ac:dyDescent="0.25">
      <c r="B826" s="112"/>
      <c r="C826" s="112"/>
      <c r="D826" s="112"/>
      <c r="E826" s="112"/>
    </row>
    <row r="827" spans="2:5" x14ac:dyDescent="0.25">
      <c r="B827" s="112"/>
      <c r="C827" s="112"/>
      <c r="D827" s="112"/>
      <c r="E827" s="112"/>
    </row>
    <row r="828" spans="2:5" x14ac:dyDescent="0.25">
      <c r="B828" s="112"/>
      <c r="C828" s="112"/>
      <c r="D828" s="112"/>
      <c r="E828" s="112"/>
    </row>
    <row r="829" spans="2:5" x14ac:dyDescent="0.25">
      <c r="B829" s="112"/>
      <c r="C829" s="112"/>
      <c r="D829" s="112"/>
      <c r="E829" s="112"/>
    </row>
    <row r="830" spans="2:5" x14ac:dyDescent="0.25">
      <c r="B830" s="112"/>
      <c r="C830" s="112"/>
      <c r="D830" s="112"/>
      <c r="E830" s="112"/>
    </row>
    <row r="831" spans="2:5" x14ac:dyDescent="0.25">
      <c r="B831" s="112"/>
      <c r="C831" s="112"/>
      <c r="D831" s="112"/>
      <c r="E831" s="112"/>
    </row>
    <row r="832" spans="2:5" x14ac:dyDescent="0.25">
      <c r="B832" s="112"/>
      <c r="C832" s="112"/>
      <c r="D832" s="112"/>
      <c r="E832" s="112"/>
    </row>
    <row r="833" spans="2:5" x14ac:dyDescent="0.25">
      <c r="B833" s="112"/>
      <c r="C833" s="112"/>
      <c r="D833" s="112"/>
      <c r="E833" s="112"/>
    </row>
    <row r="834" spans="2:5" x14ac:dyDescent="0.25">
      <c r="B834" s="112"/>
      <c r="C834" s="112"/>
      <c r="D834" s="112"/>
      <c r="E834" s="112"/>
    </row>
    <row r="835" spans="2:5" x14ac:dyDescent="0.25">
      <c r="B835" s="112"/>
      <c r="C835" s="112"/>
      <c r="D835" s="112"/>
      <c r="E835" s="112"/>
    </row>
    <row r="836" spans="2:5" x14ac:dyDescent="0.25">
      <c r="B836" s="112"/>
      <c r="C836" s="112"/>
      <c r="D836" s="112"/>
      <c r="E836" s="112"/>
    </row>
    <row r="837" spans="2:5" x14ac:dyDescent="0.25">
      <c r="B837" s="112"/>
      <c r="C837" s="112"/>
      <c r="D837" s="112"/>
      <c r="E837" s="112"/>
    </row>
    <row r="838" spans="2:5" x14ac:dyDescent="0.25">
      <c r="B838" s="112"/>
      <c r="C838" s="112"/>
      <c r="D838" s="112"/>
      <c r="E838" s="112"/>
    </row>
    <row r="839" spans="2:5" x14ac:dyDescent="0.25">
      <c r="B839" s="112"/>
      <c r="C839" s="112"/>
      <c r="D839" s="112"/>
      <c r="E839" s="112"/>
    </row>
    <row r="840" spans="2:5" x14ac:dyDescent="0.25">
      <c r="B840" s="112"/>
      <c r="C840" s="112"/>
      <c r="D840" s="112"/>
      <c r="E840" s="112"/>
    </row>
    <row r="841" spans="2:5" x14ac:dyDescent="0.25">
      <c r="B841" s="112"/>
      <c r="C841" s="112"/>
      <c r="D841" s="112"/>
      <c r="E841" s="112"/>
    </row>
    <row r="842" spans="2:5" x14ac:dyDescent="0.25">
      <c r="B842" s="112"/>
      <c r="C842" s="112"/>
      <c r="D842" s="112"/>
      <c r="E842" s="112"/>
    </row>
    <row r="843" spans="2:5" x14ac:dyDescent="0.25">
      <c r="B843" s="112"/>
      <c r="C843" s="112"/>
      <c r="D843" s="112"/>
      <c r="E843" s="112"/>
    </row>
    <row r="844" spans="2:5" x14ac:dyDescent="0.25">
      <c r="B844" s="112"/>
      <c r="C844" s="112"/>
      <c r="D844" s="112"/>
      <c r="E844" s="112"/>
    </row>
    <row r="845" spans="2:5" x14ac:dyDescent="0.25">
      <c r="B845" s="112"/>
      <c r="C845" s="112"/>
      <c r="D845" s="112"/>
      <c r="E845" s="112"/>
    </row>
    <row r="846" spans="2:5" x14ac:dyDescent="0.25">
      <c r="B846" s="112"/>
      <c r="C846" s="112"/>
      <c r="D846" s="112"/>
      <c r="E846" s="112"/>
    </row>
    <row r="847" spans="2:5" x14ac:dyDescent="0.25">
      <c r="B847" s="112"/>
      <c r="C847" s="112"/>
      <c r="D847" s="112"/>
      <c r="E847" s="112"/>
    </row>
    <row r="848" spans="2:5" x14ac:dyDescent="0.25">
      <c r="B848" s="112"/>
      <c r="C848" s="112"/>
      <c r="D848" s="112"/>
      <c r="E848" s="112"/>
    </row>
    <row r="849" spans="2:5" x14ac:dyDescent="0.25">
      <c r="B849" s="112"/>
      <c r="C849" s="112"/>
      <c r="D849" s="112"/>
      <c r="E849" s="112"/>
    </row>
    <row r="850" spans="2:5" x14ac:dyDescent="0.25">
      <c r="B850" s="112"/>
      <c r="C850" s="112"/>
      <c r="D850" s="112"/>
      <c r="E850" s="112"/>
    </row>
    <row r="851" spans="2:5" x14ac:dyDescent="0.25">
      <c r="B851" s="112"/>
      <c r="C851" s="112"/>
      <c r="D851" s="112"/>
      <c r="E851" s="112"/>
    </row>
    <row r="852" spans="2:5" x14ac:dyDescent="0.25">
      <c r="B852" s="112"/>
      <c r="C852" s="112"/>
      <c r="D852" s="112"/>
      <c r="E852" s="112"/>
    </row>
    <row r="853" spans="2:5" x14ac:dyDescent="0.25">
      <c r="B853" s="112"/>
      <c r="C853" s="112"/>
      <c r="D853" s="112"/>
      <c r="E853" s="112"/>
    </row>
    <row r="854" spans="2:5" x14ac:dyDescent="0.25">
      <c r="B854" s="112"/>
      <c r="C854" s="112"/>
      <c r="D854" s="112"/>
      <c r="E854" s="112"/>
    </row>
    <row r="855" spans="2:5" x14ac:dyDescent="0.25">
      <c r="B855" s="112"/>
      <c r="C855" s="112"/>
      <c r="D855" s="112"/>
      <c r="E855" s="112"/>
    </row>
    <row r="856" spans="2:5" x14ac:dyDescent="0.25">
      <c r="B856" s="112"/>
      <c r="C856" s="112"/>
      <c r="D856" s="112"/>
      <c r="E856" s="112"/>
    </row>
    <row r="857" spans="2:5" x14ac:dyDescent="0.25">
      <c r="B857" s="112"/>
      <c r="C857" s="112"/>
      <c r="D857" s="112"/>
      <c r="E857" s="112"/>
    </row>
    <row r="858" spans="2:5" x14ac:dyDescent="0.25">
      <c r="B858" s="112"/>
      <c r="C858" s="112"/>
      <c r="D858" s="112"/>
      <c r="E858" s="112"/>
    </row>
    <row r="859" spans="2:5" x14ac:dyDescent="0.25">
      <c r="B859" s="112"/>
      <c r="C859" s="112"/>
      <c r="D859" s="112"/>
      <c r="E859" s="112"/>
    </row>
    <row r="860" spans="2:5" x14ac:dyDescent="0.25">
      <c r="B860" s="112"/>
      <c r="C860" s="112"/>
      <c r="D860" s="112"/>
      <c r="E860" s="112"/>
    </row>
    <row r="861" spans="2:5" x14ac:dyDescent="0.25">
      <c r="B861" s="112"/>
      <c r="C861" s="112"/>
      <c r="D861" s="112"/>
      <c r="E861" s="112"/>
    </row>
    <row r="862" spans="2:5" x14ac:dyDescent="0.25">
      <c r="B862" s="112"/>
      <c r="C862" s="112"/>
      <c r="D862" s="112"/>
      <c r="E862" s="112"/>
    </row>
    <row r="863" spans="2:5" x14ac:dyDescent="0.25">
      <c r="B863" s="112"/>
      <c r="C863" s="112"/>
      <c r="D863" s="112"/>
      <c r="E863" s="112"/>
    </row>
    <row r="864" spans="2:5" x14ac:dyDescent="0.25">
      <c r="B864" s="112"/>
      <c r="C864" s="112"/>
      <c r="D864" s="112"/>
      <c r="E864" s="112"/>
    </row>
    <row r="865" spans="2:5" x14ac:dyDescent="0.25">
      <c r="B865" s="112"/>
      <c r="C865" s="112"/>
      <c r="D865" s="112"/>
      <c r="E865" s="112"/>
    </row>
    <row r="866" spans="2:5" x14ac:dyDescent="0.25">
      <c r="B866" s="112"/>
      <c r="C866" s="112"/>
      <c r="D866" s="112"/>
      <c r="E866" s="112"/>
    </row>
    <row r="867" spans="2:5" x14ac:dyDescent="0.25">
      <c r="B867" s="112"/>
      <c r="C867" s="112"/>
      <c r="D867" s="112"/>
      <c r="E867" s="112"/>
    </row>
    <row r="868" spans="2:5" x14ac:dyDescent="0.25">
      <c r="B868" s="112"/>
      <c r="C868" s="112"/>
      <c r="D868" s="112"/>
      <c r="E868" s="112"/>
    </row>
    <row r="869" spans="2:5" x14ac:dyDescent="0.25">
      <c r="B869" s="112"/>
      <c r="C869" s="112"/>
      <c r="D869" s="112"/>
      <c r="E869" s="112"/>
    </row>
    <row r="870" spans="2:5" x14ac:dyDescent="0.25">
      <c r="B870" s="112"/>
      <c r="C870" s="112"/>
      <c r="D870" s="112"/>
      <c r="E870" s="112"/>
    </row>
    <row r="871" spans="2:5" x14ac:dyDescent="0.25">
      <c r="B871" s="112"/>
      <c r="C871" s="112"/>
      <c r="D871" s="112"/>
      <c r="E871" s="112"/>
    </row>
    <row r="872" spans="2:5" x14ac:dyDescent="0.25">
      <c r="B872" s="112"/>
      <c r="C872" s="112"/>
      <c r="D872" s="112"/>
      <c r="E872" s="112"/>
    </row>
    <row r="873" spans="2:5" x14ac:dyDescent="0.25">
      <c r="B873" s="112"/>
      <c r="C873" s="112"/>
      <c r="D873" s="112"/>
      <c r="E873" s="112"/>
    </row>
    <row r="874" spans="2:5" x14ac:dyDescent="0.25">
      <c r="B874" s="112"/>
      <c r="C874" s="112"/>
      <c r="D874" s="112"/>
      <c r="E874" s="112"/>
    </row>
    <row r="875" spans="2:5" x14ac:dyDescent="0.25">
      <c r="B875" s="112"/>
      <c r="C875" s="112"/>
      <c r="D875" s="112"/>
      <c r="E875" s="112"/>
    </row>
    <row r="876" spans="2:5" x14ac:dyDescent="0.25">
      <c r="B876" s="112"/>
      <c r="C876" s="112"/>
      <c r="D876" s="112"/>
      <c r="E876" s="112"/>
    </row>
    <row r="877" spans="2:5" x14ac:dyDescent="0.25">
      <c r="B877" s="112"/>
      <c r="C877" s="112"/>
      <c r="D877" s="112"/>
      <c r="E877" s="112"/>
    </row>
    <row r="878" spans="2:5" x14ac:dyDescent="0.25">
      <c r="B878" s="112"/>
      <c r="C878" s="112"/>
      <c r="D878" s="112"/>
      <c r="E878" s="112"/>
    </row>
    <row r="879" spans="2:5" x14ac:dyDescent="0.25">
      <c r="B879" s="112"/>
      <c r="C879" s="112"/>
      <c r="D879" s="112"/>
      <c r="E879" s="112"/>
    </row>
    <row r="880" spans="2:5" x14ac:dyDescent="0.25">
      <c r="B880" s="112"/>
      <c r="C880" s="112"/>
      <c r="D880" s="112"/>
      <c r="E880" s="112"/>
    </row>
    <row r="881" spans="2:5" x14ac:dyDescent="0.25">
      <c r="B881" s="112"/>
      <c r="C881" s="112"/>
      <c r="D881" s="112"/>
      <c r="E881" s="112"/>
    </row>
    <row r="882" spans="2:5" x14ac:dyDescent="0.25">
      <c r="B882" s="112"/>
      <c r="C882" s="112"/>
      <c r="D882" s="112"/>
      <c r="E882" s="112"/>
    </row>
    <row r="883" spans="2:5" x14ac:dyDescent="0.25">
      <c r="B883" s="112"/>
      <c r="C883" s="112"/>
      <c r="D883" s="112"/>
      <c r="E883" s="112"/>
    </row>
    <row r="884" spans="2:5" x14ac:dyDescent="0.25">
      <c r="B884" s="112"/>
      <c r="C884" s="112"/>
      <c r="D884" s="112"/>
      <c r="E884" s="112"/>
    </row>
    <row r="885" spans="2:5" x14ac:dyDescent="0.25">
      <c r="B885" s="112"/>
      <c r="C885" s="112"/>
      <c r="D885" s="112"/>
      <c r="E885" s="112"/>
    </row>
    <row r="886" spans="2:5" x14ac:dyDescent="0.25">
      <c r="B886" s="112"/>
      <c r="C886" s="112"/>
      <c r="D886" s="112"/>
      <c r="E886" s="112"/>
    </row>
    <row r="887" spans="2:5" x14ac:dyDescent="0.25">
      <c r="B887" s="112"/>
      <c r="C887" s="112"/>
      <c r="D887" s="112"/>
      <c r="E887" s="112"/>
    </row>
    <row r="888" spans="2:5" x14ac:dyDescent="0.25">
      <c r="B888" s="112"/>
      <c r="C888" s="112"/>
      <c r="D888" s="112"/>
      <c r="E888" s="112"/>
    </row>
    <row r="889" spans="2:5" x14ac:dyDescent="0.25">
      <c r="B889" s="112"/>
      <c r="C889" s="112"/>
      <c r="D889" s="112"/>
      <c r="E889" s="112"/>
    </row>
    <row r="890" spans="2:5" x14ac:dyDescent="0.25">
      <c r="B890" s="112"/>
      <c r="C890" s="112"/>
      <c r="D890" s="112"/>
      <c r="E890" s="112"/>
    </row>
    <row r="891" spans="2:5" x14ac:dyDescent="0.25">
      <c r="B891" s="112"/>
      <c r="C891" s="112"/>
      <c r="D891" s="112"/>
      <c r="E891" s="112"/>
    </row>
    <row r="892" spans="2:5" x14ac:dyDescent="0.25">
      <c r="B892" s="112"/>
      <c r="C892" s="112"/>
      <c r="D892" s="112"/>
      <c r="E892" s="112"/>
    </row>
    <row r="893" spans="2:5" x14ac:dyDescent="0.25">
      <c r="B893" s="112"/>
      <c r="C893" s="112"/>
      <c r="D893" s="112"/>
      <c r="E893" s="112"/>
    </row>
    <row r="894" spans="2:5" x14ac:dyDescent="0.25">
      <c r="B894" s="112"/>
      <c r="C894" s="112"/>
      <c r="D894" s="112"/>
      <c r="E894" s="112"/>
    </row>
    <row r="895" spans="2:5" x14ac:dyDescent="0.25">
      <c r="B895" s="112"/>
      <c r="C895" s="112"/>
      <c r="D895" s="112"/>
      <c r="E895" s="112"/>
    </row>
    <row r="896" spans="2:5" x14ac:dyDescent="0.25">
      <c r="B896" s="112"/>
      <c r="C896" s="112"/>
      <c r="D896" s="112"/>
      <c r="E896" s="112"/>
    </row>
    <row r="897" spans="2:5" x14ac:dyDescent="0.25">
      <c r="B897" s="112"/>
      <c r="C897" s="112"/>
      <c r="D897" s="112"/>
      <c r="E897" s="112"/>
    </row>
    <row r="898" spans="2:5" x14ac:dyDescent="0.25">
      <c r="B898" s="112"/>
      <c r="C898" s="112"/>
      <c r="D898" s="112"/>
      <c r="E898" s="112"/>
    </row>
    <row r="899" spans="2:5" x14ac:dyDescent="0.25">
      <c r="B899" s="112"/>
      <c r="C899" s="112"/>
      <c r="D899" s="112"/>
      <c r="E899" s="112"/>
    </row>
    <row r="900" spans="2:5" x14ac:dyDescent="0.25">
      <c r="B900" s="112"/>
      <c r="C900" s="112"/>
      <c r="D900" s="112"/>
      <c r="E900" s="112"/>
    </row>
    <row r="901" spans="2:5" x14ac:dyDescent="0.25">
      <c r="B901" s="112"/>
      <c r="C901" s="112"/>
      <c r="D901" s="112"/>
      <c r="E901" s="112"/>
    </row>
    <row r="902" spans="2:5" x14ac:dyDescent="0.25">
      <c r="B902" s="112"/>
      <c r="C902" s="112"/>
      <c r="D902" s="112"/>
      <c r="E902" s="112"/>
    </row>
    <row r="903" spans="2:5" x14ac:dyDescent="0.25">
      <c r="B903" s="112"/>
      <c r="C903" s="112"/>
      <c r="D903" s="112"/>
      <c r="E903" s="112"/>
    </row>
    <row r="904" spans="2:5" x14ac:dyDescent="0.25">
      <c r="B904" s="112"/>
      <c r="C904" s="112"/>
      <c r="D904" s="112"/>
      <c r="E904" s="112"/>
    </row>
    <row r="905" spans="2:5" x14ac:dyDescent="0.25">
      <c r="B905" s="112"/>
      <c r="C905" s="112"/>
      <c r="D905" s="112"/>
      <c r="E905" s="112"/>
    </row>
    <row r="906" spans="2:5" x14ac:dyDescent="0.25">
      <c r="B906" s="112"/>
      <c r="C906" s="112"/>
      <c r="D906" s="112"/>
      <c r="E906" s="112"/>
    </row>
    <row r="907" spans="2:5" x14ac:dyDescent="0.25">
      <c r="B907" s="112"/>
      <c r="C907" s="112"/>
      <c r="D907" s="112"/>
      <c r="E907" s="112"/>
    </row>
    <row r="908" spans="2:5" x14ac:dyDescent="0.25">
      <c r="B908" s="112"/>
      <c r="C908" s="112"/>
      <c r="D908" s="112"/>
      <c r="E908" s="112"/>
    </row>
    <row r="909" spans="2:5" x14ac:dyDescent="0.25">
      <c r="B909" s="112"/>
      <c r="C909" s="112"/>
      <c r="D909" s="112"/>
      <c r="E909" s="112"/>
    </row>
    <row r="910" spans="2:5" x14ac:dyDescent="0.25">
      <c r="B910" s="112"/>
      <c r="C910" s="112"/>
      <c r="D910" s="112"/>
      <c r="E910" s="112"/>
    </row>
    <row r="911" spans="2:5" x14ac:dyDescent="0.25">
      <c r="B911" s="112"/>
      <c r="C911" s="112"/>
      <c r="D911" s="112"/>
      <c r="E911" s="112"/>
    </row>
    <row r="912" spans="2:5" x14ac:dyDescent="0.25">
      <c r="B912" s="112"/>
      <c r="C912" s="112"/>
      <c r="D912" s="112"/>
      <c r="E912" s="112"/>
    </row>
    <row r="913" spans="2:5" x14ac:dyDescent="0.25">
      <c r="B913" s="112"/>
      <c r="C913" s="112"/>
      <c r="D913" s="112"/>
      <c r="E913" s="112"/>
    </row>
    <row r="914" spans="2:5" x14ac:dyDescent="0.25">
      <c r="B914" s="112"/>
      <c r="C914" s="112"/>
      <c r="D914" s="112"/>
      <c r="E914" s="112"/>
    </row>
    <row r="915" spans="2:5" x14ac:dyDescent="0.25">
      <c r="B915" s="112"/>
      <c r="C915" s="112"/>
      <c r="D915" s="112"/>
      <c r="E915" s="112"/>
    </row>
    <row r="916" spans="2:5" x14ac:dyDescent="0.25">
      <c r="B916" s="112"/>
      <c r="C916" s="112"/>
      <c r="D916" s="112"/>
      <c r="E916" s="112"/>
    </row>
    <row r="917" spans="2:5" x14ac:dyDescent="0.25">
      <c r="B917" s="112"/>
      <c r="C917" s="112"/>
      <c r="D917" s="112"/>
      <c r="E917" s="112"/>
    </row>
    <row r="918" spans="2:5" x14ac:dyDescent="0.25">
      <c r="B918" s="112"/>
      <c r="C918" s="112"/>
      <c r="D918" s="112"/>
      <c r="E918" s="112"/>
    </row>
    <row r="919" spans="2:5" x14ac:dyDescent="0.25">
      <c r="B919" s="112"/>
      <c r="C919" s="112"/>
      <c r="D919" s="112"/>
      <c r="E919" s="112"/>
    </row>
    <row r="920" spans="2:5" x14ac:dyDescent="0.25">
      <c r="B920" s="112"/>
      <c r="C920" s="112"/>
      <c r="D920" s="112"/>
      <c r="E920" s="112"/>
    </row>
    <row r="921" spans="2:5" x14ac:dyDescent="0.25">
      <c r="B921" s="112"/>
      <c r="C921" s="112"/>
      <c r="D921" s="112"/>
      <c r="E921" s="112"/>
    </row>
    <row r="922" spans="2:5" x14ac:dyDescent="0.25">
      <c r="B922" s="112"/>
      <c r="C922" s="112"/>
      <c r="D922" s="112"/>
      <c r="E922" s="112"/>
    </row>
    <row r="923" spans="2:5" x14ac:dyDescent="0.25">
      <c r="B923" s="112"/>
      <c r="C923" s="112"/>
      <c r="D923" s="112"/>
      <c r="E923" s="112"/>
    </row>
    <row r="924" spans="2:5" x14ac:dyDescent="0.25">
      <c r="B924" s="112"/>
      <c r="C924" s="112"/>
      <c r="D924" s="112"/>
      <c r="E924" s="112"/>
    </row>
    <row r="925" spans="2:5" x14ac:dyDescent="0.25">
      <c r="B925" s="112"/>
      <c r="C925" s="112"/>
      <c r="D925" s="112"/>
      <c r="E925" s="112"/>
    </row>
    <row r="926" spans="2:5" x14ac:dyDescent="0.25">
      <c r="B926" s="112"/>
      <c r="C926" s="112"/>
      <c r="D926" s="112"/>
      <c r="E926" s="112"/>
    </row>
    <row r="927" spans="2:5" x14ac:dyDescent="0.25">
      <c r="B927" s="112"/>
      <c r="C927" s="112"/>
      <c r="D927" s="112"/>
      <c r="E927" s="112"/>
    </row>
    <row r="928" spans="2:5" x14ac:dyDescent="0.25">
      <c r="B928" s="112"/>
      <c r="C928" s="112"/>
      <c r="D928" s="112"/>
      <c r="E928" s="112"/>
    </row>
    <row r="929" spans="2:5" x14ac:dyDescent="0.25">
      <c r="B929" s="112"/>
      <c r="C929" s="112"/>
      <c r="D929" s="112"/>
      <c r="E929" s="112"/>
    </row>
    <row r="930" spans="2:5" x14ac:dyDescent="0.25">
      <c r="B930" s="112"/>
      <c r="C930" s="112"/>
      <c r="D930" s="112"/>
      <c r="E930" s="112"/>
    </row>
    <row r="931" spans="2:5" x14ac:dyDescent="0.25">
      <c r="B931" s="112"/>
      <c r="C931" s="112"/>
      <c r="D931" s="112"/>
      <c r="E931" s="112"/>
    </row>
    <row r="932" spans="2:5" x14ac:dyDescent="0.25">
      <c r="B932" s="112"/>
      <c r="C932" s="112"/>
      <c r="D932" s="112"/>
      <c r="E932" s="112"/>
    </row>
    <row r="933" spans="2:5" x14ac:dyDescent="0.25">
      <c r="B933" s="112"/>
      <c r="C933" s="112"/>
      <c r="D933" s="112"/>
      <c r="E933" s="112"/>
    </row>
    <row r="934" spans="2:5" x14ac:dyDescent="0.25">
      <c r="B934" s="112"/>
      <c r="C934" s="112"/>
      <c r="D934" s="112"/>
      <c r="E934" s="112"/>
    </row>
    <row r="935" spans="2:5" x14ac:dyDescent="0.25">
      <c r="B935" s="112"/>
      <c r="C935" s="112"/>
      <c r="D935" s="112"/>
      <c r="E935" s="112"/>
    </row>
    <row r="936" spans="2:5" x14ac:dyDescent="0.25">
      <c r="B936" s="112"/>
      <c r="C936" s="112"/>
      <c r="D936" s="112"/>
      <c r="E936" s="112"/>
    </row>
    <row r="937" spans="2:5" x14ac:dyDescent="0.25">
      <c r="B937" s="112"/>
      <c r="C937" s="112"/>
      <c r="D937" s="112"/>
      <c r="E937" s="112"/>
    </row>
    <row r="938" spans="2:5" x14ac:dyDescent="0.25">
      <c r="B938" s="112"/>
      <c r="C938" s="112"/>
      <c r="D938" s="112"/>
      <c r="E938" s="112"/>
    </row>
    <row r="939" spans="2:5" x14ac:dyDescent="0.25">
      <c r="B939" s="112"/>
      <c r="C939" s="112"/>
      <c r="D939" s="112"/>
      <c r="E939" s="112"/>
    </row>
    <row r="940" spans="2:5" x14ac:dyDescent="0.25">
      <c r="B940" s="112"/>
      <c r="C940" s="112"/>
      <c r="D940" s="112"/>
      <c r="E940" s="112"/>
    </row>
    <row r="941" spans="2:5" x14ac:dyDescent="0.25">
      <c r="B941" s="112"/>
      <c r="C941" s="112"/>
      <c r="D941" s="112"/>
      <c r="E941" s="112"/>
    </row>
    <row r="942" spans="2:5" x14ac:dyDescent="0.25">
      <c r="B942" s="112"/>
      <c r="C942" s="112"/>
      <c r="D942" s="112"/>
      <c r="E942" s="112"/>
    </row>
    <row r="943" spans="2:5" x14ac:dyDescent="0.25">
      <c r="B943" s="112"/>
      <c r="C943" s="112"/>
      <c r="D943" s="112"/>
      <c r="E943" s="112"/>
    </row>
    <row r="944" spans="2:5" x14ac:dyDescent="0.25">
      <c r="B944" s="112"/>
      <c r="C944" s="112"/>
      <c r="D944" s="112"/>
      <c r="E944" s="112"/>
    </row>
    <row r="945" spans="2:5" x14ac:dyDescent="0.25">
      <c r="B945" s="112"/>
      <c r="C945" s="112"/>
      <c r="D945" s="112"/>
      <c r="E945" s="112"/>
    </row>
    <row r="946" spans="2:5" x14ac:dyDescent="0.25">
      <c r="B946" s="112"/>
      <c r="C946" s="112"/>
      <c r="D946" s="112"/>
      <c r="E946" s="112"/>
    </row>
    <row r="947" spans="2:5" x14ac:dyDescent="0.25">
      <c r="B947" s="112"/>
      <c r="C947" s="112"/>
      <c r="D947" s="112"/>
      <c r="E947" s="112"/>
    </row>
    <row r="948" spans="2:5" x14ac:dyDescent="0.25">
      <c r="B948" s="112"/>
      <c r="C948" s="112"/>
      <c r="D948" s="112"/>
      <c r="E948" s="112"/>
    </row>
    <row r="949" spans="2:5" x14ac:dyDescent="0.25">
      <c r="B949" s="112"/>
      <c r="C949" s="112"/>
      <c r="D949" s="112"/>
      <c r="E949" s="112"/>
    </row>
    <row r="950" spans="2:5" x14ac:dyDescent="0.25">
      <c r="B950" s="112"/>
      <c r="C950" s="112"/>
      <c r="D950" s="112"/>
      <c r="E950" s="112"/>
    </row>
    <row r="951" spans="2:5" x14ac:dyDescent="0.25">
      <c r="B951" s="112"/>
      <c r="C951" s="112"/>
      <c r="D951" s="112"/>
      <c r="E951" s="112"/>
    </row>
    <row r="952" spans="2:5" x14ac:dyDescent="0.25">
      <c r="B952" s="112"/>
      <c r="C952" s="112"/>
      <c r="D952" s="112"/>
      <c r="E952" s="112"/>
    </row>
    <row r="953" spans="2:5" x14ac:dyDescent="0.25">
      <c r="B953" s="112"/>
      <c r="C953" s="112"/>
      <c r="D953" s="112"/>
      <c r="E953" s="112"/>
    </row>
    <row r="954" spans="2:5" x14ac:dyDescent="0.25">
      <c r="B954" s="112"/>
      <c r="C954" s="112"/>
      <c r="D954" s="112"/>
      <c r="E954" s="112"/>
    </row>
    <row r="955" spans="2:5" x14ac:dyDescent="0.25">
      <c r="B955" s="112"/>
      <c r="C955" s="112"/>
      <c r="D955" s="112"/>
      <c r="E955" s="112"/>
    </row>
    <row r="956" spans="2:5" x14ac:dyDescent="0.25">
      <c r="B956" s="112"/>
      <c r="C956" s="112"/>
      <c r="D956" s="112"/>
      <c r="E956" s="112"/>
    </row>
    <row r="957" spans="2:5" x14ac:dyDescent="0.25">
      <c r="B957" s="112"/>
      <c r="C957" s="112"/>
      <c r="D957" s="112"/>
      <c r="E957" s="112"/>
    </row>
    <row r="958" spans="2:5" x14ac:dyDescent="0.25">
      <c r="B958" s="112"/>
      <c r="C958" s="112"/>
      <c r="D958" s="112"/>
      <c r="E958" s="112"/>
    </row>
    <row r="959" spans="2:5" x14ac:dyDescent="0.25">
      <c r="B959" s="112"/>
      <c r="C959" s="112"/>
      <c r="D959" s="112"/>
      <c r="E959" s="112"/>
    </row>
    <row r="960" spans="2:5" x14ac:dyDescent="0.25">
      <c r="B960" s="112"/>
      <c r="C960" s="112"/>
      <c r="D960" s="112"/>
      <c r="E960" s="112"/>
    </row>
    <row r="961" spans="2:5" x14ac:dyDescent="0.25">
      <c r="B961" s="112"/>
      <c r="C961" s="112"/>
      <c r="D961" s="112"/>
      <c r="E961" s="112"/>
    </row>
    <row r="962" spans="2:5" x14ac:dyDescent="0.25">
      <c r="B962" s="112"/>
      <c r="C962" s="112"/>
      <c r="D962" s="112"/>
      <c r="E962" s="112"/>
    </row>
    <row r="963" spans="2:5" x14ac:dyDescent="0.25">
      <c r="B963" s="112"/>
      <c r="C963" s="112"/>
      <c r="D963" s="112"/>
      <c r="E963" s="112"/>
    </row>
    <row r="964" spans="2:5" x14ac:dyDescent="0.25">
      <c r="B964" s="112"/>
      <c r="C964" s="112"/>
      <c r="D964" s="112"/>
      <c r="E964" s="112"/>
    </row>
    <row r="965" spans="2:5" x14ac:dyDescent="0.25">
      <c r="B965" s="112"/>
      <c r="C965" s="112"/>
      <c r="D965" s="112"/>
      <c r="E965" s="112"/>
    </row>
    <row r="966" spans="2:5" x14ac:dyDescent="0.25">
      <c r="B966" s="112"/>
      <c r="C966" s="112"/>
      <c r="D966" s="112"/>
      <c r="E966" s="112"/>
    </row>
    <row r="967" spans="2:5" x14ac:dyDescent="0.25">
      <c r="B967" s="112"/>
      <c r="C967" s="112"/>
      <c r="D967" s="112"/>
      <c r="E967" s="112"/>
    </row>
    <row r="968" spans="2:5" x14ac:dyDescent="0.25">
      <c r="B968" s="112"/>
      <c r="C968" s="112"/>
      <c r="D968" s="112"/>
      <c r="E968" s="112"/>
    </row>
    <row r="969" spans="2:5" x14ac:dyDescent="0.25">
      <c r="B969" s="112"/>
      <c r="C969" s="112"/>
      <c r="D969" s="112"/>
      <c r="E969" s="112"/>
    </row>
    <row r="970" spans="2:5" x14ac:dyDescent="0.25">
      <c r="B970" s="112"/>
      <c r="C970" s="112"/>
      <c r="D970" s="112"/>
      <c r="E970" s="112"/>
    </row>
    <row r="971" spans="2:5" x14ac:dyDescent="0.25">
      <c r="B971" s="112"/>
      <c r="C971" s="112"/>
      <c r="D971" s="112"/>
      <c r="E971" s="112"/>
    </row>
    <row r="972" spans="2:5" x14ac:dyDescent="0.25">
      <c r="B972" s="112"/>
      <c r="C972" s="112"/>
      <c r="D972" s="112"/>
      <c r="E972" s="112"/>
    </row>
    <row r="973" spans="2:5" x14ac:dyDescent="0.25">
      <c r="B973" s="112"/>
      <c r="C973" s="112"/>
      <c r="D973" s="112"/>
      <c r="E973" s="112"/>
    </row>
    <row r="974" spans="2:5" x14ac:dyDescent="0.25">
      <c r="B974" s="112"/>
      <c r="C974" s="112"/>
      <c r="D974" s="112"/>
      <c r="E974" s="112"/>
    </row>
    <row r="975" spans="2:5" x14ac:dyDescent="0.25">
      <c r="B975" s="112"/>
      <c r="C975" s="112"/>
      <c r="D975" s="112"/>
      <c r="E975" s="112"/>
    </row>
    <row r="976" spans="2:5" x14ac:dyDescent="0.25">
      <c r="B976" s="112"/>
      <c r="C976" s="112"/>
      <c r="D976" s="112"/>
      <c r="E976" s="112"/>
    </row>
    <row r="977" spans="2:5" x14ac:dyDescent="0.25">
      <c r="B977" s="112"/>
      <c r="C977" s="112"/>
      <c r="D977" s="112"/>
      <c r="E977" s="112"/>
    </row>
    <row r="978" spans="2:5" x14ac:dyDescent="0.25">
      <c r="B978" s="112"/>
      <c r="C978" s="112"/>
      <c r="D978" s="112"/>
      <c r="E978" s="112"/>
    </row>
    <row r="979" spans="2:5" x14ac:dyDescent="0.25">
      <c r="B979" s="112"/>
      <c r="C979" s="112"/>
      <c r="D979" s="112"/>
      <c r="E979" s="112"/>
    </row>
    <row r="980" spans="2:5" x14ac:dyDescent="0.25">
      <c r="B980" s="112"/>
      <c r="C980" s="112"/>
      <c r="D980" s="112"/>
      <c r="E980" s="112"/>
    </row>
    <row r="981" spans="2:5" x14ac:dyDescent="0.25">
      <c r="B981" s="112"/>
      <c r="C981" s="112"/>
      <c r="D981" s="112"/>
      <c r="E981" s="112"/>
    </row>
    <row r="982" spans="2:5" x14ac:dyDescent="0.25">
      <c r="B982" s="112"/>
      <c r="C982" s="112"/>
      <c r="D982" s="112"/>
      <c r="E982" s="112"/>
    </row>
    <row r="983" spans="2:5" x14ac:dyDescent="0.25">
      <c r="B983" s="112"/>
      <c r="C983" s="112"/>
      <c r="D983" s="112"/>
      <c r="E983" s="112"/>
    </row>
    <row r="984" spans="2:5" x14ac:dyDescent="0.25">
      <c r="B984" s="112"/>
      <c r="C984" s="112"/>
      <c r="D984" s="112"/>
      <c r="E984" s="112"/>
    </row>
    <row r="985" spans="2:5" x14ac:dyDescent="0.25">
      <c r="B985" s="112"/>
      <c r="C985" s="112"/>
      <c r="D985" s="112"/>
      <c r="E985" s="112"/>
    </row>
    <row r="986" spans="2:5" x14ac:dyDescent="0.25">
      <c r="B986" s="112"/>
      <c r="C986" s="112"/>
      <c r="D986" s="112"/>
      <c r="E986" s="112"/>
    </row>
    <row r="987" spans="2:5" x14ac:dyDescent="0.25">
      <c r="B987" s="112"/>
      <c r="C987" s="112"/>
      <c r="D987" s="112"/>
      <c r="E987" s="112"/>
    </row>
    <row r="988" spans="2:5" x14ac:dyDescent="0.25">
      <c r="B988" s="112"/>
      <c r="C988" s="112"/>
      <c r="D988" s="112"/>
      <c r="E988" s="112"/>
    </row>
    <row r="989" spans="2:5" x14ac:dyDescent="0.25">
      <c r="B989" s="112"/>
      <c r="C989" s="112"/>
      <c r="D989" s="112"/>
      <c r="E989" s="112"/>
    </row>
    <row r="990" spans="2:5" x14ac:dyDescent="0.25">
      <c r="B990" s="112"/>
      <c r="C990" s="112"/>
      <c r="D990" s="112"/>
      <c r="E990" s="112"/>
    </row>
    <row r="991" spans="2:5" x14ac:dyDescent="0.25">
      <c r="B991" s="112"/>
      <c r="C991" s="112"/>
      <c r="D991" s="112"/>
      <c r="E991" s="112"/>
    </row>
    <row r="992" spans="2:5" x14ac:dyDescent="0.25">
      <c r="B992" s="112"/>
      <c r="C992" s="112"/>
      <c r="D992" s="112"/>
      <c r="E992" s="112"/>
    </row>
    <row r="993" spans="2:5" x14ac:dyDescent="0.25">
      <c r="B993" s="112"/>
      <c r="C993" s="112"/>
      <c r="D993" s="112"/>
      <c r="E993" s="112"/>
    </row>
    <row r="994" spans="2:5" x14ac:dyDescent="0.25">
      <c r="B994" s="112"/>
      <c r="C994" s="112"/>
      <c r="D994" s="112"/>
      <c r="E994" s="112"/>
    </row>
    <row r="995" spans="2:5" x14ac:dyDescent="0.25">
      <c r="B995" s="112"/>
      <c r="C995" s="112"/>
      <c r="D995" s="112"/>
      <c r="E995" s="112"/>
    </row>
    <row r="996" spans="2:5" x14ac:dyDescent="0.25">
      <c r="B996" s="112"/>
      <c r="C996" s="112"/>
      <c r="D996" s="112"/>
      <c r="E996" s="112"/>
    </row>
    <row r="997" spans="2:5" x14ac:dyDescent="0.25">
      <c r="B997" s="112"/>
      <c r="C997" s="112"/>
      <c r="D997" s="112"/>
      <c r="E997" s="112"/>
    </row>
    <row r="998" spans="2:5" x14ac:dyDescent="0.25">
      <c r="B998" s="112"/>
      <c r="C998" s="112"/>
      <c r="D998" s="112"/>
      <c r="E998" s="112"/>
    </row>
    <row r="999" spans="2:5" x14ac:dyDescent="0.25">
      <c r="B999" s="112"/>
      <c r="C999" s="112"/>
      <c r="D999" s="112"/>
      <c r="E999" s="112"/>
    </row>
    <row r="1000" spans="2:5" x14ac:dyDescent="0.25">
      <c r="B1000" s="112"/>
      <c r="C1000" s="112"/>
      <c r="D1000" s="112"/>
      <c r="E1000" s="112"/>
    </row>
  </sheetData>
  <mergeCells count="4">
    <mergeCell ref="E39:L39"/>
    <mergeCell ref="A10:D12"/>
    <mergeCell ref="F11:AB30"/>
    <mergeCell ref="F5:AB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21AD8-7411-47B8-A25A-50E078453024}">
  <sheetPr codeName="Sheet8"/>
  <dimension ref="A1:D21"/>
  <sheetViews>
    <sheetView showGridLines="0" workbookViewId="0">
      <selection activeCell="G2" sqref="G2"/>
    </sheetView>
  </sheetViews>
  <sheetFormatPr defaultColWidth="9.140625" defaultRowHeight="29.25" customHeight="1" x14ac:dyDescent="0.15"/>
  <cols>
    <col min="1" max="16384" width="9.140625" style="110"/>
  </cols>
  <sheetData>
    <row r="1" spans="3:4" ht="30" customHeight="1" x14ac:dyDescent="0.15">
      <c r="C1" s="109" t="s">
        <v>312</v>
      </c>
      <c r="D1" s="109" t="s">
        <v>312</v>
      </c>
    </row>
    <row r="2" spans="3:4" ht="48.75" customHeight="1" x14ac:dyDescent="0.15">
      <c r="C2" s="109" t="s">
        <v>313</v>
      </c>
      <c r="D2" s="109" t="s">
        <v>321</v>
      </c>
    </row>
    <row r="20" spans="1:1" ht="29.25" customHeight="1" x14ac:dyDescent="0.25">
      <c r="A20" s="117" t="s">
        <v>306</v>
      </c>
    </row>
    <row r="21" spans="1:1" ht="29.25" customHeight="1" x14ac:dyDescent="0.25">
      <c r="A21" s="117" t="s">
        <v>307</v>
      </c>
    </row>
  </sheetData>
  <sheetProtection formatCells="0" formatColumns="0" formatRows="0" insertColumns="0" insertRows="0" insertHyperlinks="0" deleteColumns="0" deleteRows="0" sort="0" autoFilter="0" pivotTables="0"/>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77CD3-B6D9-48E6-A9FA-460EE618FBF0}">
  <sheetPr codeName="Sheet7"/>
  <dimension ref="A1:AB14"/>
  <sheetViews>
    <sheetView showGridLines="0" showRowColHeaders="0" zoomScaleNormal="100" workbookViewId="0">
      <selection activeCell="R28" sqref="R28"/>
    </sheetView>
  </sheetViews>
  <sheetFormatPr defaultColWidth="9.140625" defaultRowHeight="15" x14ac:dyDescent="0.25"/>
  <cols>
    <col min="1" max="16384" width="9.140625" style="20"/>
  </cols>
  <sheetData>
    <row r="1" spans="1:28" s="31" customFormat="1" ht="15" customHeight="1" x14ac:dyDescent="0.25"/>
    <row r="2" spans="1:28" s="31" customFormat="1" ht="15" customHeight="1" x14ac:dyDescent="0.25"/>
    <row r="3" spans="1:28" s="31" customFormat="1" ht="15" customHeight="1" x14ac:dyDescent="0.25"/>
    <row r="4" spans="1:28" s="31" customFormat="1" ht="15" customHeight="1" x14ac:dyDescent="0.25"/>
    <row r="5" spans="1:28" s="22" customFormat="1" ht="15" customHeight="1" x14ac:dyDescent="0.25">
      <c r="F5" s="170" t="s">
        <v>29</v>
      </c>
      <c r="G5" s="170"/>
      <c r="H5" s="170"/>
      <c r="I5" s="170"/>
      <c r="J5" s="170"/>
      <c r="K5" s="170"/>
      <c r="L5" s="170"/>
      <c r="M5" s="170"/>
      <c r="N5" s="170"/>
      <c r="O5" s="170"/>
      <c r="P5" s="170"/>
      <c r="Q5" s="170"/>
      <c r="R5" s="170"/>
      <c r="S5" s="170"/>
      <c r="T5" s="170"/>
      <c r="U5" s="170"/>
      <c r="V5" s="170"/>
      <c r="W5" s="170"/>
      <c r="X5" s="170"/>
      <c r="Y5" s="170"/>
      <c r="Z5" s="170"/>
      <c r="AA5" s="170"/>
      <c r="AB5" s="170"/>
    </row>
    <row r="6" spans="1:28" s="22" customFormat="1" ht="15" customHeight="1" x14ac:dyDescent="0.25">
      <c r="F6" s="170"/>
      <c r="G6" s="170"/>
      <c r="H6" s="170"/>
      <c r="I6" s="170"/>
      <c r="J6" s="170"/>
      <c r="K6" s="170"/>
      <c r="L6" s="170"/>
      <c r="M6" s="170"/>
      <c r="N6" s="170"/>
      <c r="O6" s="170"/>
      <c r="P6" s="170"/>
      <c r="Q6" s="170"/>
      <c r="R6" s="170"/>
      <c r="S6" s="170"/>
      <c r="T6" s="170"/>
      <c r="U6" s="170"/>
      <c r="V6" s="170"/>
      <c r="W6" s="170"/>
      <c r="X6" s="170"/>
      <c r="Y6" s="170"/>
      <c r="Z6" s="170"/>
      <c r="AA6" s="170"/>
      <c r="AB6" s="170"/>
    </row>
    <row r="7" spans="1:28" s="22" customFormat="1" ht="15" customHeight="1" x14ac:dyDescent="0.25">
      <c r="F7" s="170"/>
      <c r="G7" s="170"/>
      <c r="H7" s="170"/>
      <c r="I7" s="170"/>
      <c r="J7" s="170"/>
      <c r="K7" s="170"/>
      <c r="L7" s="170"/>
      <c r="M7" s="170"/>
      <c r="N7" s="170"/>
      <c r="O7" s="170"/>
      <c r="P7" s="170"/>
      <c r="Q7" s="170"/>
      <c r="R7" s="170"/>
      <c r="S7" s="170"/>
      <c r="T7" s="170"/>
      <c r="U7" s="170"/>
      <c r="V7" s="170"/>
      <c r="W7" s="170"/>
      <c r="X7" s="170"/>
      <c r="Y7" s="170"/>
      <c r="Z7" s="170"/>
      <c r="AA7" s="170"/>
      <c r="AB7" s="170"/>
    </row>
    <row r="8" spans="1:28" s="22" customFormat="1" ht="15" customHeight="1" x14ac:dyDescent="0.25">
      <c r="F8" s="170"/>
      <c r="G8" s="170"/>
      <c r="H8" s="170"/>
      <c r="I8" s="170"/>
      <c r="J8" s="170"/>
      <c r="K8" s="170"/>
      <c r="L8" s="170"/>
      <c r="M8" s="170"/>
      <c r="N8" s="170"/>
      <c r="O8" s="170"/>
      <c r="P8" s="170"/>
      <c r="Q8" s="170"/>
      <c r="R8" s="170"/>
      <c r="S8" s="170"/>
      <c r="T8" s="170"/>
      <c r="U8" s="170"/>
      <c r="V8" s="170"/>
      <c r="W8" s="170"/>
      <c r="X8" s="170"/>
      <c r="Y8" s="170"/>
      <c r="Z8" s="170"/>
      <c r="AA8" s="170"/>
      <c r="AB8" s="170"/>
    </row>
    <row r="9" spans="1:28" s="23" customFormat="1" ht="15" customHeight="1" thickBot="1" x14ac:dyDescent="0.3">
      <c r="F9" s="171"/>
      <c r="G9" s="171"/>
      <c r="H9" s="171"/>
      <c r="I9" s="171"/>
      <c r="J9" s="171"/>
      <c r="K9" s="171"/>
      <c r="L9" s="171"/>
      <c r="M9" s="171"/>
      <c r="N9" s="171"/>
      <c r="O9" s="171"/>
      <c r="P9" s="171"/>
      <c r="Q9" s="171"/>
      <c r="R9" s="171"/>
      <c r="S9" s="171"/>
      <c r="T9" s="171"/>
      <c r="U9" s="171"/>
      <c r="V9" s="171"/>
      <c r="W9" s="171"/>
      <c r="X9" s="171"/>
      <c r="Y9" s="171"/>
      <c r="Z9" s="171"/>
      <c r="AA9" s="171"/>
      <c r="AB9" s="171"/>
    </row>
    <row r="10" spans="1:28" ht="15" customHeight="1" thickTop="1" x14ac:dyDescent="0.25">
      <c r="A10" s="167" t="s">
        <v>26</v>
      </c>
      <c r="B10" s="167"/>
      <c r="C10" s="167"/>
      <c r="D10" s="167"/>
      <c r="E10"/>
    </row>
    <row r="11" spans="1:28" ht="15" customHeight="1" x14ac:dyDescent="0.25">
      <c r="A11" s="168"/>
      <c r="B11" s="168"/>
      <c r="C11" s="168"/>
      <c r="D11" s="168"/>
      <c r="E11" s="33"/>
      <c r="F11" s="70"/>
      <c r="G11" s="70"/>
      <c r="H11" s="70"/>
      <c r="I11" s="70"/>
      <c r="J11" s="70"/>
      <c r="K11" s="70"/>
      <c r="L11" s="70"/>
      <c r="M11" s="70"/>
      <c r="N11" s="70"/>
      <c r="O11" s="70"/>
      <c r="P11" s="70"/>
      <c r="Q11" s="70"/>
      <c r="R11" s="70"/>
      <c r="S11" s="70"/>
      <c r="T11" s="70"/>
      <c r="U11" s="70"/>
      <c r="V11" s="70"/>
      <c r="W11" s="70"/>
      <c r="X11" s="70"/>
      <c r="Y11" s="70"/>
      <c r="Z11" s="70"/>
      <c r="AA11" s="70"/>
      <c r="AB11" s="70"/>
    </row>
    <row r="12" spans="1:28" ht="15" customHeight="1" x14ac:dyDescent="0.25">
      <c r="A12" s="168"/>
      <c r="B12" s="168"/>
      <c r="C12" s="168"/>
      <c r="D12" s="168"/>
      <c r="E12" s="33"/>
      <c r="F12" s="70"/>
      <c r="G12" s="70"/>
      <c r="H12" s="70"/>
      <c r="I12" s="70"/>
      <c r="J12" s="70"/>
      <c r="K12" s="70"/>
      <c r="L12" s="70"/>
      <c r="M12" s="70"/>
      <c r="N12" s="70"/>
      <c r="O12" s="70"/>
      <c r="P12" s="70"/>
      <c r="Q12" s="70"/>
      <c r="R12" s="70"/>
      <c r="S12" s="70"/>
      <c r="T12" s="70"/>
      <c r="U12" s="70"/>
      <c r="V12" s="70"/>
      <c r="W12" s="70"/>
      <c r="X12" s="70"/>
      <c r="Y12" s="70"/>
      <c r="Z12" s="70"/>
      <c r="AA12" s="70"/>
      <c r="AB12" s="70"/>
    </row>
    <row r="13" spans="1:28" ht="15" customHeight="1" x14ac:dyDescent="0.45">
      <c r="A13" s="34"/>
      <c r="B13" s="34"/>
      <c r="C13" s="34"/>
      <c r="D13" s="34"/>
      <c r="E13" s="28"/>
      <c r="F13" s="70"/>
      <c r="G13" s="70"/>
      <c r="H13" s="70"/>
      <c r="I13" s="70"/>
      <c r="J13" s="70"/>
      <c r="K13" s="70"/>
      <c r="L13" s="70"/>
      <c r="M13" s="70"/>
      <c r="N13" s="70"/>
      <c r="O13" s="70"/>
      <c r="P13" s="70"/>
      <c r="Q13" s="70"/>
      <c r="R13" s="70"/>
      <c r="S13" s="70"/>
      <c r="T13" s="70"/>
      <c r="U13" s="70"/>
      <c r="V13" s="70"/>
      <c r="W13" s="70"/>
      <c r="X13" s="70"/>
      <c r="Y13" s="70"/>
      <c r="Z13" s="70"/>
      <c r="AA13" s="70"/>
      <c r="AB13" s="70"/>
    </row>
    <row r="14" spans="1:28" x14ac:dyDescent="0.25">
      <c r="A14" s="35"/>
      <c r="B14" s="35"/>
      <c r="C14" s="35"/>
      <c r="D14" s="35"/>
      <c r="F14" s="70"/>
      <c r="G14" s="70"/>
      <c r="H14" s="70"/>
      <c r="I14" s="70"/>
      <c r="J14" s="70"/>
      <c r="K14" s="70"/>
      <c r="L14" s="70"/>
      <c r="M14" s="70"/>
      <c r="N14" s="70"/>
      <c r="O14" s="70"/>
      <c r="P14" s="70"/>
      <c r="Q14" s="70"/>
      <c r="R14" s="70"/>
      <c r="S14" s="70"/>
      <c r="T14" s="70"/>
      <c r="U14" s="70"/>
      <c r="V14" s="70"/>
      <c r="W14" s="70"/>
      <c r="X14" s="70"/>
      <c r="Y14" s="70"/>
      <c r="Z14" s="70"/>
      <c r="AA14" s="70"/>
      <c r="AB14" s="70"/>
    </row>
  </sheetData>
  <mergeCells count="2">
    <mergeCell ref="F5:AB9"/>
    <mergeCell ref="A10:D12"/>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6319A-EE88-4492-B098-3D827B633714}">
  <sheetPr codeName="Sheet1"/>
  <dimension ref="A1:AL5000"/>
  <sheetViews>
    <sheetView showGridLines="0" showRowColHeaders="0" topLeftCell="G1" zoomScaleNormal="100" workbookViewId="0">
      <selection activeCell="G1" sqref="G1"/>
    </sheetView>
  </sheetViews>
  <sheetFormatPr defaultColWidth="9.140625" defaultRowHeight="15" x14ac:dyDescent="0.25"/>
  <cols>
    <col min="1" max="1" width="59.140625" style="12" hidden="1" customWidth="1"/>
    <col min="2" max="2" width="39.28515625" style="12" hidden="1" customWidth="1"/>
    <col min="3" max="3" width="26.7109375" style="12" hidden="1" customWidth="1"/>
    <col min="4" max="4" width="23.140625" style="12" hidden="1" customWidth="1"/>
    <col min="5" max="5" width="48.28515625" style="12" hidden="1" customWidth="1"/>
    <col min="6" max="6" width="60.85546875" style="12" hidden="1" customWidth="1"/>
    <col min="7" max="7" width="36.5703125" style="35" customWidth="1"/>
    <col min="8" max="8" width="9.140625" style="20" customWidth="1"/>
    <col min="9" max="9" width="5" style="21" bestFit="1" customWidth="1"/>
    <col min="10" max="10" width="26.85546875" style="21" bestFit="1" customWidth="1"/>
    <col min="11" max="11" width="29.7109375" style="21" bestFit="1" customWidth="1"/>
    <col min="12" max="12" width="8.7109375" style="21" bestFit="1" customWidth="1"/>
    <col min="13" max="13" width="14.42578125" style="21" bestFit="1" customWidth="1"/>
    <col min="14" max="14" width="11.28515625" style="21" customWidth="1"/>
    <col min="15" max="15" width="3.5703125" style="124" customWidth="1"/>
    <col min="16" max="16" width="3.5703125" style="20" customWidth="1"/>
    <col min="17" max="17" width="22.140625" style="20" hidden="1" customWidth="1"/>
    <col min="18" max="18" width="37.7109375" style="20" hidden="1" customWidth="1"/>
    <col min="19" max="19" width="28" style="20" hidden="1" customWidth="1"/>
    <col min="20" max="20" width="21.140625" style="20" hidden="1" customWidth="1"/>
    <col min="21" max="21" width="5" style="21" bestFit="1" customWidth="1"/>
    <col min="22" max="22" width="26.85546875" style="21" bestFit="1" customWidth="1"/>
    <col min="23" max="23" width="29.7109375" style="21" bestFit="1" customWidth="1"/>
    <col min="24" max="24" width="8.7109375" style="21" bestFit="1" customWidth="1"/>
    <col min="25" max="25" width="14.42578125" style="21" bestFit="1" customWidth="1"/>
    <col min="26" max="26" width="11.28515625" style="21" customWidth="1"/>
    <col min="27" max="27" width="5.140625" style="124" customWidth="1"/>
    <col min="28" max="33" width="5.140625" style="20" hidden="1" customWidth="1"/>
    <col min="34" max="35" width="5.140625" style="20" customWidth="1"/>
    <col min="36" max="16384" width="9.140625" style="20"/>
  </cols>
  <sheetData>
    <row r="1" spans="1:38" s="43" customFormat="1" ht="15" customHeight="1" x14ac:dyDescent="0.7">
      <c r="A1" s="185" t="str">
        <f>IF(M22="","",IF(M22="NOT IN BOM 2","DOUBLE CLICK TO COPY TO BOM 2",IF(RIGHT(M22,3) = "QTY","DOUBLE CLICK TO COPY QTY TO BOM 2","")))</f>
        <v/>
      </c>
      <c r="B1" s="186"/>
      <c r="C1" s="186"/>
      <c r="D1" s="186"/>
      <c r="E1" s="186"/>
      <c r="F1" s="185"/>
      <c r="G1" s="41"/>
      <c r="H1" s="41"/>
      <c r="I1" s="41"/>
      <c r="J1" s="41"/>
      <c r="K1" s="41"/>
      <c r="L1" s="41"/>
      <c r="M1" s="41"/>
      <c r="N1" s="42"/>
      <c r="O1" s="42"/>
      <c r="U1" s="44"/>
      <c r="V1" s="180"/>
      <c r="W1" s="172"/>
      <c r="X1" s="172"/>
      <c r="Y1" s="172"/>
      <c r="Z1" s="45"/>
      <c r="AA1" s="125"/>
      <c r="AH1" s="46"/>
      <c r="AI1" s="46"/>
      <c r="AJ1" s="46"/>
      <c r="AK1" s="46"/>
      <c r="AL1" s="46"/>
    </row>
    <row r="2" spans="1:38" s="43" customFormat="1" ht="15" customHeight="1" x14ac:dyDescent="0.7">
      <c r="A2" s="185"/>
      <c r="B2" s="185"/>
      <c r="C2" s="185"/>
      <c r="D2" s="185"/>
      <c r="E2" s="185"/>
      <c r="F2" s="185"/>
      <c r="G2" s="41"/>
      <c r="H2" s="41"/>
      <c r="I2" s="41"/>
      <c r="J2" s="41"/>
      <c r="K2" s="41"/>
      <c r="L2" s="41"/>
      <c r="M2" s="41"/>
      <c r="N2" s="42"/>
      <c r="O2" s="42"/>
      <c r="P2" s="47"/>
      <c r="Q2" s="47"/>
      <c r="R2" s="47"/>
      <c r="S2" s="47"/>
      <c r="T2" s="47"/>
      <c r="U2" s="48"/>
      <c r="V2" s="181"/>
      <c r="W2" s="172"/>
      <c r="X2" s="172"/>
      <c r="Y2" s="172"/>
      <c r="Z2" s="45"/>
      <c r="AA2" s="125"/>
      <c r="AH2" s="46"/>
      <c r="AI2" s="46"/>
      <c r="AJ2" s="46"/>
      <c r="AK2" s="46"/>
      <c r="AL2" s="46"/>
    </row>
    <row r="3" spans="1:38" s="43" customFormat="1" ht="15" customHeight="1" x14ac:dyDescent="0.7">
      <c r="A3" s="185"/>
      <c r="B3" s="185"/>
      <c r="C3" s="185"/>
      <c r="D3" s="185"/>
      <c r="E3" s="185"/>
      <c r="F3" s="185"/>
      <c r="G3" s="41"/>
      <c r="H3" s="41"/>
      <c r="I3" s="41"/>
      <c r="J3" s="41"/>
      <c r="K3" s="41"/>
      <c r="L3" s="41"/>
      <c r="M3" s="41"/>
      <c r="N3" s="42"/>
      <c r="O3" s="42"/>
      <c r="P3" s="47"/>
      <c r="Q3" s="47"/>
      <c r="R3" s="47"/>
      <c r="S3" s="47"/>
      <c r="T3" s="47"/>
      <c r="U3" s="48"/>
      <c r="V3" s="49"/>
      <c r="W3" s="50"/>
      <c r="X3" s="173"/>
      <c r="Y3" s="173"/>
      <c r="Z3" s="50"/>
      <c r="AA3" s="126"/>
      <c r="AE3" s="122" t="s">
        <v>309</v>
      </c>
      <c r="AF3" s="122" t="s">
        <v>310</v>
      </c>
    </row>
    <row r="4" spans="1:38" s="43" customFormat="1" ht="15" customHeight="1" x14ac:dyDescent="0.25">
      <c r="A4" s="185"/>
      <c r="B4" s="185"/>
      <c r="C4" s="185"/>
      <c r="D4" s="185"/>
      <c r="E4" s="185"/>
      <c r="F4" s="186"/>
      <c r="I4" s="47"/>
      <c r="J4" s="44"/>
      <c r="K4" s="44"/>
      <c r="L4" s="44"/>
      <c r="M4" s="44"/>
      <c r="N4" s="44"/>
      <c r="O4" s="44"/>
      <c r="P4" s="47"/>
      <c r="Q4" s="47"/>
      <c r="R4" s="47"/>
      <c r="S4" s="47"/>
      <c r="T4" s="47"/>
      <c r="U4" s="47"/>
      <c r="V4" s="49"/>
      <c r="W4" s="50"/>
      <c r="X4" s="173"/>
      <c r="Y4" s="173"/>
      <c r="Z4" s="50"/>
      <c r="AA4" s="126"/>
    </row>
    <row r="5" spans="1:38" s="22" customFormat="1" ht="15" customHeight="1" x14ac:dyDescent="0.25">
      <c r="A5" s="185"/>
      <c r="B5" s="185"/>
      <c r="C5" s="185"/>
      <c r="D5" s="185"/>
      <c r="E5" s="185"/>
      <c r="F5" s="185"/>
      <c r="I5" s="37"/>
      <c r="J5" s="30"/>
      <c r="K5" s="30"/>
      <c r="L5" s="30"/>
      <c r="M5" s="30"/>
      <c r="N5" s="30"/>
      <c r="O5" s="30"/>
      <c r="P5" s="37"/>
      <c r="Q5" s="37"/>
      <c r="R5" s="37"/>
      <c r="S5" s="37"/>
      <c r="T5" s="37"/>
      <c r="U5" s="37"/>
      <c r="V5" s="51"/>
      <c r="W5" s="38"/>
      <c r="X5" s="176"/>
      <c r="Y5" s="176"/>
      <c r="Z5" s="38"/>
      <c r="AA5" s="128"/>
    </row>
    <row r="6" spans="1:38" s="22" customFormat="1" ht="15" customHeight="1" x14ac:dyDescent="0.25">
      <c r="A6" s="185"/>
      <c r="B6" s="185"/>
      <c r="C6" s="186"/>
      <c r="D6" s="185"/>
      <c r="E6" s="185"/>
      <c r="F6" s="185"/>
      <c r="I6" s="37"/>
      <c r="J6" s="175" t="s">
        <v>315</v>
      </c>
      <c r="K6" s="175"/>
      <c r="L6" s="175"/>
      <c r="M6" s="175"/>
      <c r="N6" s="175"/>
      <c r="O6" s="175"/>
      <c r="P6" s="175"/>
      <c r="Q6" s="175"/>
      <c r="R6" s="175"/>
      <c r="S6" s="175"/>
      <c r="T6" s="175"/>
      <c r="U6" s="175"/>
      <c r="V6" s="175"/>
      <c r="W6" s="175"/>
      <c r="X6" s="175"/>
      <c r="Y6" s="175"/>
      <c r="Z6" s="38"/>
      <c r="AA6" s="128"/>
    </row>
    <row r="7" spans="1:38" s="22" customFormat="1" ht="15" customHeight="1" x14ac:dyDescent="0.25">
      <c r="A7" s="187"/>
      <c r="B7" s="187"/>
      <c r="C7" s="187"/>
      <c r="D7" s="187"/>
      <c r="E7" s="187"/>
      <c r="F7" s="187"/>
      <c r="I7" s="37"/>
      <c r="J7" s="175"/>
      <c r="K7" s="175"/>
      <c r="L7" s="175"/>
      <c r="M7" s="175"/>
      <c r="N7" s="175"/>
      <c r="O7" s="175"/>
      <c r="P7" s="175"/>
      <c r="Q7" s="175"/>
      <c r="R7" s="175"/>
      <c r="S7" s="175"/>
      <c r="T7" s="175"/>
      <c r="U7" s="175"/>
      <c r="V7" s="175"/>
      <c r="W7" s="175"/>
      <c r="X7" s="175"/>
      <c r="Y7" s="175"/>
      <c r="Z7" s="38"/>
      <c r="AA7" s="128"/>
    </row>
    <row r="8" spans="1:38" s="22" customFormat="1" ht="15" customHeight="1" x14ac:dyDescent="0.25">
      <c r="A8" s="187"/>
      <c r="B8" s="187"/>
      <c r="C8" s="187"/>
      <c r="D8" s="187"/>
      <c r="E8" s="187"/>
      <c r="F8" s="187"/>
      <c r="I8" s="37"/>
      <c r="J8" s="175"/>
      <c r="K8" s="175"/>
      <c r="L8" s="175"/>
      <c r="M8" s="175"/>
      <c r="N8" s="175"/>
      <c r="O8" s="175"/>
      <c r="P8" s="175"/>
      <c r="Q8" s="175"/>
      <c r="R8" s="175"/>
      <c r="S8" s="175"/>
      <c r="T8" s="175"/>
      <c r="U8" s="175"/>
      <c r="V8" s="175"/>
      <c r="W8" s="175"/>
      <c r="X8" s="175"/>
      <c r="Y8" s="175"/>
      <c r="Z8" s="38"/>
      <c r="AA8" s="128"/>
    </row>
    <row r="9" spans="1:38" s="23" customFormat="1" ht="15" customHeight="1" thickBot="1" x14ac:dyDescent="0.3">
      <c r="A9" s="188"/>
      <c r="B9" s="189"/>
      <c r="C9" s="189"/>
      <c r="D9" s="189"/>
      <c r="E9" s="189"/>
      <c r="F9" s="188"/>
      <c r="I9" s="39"/>
      <c r="J9" s="52"/>
      <c r="K9" s="52"/>
      <c r="L9" s="52"/>
      <c r="M9" s="52"/>
      <c r="N9" s="52"/>
      <c r="O9" s="52"/>
      <c r="P9" s="39"/>
      <c r="Q9" s="39"/>
      <c r="R9" s="39"/>
      <c r="S9" s="39"/>
      <c r="T9" s="39"/>
      <c r="U9" s="39"/>
      <c r="V9" s="53"/>
      <c r="W9" s="40"/>
      <c r="X9" s="178"/>
      <c r="Y9" s="178"/>
      <c r="Z9" s="40"/>
      <c r="AA9" s="129"/>
    </row>
    <row r="10" spans="1:38" ht="30" customHeight="1" thickTop="1" x14ac:dyDescent="0.25">
      <c r="A10" s="14"/>
      <c r="B10" s="136"/>
      <c r="C10" s="136"/>
      <c r="D10" s="136"/>
      <c r="E10" s="136"/>
      <c r="F10" s="14"/>
      <c r="G10" s="167" t="s">
        <v>26</v>
      </c>
      <c r="H10" s="74"/>
      <c r="I10" s="1"/>
      <c r="J10" s="54"/>
      <c r="K10" s="19"/>
      <c r="L10" s="19"/>
      <c r="M10" s="55"/>
      <c r="N10" s="55"/>
      <c r="O10" s="127"/>
      <c r="P10" s="1"/>
      <c r="Q10" s="1"/>
      <c r="R10" s="1"/>
      <c r="S10" s="1"/>
      <c r="T10" s="1"/>
      <c r="U10" s="1"/>
      <c r="V10" s="1"/>
      <c r="W10" s="1"/>
      <c r="X10" s="1"/>
      <c r="Y10" s="1"/>
      <c r="Z10" s="1"/>
      <c r="AA10" s="1"/>
    </row>
    <row r="11" spans="1:38" ht="15" customHeight="1" x14ac:dyDescent="0.25">
      <c r="A11" s="14"/>
      <c r="B11" s="136"/>
      <c r="C11" s="136"/>
      <c r="D11" s="136"/>
      <c r="E11" s="136"/>
      <c r="F11" s="14"/>
      <c r="G11" s="168"/>
      <c r="H11" s="33"/>
      <c r="I11" s="150"/>
      <c r="J11" s="150"/>
      <c r="K11" s="149"/>
      <c r="L11" s="149"/>
      <c r="M11" s="16"/>
      <c r="N11" s="19"/>
      <c r="O11" s="19"/>
      <c r="P11" s="1"/>
      <c r="Q11" s="1"/>
      <c r="R11" s="1"/>
      <c r="S11" s="1"/>
      <c r="T11" s="1"/>
      <c r="U11" s="1"/>
      <c r="V11" s="1"/>
      <c r="W11" s="1"/>
      <c r="X11" s="1"/>
      <c r="Y11" s="1"/>
      <c r="Z11" s="1"/>
      <c r="AA11" s="1"/>
    </row>
    <row r="12" spans="1:38" ht="15.75" x14ac:dyDescent="0.25">
      <c r="B12" s="137"/>
      <c r="C12" s="137"/>
      <c r="D12" s="137"/>
      <c r="E12" s="137"/>
      <c r="J12" s="177" t="s">
        <v>8</v>
      </c>
      <c r="K12" s="177"/>
      <c r="L12" s="32"/>
      <c r="M12" s="56"/>
      <c r="N12" s="56"/>
      <c r="O12" s="56"/>
      <c r="V12" s="177" t="s">
        <v>10</v>
      </c>
      <c r="W12" s="177"/>
      <c r="X12" s="57"/>
      <c r="Y12" s="57"/>
      <c r="Z12" s="57"/>
      <c r="AA12" s="57"/>
    </row>
    <row r="13" spans="1:38" ht="15.75" customHeight="1" x14ac:dyDescent="0.35">
      <c r="B13" s="137"/>
      <c r="C13" s="137"/>
      <c r="D13" s="137"/>
      <c r="E13" s="137"/>
      <c r="H13" s="112"/>
      <c r="I13" s="131"/>
      <c r="J13" s="159" t="s">
        <v>9</v>
      </c>
      <c r="K13" s="159" t="s">
        <v>7</v>
      </c>
      <c r="M13" s="59"/>
      <c r="N13" s="59"/>
      <c r="O13" s="59"/>
      <c r="P13" s="18"/>
      <c r="Q13" s="18"/>
      <c r="R13" s="18"/>
      <c r="S13" s="18"/>
      <c r="T13" s="18"/>
      <c r="V13" s="119" t="s">
        <v>9</v>
      </c>
      <c r="W13" s="58" t="s">
        <v>7</v>
      </c>
      <c r="Y13" s="60"/>
      <c r="Z13" s="60"/>
      <c r="AA13" s="60"/>
    </row>
    <row r="14" spans="1:38" ht="21" x14ac:dyDescent="0.35">
      <c r="B14" s="137"/>
      <c r="C14" s="137"/>
      <c r="D14" s="137"/>
      <c r="E14" s="137"/>
      <c r="F14" s="137"/>
      <c r="G14" s="112"/>
      <c r="H14" s="112"/>
      <c r="I14" s="131"/>
      <c r="J14" s="151"/>
      <c r="K14" s="151"/>
      <c r="L14" s="131"/>
      <c r="M14" s="61"/>
      <c r="N14" s="61"/>
      <c r="O14" s="61"/>
      <c r="P14" s="133"/>
      <c r="Q14" s="133"/>
      <c r="R14" s="133"/>
      <c r="S14" s="133"/>
      <c r="T14" s="133"/>
      <c r="U14" s="62"/>
      <c r="V14" s="151"/>
      <c r="W14" s="151"/>
      <c r="X14" s="179"/>
      <c r="Y14" s="179"/>
      <c r="Z14" s="63"/>
      <c r="AA14" s="130"/>
    </row>
    <row r="15" spans="1:38" ht="29.25" customHeight="1" x14ac:dyDescent="0.45">
      <c r="A15" s="182"/>
      <c r="B15" s="183"/>
      <c r="C15" s="137"/>
      <c r="D15" s="137"/>
      <c r="E15" s="183"/>
      <c r="F15" s="184"/>
      <c r="G15" s="34"/>
      <c r="H15" s="28"/>
      <c r="I15" s="55"/>
      <c r="J15" s="154"/>
      <c r="K15" s="55"/>
      <c r="L15" s="55"/>
      <c r="M15" s="55"/>
      <c r="N15" s="55"/>
      <c r="O15" s="127"/>
      <c r="P15" s="18"/>
      <c r="Q15" s="18"/>
      <c r="R15" s="18"/>
      <c r="S15" s="18"/>
      <c r="T15" s="135"/>
      <c r="U15" s="134"/>
      <c r="V15" s="134"/>
      <c r="W15" s="134"/>
      <c r="X15" s="63"/>
      <c r="Y15" s="63"/>
      <c r="Z15" s="63"/>
      <c r="AA15" s="130"/>
    </row>
    <row r="16" spans="1:38" s="65" customFormat="1" ht="30" x14ac:dyDescent="0.35">
      <c r="A16" s="146"/>
      <c r="B16" s="163"/>
      <c r="C16" s="138"/>
      <c r="D16" s="138"/>
      <c r="E16" s="163"/>
      <c r="F16" s="135"/>
      <c r="G16" s="143"/>
      <c r="I16" s="118" t="s">
        <v>27</v>
      </c>
      <c r="J16" s="118" t="s">
        <v>6</v>
      </c>
      <c r="K16" s="118" t="s">
        <v>0</v>
      </c>
      <c r="L16" s="118" t="s">
        <v>1</v>
      </c>
      <c r="M16" s="66" t="s">
        <v>2</v>
      </c>
      <c r="N16" s="66" t="s">
        <v>308</v>
      </c>
      <c r="O16" s="66"/>
      <c r="P16" s="55"/>
      <c r="Q16" s="174" t="s">
        <v>3</v>
      </c>
      <c r="R16" s="174"/>
      <c r="S16" s="174"/>
      <c r="T16" s="174"/>
      <c r="U16" s="55" t="s">
        <v>27</v>
      </c>
      <c r="V16" s="55" t="s">
        <v>6</v>
      </c>
      <c r="W16" s="55" t="s">
        <v>0</v>
      </c>
      <c r="X16" s="55" t="s">
        <v>1</v>
      </c>
      <c r="Y16" s="66" t="s">
        <v>4</v>
      </c>
      <c r="Z16" s="66" t="s">
        <v>308</v>
      </c>
      <c r="AA16" s="66"/>
      <c r="AB16" s="174" t="s">
        <v>5</v>
      </c>
      <c r="AC16" s="174"/>
      <c r="AD16" s="174"/>
      <c r="AE16" s="174"/>
    </row>
    <row r="17" spans="1:33" x14ac:dyDescent="0.25">
      <c r="A17" s="147"/>
      <c r="B17" s="139"/>
      <c r="C17" s="140"/>
      <c r="D17" s="140"/>
      <c r="E17" s="141"/>
      <c r="F17" s="141"/>
      <c r="G17" s="112"/>
      <c r="H17" s="112"/>
      <c r="I17" s="131" t="str">
        <f t="shared" ref="I17:I48" si="0">IF(A17="","",LEFT(A17,4))</f>
        <v/>
      </c>
      <c r="J17" s="132" t="str">
        <f>TRIM(SUBSTITUTE(SUBSTITUTE(AF17, "-??", "-SZ"), "_", ""))</f>
        <v/>
      </c>
      <c r="K17" s="132" t="str">
        <f>IF(B17="","",SUBSTITUTE(B17, "_", ""))</f>
        <v/>
      </c>
      <c r="L17" s="131" t="str">
        <f>IF(A17="","",MID(A17,32,11))</f>
        <v/>
      </c>
      <c r="M17" s="21" t="str">
        <f t="shared" ref="M17:M48" si="1">IFERROR(VLOOKUP(J17&amp;L17,$AD$16:$AE$113,2,FALSE),IFERROR(VLOOKUP(J17,$AB$16:$AE$113,4,FALSE) &amp; " - DIFF QTY","NOT IN BOM 2"))</f>
        <v/>
      </c>
      <c r="N17" s="121" t="str">
        <f>IF(M17="","",IF(M17="    ","",$AF$3))</f>
        <v/>
      </c>
      <c r="O17" s="124" t="s">
        <v>311</v>
      </c>
      <c r="P17" s="21"/>
      <c r="Q17" s="21" t="str">
        <f t="shared" ref="Q17:Q48" si="2">J17</f>
        <v/>
      </c>
      <c r="R17" s="21" t="str">
        <f t="shared" ref="R17:R48" si="3">L17</f>
        <v/>
      </c>
      <c r="S17" s="20" t="str">
        <f>Q17&amp;R17</f>
        <v/>
      </c>
      <c r="T17" s="21" t="str">
        <f t="shared" ref="T17:T48" si="4">I17</f>
        <v/>
      </c>
      <c r="U17" s="131" t="str">
        <f t="shared" ref="U17:U48" si="5">IF(E17="","",LEFT(E17,4))</f>
        <v/>
      </c>
      <c r="V17" s="132" t="str">
        <f>TRIM(SUBSTITUTE(SUBSTITUTE(AG17, "-??", "-SZ"), "_", ""))</f>
        <v/>
      </c>
      <c r="W17" s="132" t="str">
        <f t="shared" ref="W17:W48" si="6">IF(F17="","",SUBSTITUTE(F17, "_", ""))</f>
        <v/>
      </c>
      <c r="X17" s="131" t="str">
        <f t="shared" ref="X17:X48" si="7">IF(E17="","",MID(E17,32,11))</f>
        <v/>
      </c>
      <c r="Y17" s="131" t="str">
        <f>IFERROR(VLOOKUP(V17&amp;X17,$S$16:$T$113,2,FALSE),IFERROR(VLOOKUP(V17,$Q$16:$T$113,4,FALSE)&amp;" - DIFF QTY","NOT IN BOM 1"))</f>
        <v/>
      </c>
      <c r="Z17" s="123" t="str">
        <f>IF(Y17="","",IF(Y7="    ","",$AE$3))</f>
        <v/>
      </c>
      <c r="AA17" s="124" t="s">
        <v>311</v>
      </c>
      <c r="AB17" s="21" t="str">
        <f t="shared" ref="AB17:AB48" si="8">V17</f>
        <v/>
      </c>
      <c r="AC17" s="20" t="str">
        <f t="shared" ref="AC17:AC48" si="9">X17</f>
        <v/>
      </c>
      <c r="AD17" s="20" t="str">
        <f>AB17&amp;AC17</f>
        <v/>
      </c>
      <c r="AE17" s="20" t="str">
        <f t="shared" ref="AE17:AE48" si="10">U17</f>
        <v/>
      </c>
      <c r="AF17" s="20" t="str">
        <f t="shared" ref="AF17:AF48" si="11">IF(A17="","",MID(A17,5,26))</f>
        <v/>
      </c>
      <c r="AG17" s="20" t="str">
        <f t="shared" ref="AG17:AG48" si="12">IF(E17="","",MID(E17,5,26))</f>
        <v/>
      </c>
    </row>
    <row r="18" spans="1:33" x14ac:dyDescent="0.25">
      <c r="A18" s="147"/>
      <c r="B18" s="139"/>
      <c r="C18" s="140"/>
      <c r="D18" s="140"/>
      <c r="E18" s="141"/>
      <c r="F18" s="68"/>
      <c r="I18" s="131" t="str">
        <f t="shared" si="0"/>
        <v/>
      </c>
      <c r="J18" s="132" t="str">
        <f t="shared" ref="J18:J81" si="13">TRIM(SUBSTITUTE(SUBSTITUTE(AF18, "-??", "-SZ"), "_", ""))</f>
        <v/>
      </c>
      <c r="K18" s="132" t="str">
        <f>IF(B18="","",SUBSTITUTE(B18, "_", ""))</f>
        <v/>
      </c>
      <c r="L18" s="131" t="str">
        <f>IF(A18="","",MID(A18,32,11))</f>
        <v/>
      </c>
      <c r="M18" s="21" t="str">
        <f t="shared" si="1"/>
        <v/>
      </c>
      <c r="N18" s="120" t="str">
        <f t="shared" ref="N18:N48" si="14">IF(M18="","",IF(M18="    ","",$AF$3))</f>
        <v/>
      </c>
      <c r="O18" s="124" t="s">
        <v>311</v>
      </c>
      <c r="P18" s="21"/>
      <c r="Q18" s="21" t="str">
        <f t="shared" si="2"/>
        <v/>
      </c>
      <c r="R18" s="21" t="str">
        <f t="shared" si="3"/>
        <v/>
      </c>
      <c r="S18" s="20" t="str">
        <f t="shared" ref="S18:S81" si="15">Q18&amp;R18</f>
        <v/>
      </c>
      <c r="T18" s="21" t="str">
        <f t="shared" si="4"/>
        <v/>
      </c>
      <c r="U18" s="131" t="str">
        <f t="shared" si="5"/>
        <v/>
      </c>
      <c r="V18" s="132" t="str">
        <f t="shared" ref="V18:V81" si="16">TRIM(SUBSTITUTE(SUBSTITUTE(AG18, "-??", "-SZ"), "_", ""))</f>
        <v/>
      </c>
      <c r="W18" s="132" t="str">
        <f t="shared" si="6"/>
        <v/>
      </c>
      <c r="X18" s="131" t="str">
        <f t="shared" si="7"/>
        <v/>
      </c>
      <c r="Y18" s="21" t="str">
        <f t="shared" ref="Y18:Y81" si="17">IFERROR(VLOOKUP(V18&amp;X18,$S$16:$T$113,2,FALSE),IFERROR(VLOOKUP(V18,$Q$16:$T$113,4,FALSE)&amp;" - DIFF QTY","NOT IN BOM 1"))</f>
        <v/>
      </c>
      <c r="Z18" s="21" t="str">
        <f>IF(Y18="","",IF(Y18="    ","",$AE$3))</f>
        <v/>
      </c>
      <c r="AA18" s="124" t="s">
        <v>311</v>
      </c>
      <c r="AB18" s="21" t="str">
        <f t="shared" si="8"/>
        <v/>
      </c>
      <c r="AC18" s="20" t="str">
        <f t="shared" si="9"/>
        <v/>
      </c>
      <c r="AD18" s="20" t="str">
        <f t="shared" ref="AD18:AD81" si="18">AB18&amp;AC18</f>
        <v/>
      </c>
      <c r="AE18" s="20" t="str">
        <f t="shared" si="10"/>
        <v/>
      </c>
      <c r="AF18" s="20" t="str">
        <f t="shared" si="11"/>
        <v/>
      </c>
      <c r="AG18" s="20" t="str">
        <f t="shared" si="12"/>
        <v/>
      </c>
    </row>
    <row r="19" spans="1:33" x14ac:dyDescent="0.25">
      <c r="A19" s="147"/>
      <c r="B19" s="139"/>
      <c r="C19" s="140"/>
      <c r="D19" s="140"/>
      <c r="E19" s="141"/>
      <c r="F19" s="68"/>
      <c r="I19" s="131" t="str">
        <f t="shared" si="0"/>
        <v/>
      </c>
      <c r="J19" s="132" t="str">
        <f t="shared" si="13"/>
        <v/>
      </c>
      <c r="K19" s="132" t="str">
        <f>IF(B19="","",SUBSTITUTE(B19, "_", ""))</f>
        <v/>
      </c>
      <c r="L19" s="131" t="str">
        <f t="shared" ref="L19:L81" si="19">IF(A19="","",MID(A19,32,11))</f>
        <v/>
      </c>
      <c r="M19" s="21" t="str">
        <f t="shared" si="1"/>
        <v/>
      </c>
      <c r="N19" s="120" t="str">
        <f t="shared" si="14"/>
        <v/>
      </c>
      <c r="O19" s="124" t="s">
        <v>311</v>
      </c>
      <c r="P19" s="21"/>
      <c r="Q19" s="21" t="str">
        <f t="shared" si="2"/>
        <v/>
      </c>
      <c r="R19" s="21" t="str">
        <f t="shared" si="3"/>
        <v/>
      </c>
      <c r="S19" s="20" t="str">
        <f t="shared" si="15"/>
        <v/>
      </c>
      <c r="T19" s="21" t="str">
        <f t="shared" si="4"/>
        <v/>
      </c>
      <c r="U19" s="131" t="str">
        <f t="shared" si="5"/>
        <v/>
      </c>
      <c r="V19" s="132" t="str">
        <f t="shared" si="16"/>
        <v/>
      </c>
      <c r="W19" s="132" t="str">
        <f t="shared" si="6"/>
        <v/>
      </c>
      <c r="X19" s="131" t="str">
        <f t="shared" si="7"/>
        <v/>
      </c>
      <c r="Y19" s="21" t="str">
        <f t="shared" si="17"/>
        <v/>
      </c>
      <c r="Z19" s="21" t="str">
        <f t="shared" ref="Z19:Z48" si="20">IF(Y19="","",IF(Y19="    ","",$AE$3))</f>
        <v/>
      </c>
      <c r="AA19" s="124" t="s">
        <v>311</v>
      </c>
      <c r="AB19" s="21" t="str">
        <f t="shared" si="8"/>
        <v/>
      </c>
      <c r="AC19" s="20" t="str">
        <f t="shared" si="9"/>
        <v/>
      </c>
      <c r="AD19" s="20" t="str">
        <f t="shared" si="18"/>
        <v/>
      </c>
      <c r="AE19" s="20" t="str">
        <f t="shared" si="10"/>
        <v/>
      </c>
      <c r="AF19" s="20" t="str">
        <f t="shared" si="11"/>
        <v/>
      </c>
      <c r="AG19" s="20" t="str">
        <f t="shared" si="12"/>
        <v/>
      </c>
    </row>
    <row r="20" spans="1:33" x14ac:dyDescent="0.25">
      <c r="A20" s="147"/>
      <c r="B20" s="139"/>
      <c r="C20" s="140"/>
      <c r="D20" s="140"/>
      <c r="E20" s="141"/>
      <c r="F20" s="141"/>
      <c r="G20" s="112"/>
      <c r="H20" s="112"/>
      <c r="I20" s="131" t="str">
        <f t="shared" si="0"/>
        <v/>
      </c>
      <c r="J20" s="132" t="str">
        <f t="shared" si="13"/>
        <v/>
      </c>
      <c r="K20" s="132" t="str">
        <f t="shared" ref="K20:K81" si="21">IF(B20="","",SUBSTITUTE(B20, "_", ""))</f>
        <v/>
      </c>
      <c r="L20" s="131" t="str">
        <f t="shared" si="19"/>
        <v/>
      </c>
      <c r="M20" s="21" t="str">
        <f t="shared" si="1"/>
        <v/>
      </c>
      <c r="N20" s="120" t="str">
        <f t="shared" si="14"/>
        <v/>
      </c>
      <c r="O20" s="124" t="s">
        <v>311</v>
      </c>
      <c r="P20" s="21"/>
      <c r="Q20" s="21" t="str">
        <f t="shared" si="2"/>
        <v/>
      </c>
      <c r="R20" s="21" t="str">
        <f t="shared" si="3"/>
        <v/>
      </c>
      <c r="S20" s="20" t="str">
        <f t="shared" si="15"/>
        <v/>
      </c>
      <c r="T20" s="21" t="str">
        <f t="shared" si="4"/>
        <v/>
      </c>
      <c r="U20" s="131" t="str">
        <f t="shared" si="5"/>
        <v/>
      </c>
      <c r="V20" s="132" t="str">
        <f t="shared" si="16"/>
        <v/>
      </c>
      <c r="W20" s="132" t="str">
        <f t="shared" si="6"/>
        <v/>
      </c>
      <c r="X20" s="131" t="str">
        <f t="shared" si="7"/>
        <v/>
      </c>
      <c r="Y20" s="21" t="str">
        <f t="shared" si="17"/>
        <v/>
      </c>
      <c r="Z20" s="21" t="str">
        <f t="shared" si="20"/>
        <v/>
      </c>
      <c r="AA20" s="124" t="s">
        <v>311</v>
      </c>
      <c r="AB20" s="21" t="str">
        <f t="shared" si="8"/>
        <v/>
      </c>
      <c r="AC20" s="20" t="str">
        <f t="shared" si="9"/>
        <v/>
      </c>
      <c r="AD20" s="20" t="str">
        <f t="shared" si="18"/>
        <v/>
      </c>
      <c r="AE20" s="20" t="str">
        <f t="shared" si="10"/>
        <v/>
      </c>
      <c r="AF20" s="20" t="str">
        <f t="shared" si="11"/>
        <v/>
      </c>
      <c r="AG20" s="20" t="str">
        <f t="shared" si="12"/>
        <v/>
      </c>
    </row>
    <row r="21" spans="1:33" x14ac:dyDescent="0.25">
      <c r="A21" s="147"/>
      <c r="B21" s="139"/>
      <c r="C21" s="140"/>
      <c r="D21" s="140"/>
      <c r="E21" s="141"/>
      <c r="F21" s="68"/>
      <c r="I21" s="131" t="str">
        <f t="shared" si="0"/>
        <v/>
      </c>
      <c r="J21" s="132" t="str">
        <f t="shared" si="13"/>
        <v/>
      </c>
      <c r="K21" s="132" t="str">
        <f t="shared" si="21"/>
        <v/>
      </c>
      <c r="L21" s="131" t="str">
        <f t="shared" si="19"/>
        <v/>
      </c>
      <c r="M21" s="21" t="str">
        <f t="shared" si="1"/>
        <v/>
      </c>
      <c r="N21" s="120" t="str">
        <f>IF(M21="","",IF(M21="    ","",$AF$3))</f>
        <v/>
      </c>
      <c r="O21" s="124" t="s">
        <v>311</v>
      </c>
      <c r="P21" s="21"/>
      <c r="Q21" s="21" t="str">
        <f t="shared" si="2"/>
        <v/>
      </c>
      <c r="R21" s="21" t="str">
        <f t="shared" si="3"/>
        <v/>
      </c>
      <c r="S21" s="20" t="str">
        <f t="shared" si="15"/>
        <v/>
      </c>
      <c r="T21" s="21" t="str">
        <f t="shared" si="4"/>
        <v/>
      </c>
      <c r="U21" s="131" t="str">
        <f t="shared" si="5"/>
        <v/>
      </c>
      <c r="V21" s="132" t="str">
        <f t="shared" si="16"/>
        <v/>
      </c>
      <c r="W21" s="132" t="str">
        <f t="shared" si="6"/>
        <v/>
      </c>
      <c r="X21" s="131" t="str">
        <f t="shared" si="7"/>
        <v/>
      </c>
      <c r="Y21" s="21" t="str">
        <f t="shared" si="17"/>
        <v/>
      </c>
      <c r="Z21" s="21" t="str">
        <f t="shared" si="20"/>
        <v/>
      </c>
      <c r="AA21" s="124" t="s">
        <v>311</v>
      </c>
      <c r="AB21" s="21" t="str">
        <f t="shared" si="8"/>
        <v/>
      </c>
      <c r="AC21" s="20" t="str">
        <f t="shared" si="9"/>
        <v/>
      </c>
      <c r="AD21" s="20" t="str">
        <f t="shared" si="18"/>
        <v/>
      </c>
      <c r="AE21" s="20" t="str">
        <f t="shared" si="10"/>
        <v/>
      </c>
      <c r="AF21" s="20" t="str">
        <f t="shared" si="11"/>
        <v/>
      </c>
      <c r="AG21" s="20" t="str">
        <f t="shared" si="12"/>
        <v/>
      </c>
    </row>
    <row r="22" spans="1:33" x14ac:dyDescent="0.25">
      <c r="A22" s="147"/>
      <c r="B22" s="139"/>
      <c r="C22" s="140"/>
      <c r="D22" s="140"/>
      <c r="E22" s="141"/>
      <c r="F22" s="68"/>
      <c r="I22" s="158" t="str">
        <f t="shared" si="0"/>
        <v/>
      </c>
      <c r="J22" s="156" t="str">
        <f t="shared" si="13"/>
        <v/>
      </c>
      <c r="K22" s="156" t="str">
        <f t="shared" si="21"/>
        <v/>
      </c>
      <c r="L22" s="158" t="str">
        <f t="shared" si="19"/>
        <v/>
      </c>
      <c r="M22" s="21" t="str">
        <f t="shared" si="1"/>
        <v/>
      </c>
      <c r="N22" s="120" t="str">
        <f t="shared" si="14"/>
        <v/>
      </c>
      <c r="O22" s="124" t="s">
        <v>311</v>
      </c>
      <c r="P22" s="21"/>
      <c r="Q22" s="21" t="str">
        <f t="shared" si="2"/>
        <v/>
      </c>
      <c r="R22" s="131" t="str">
        <f t="shared" si="3"/>
        <v/>
      </c>
      <c r="S22" s="112" t="str">
        <f t="shared" si="15"/>
        <v/>
      </c>
      <c r="T22" s="131" t="str">
        <f t="shared" si="4"/>
        <v/>
      </c>
      <c r="U22" s="131" t="str">
        <f t="shared" si="5"/>
        <v/>
      </c>
      <c r="V22" s="132" t="str">
        <f t="shared" si="16"/>
        <v/>
      </c>
      <c r="W22" s="132" t="str">
        <f t="shared" si="6"/>
        <v/>
      </c>
      <c r="X22" s="131" t="str">
        <f t="shared" si="7"/>
        <v/>
      </c>
      <c r="Y22" s="21" t="str">
        <f t="shared" si="17"/>
        <v/>
      </c>
      <c r="Z22" s="21" t="str">
        <f t="shared" si="20"/>
        <v/>
      </c>
      <c r="AA22" s="124" t="s">
        <v>311</v>
      </c>
      <c r="AB22" s="21" t="str">
        <f t="shared" si="8"/>
        <v/>
      </c>
      <c r="AC22" s="20" t="str">
        <f t="shared" si="9"/>
        <v/>
      </c>
      <c r="AD22" s="20" t="str">
        <f t="shared" si="18"/>
        <v/>
      </c>
      <c r="AE22" s="20" t="str">
        <f t="shared" si="10"/>
        <v/>
      </c>
      <c r="AF22" s="20" t="str">
        <f t="shared" si="11"/>
        <v/>
      </c>
      <c r="AG22" s="20" t="str">
        <f t="shared" si="12"/>
        <v/>
      </c>
    </row>
    <row r="23" spans="1:33" x14ac:dyDescent="0.25">
      <c r="A23" s="147"/>
      <c r="B23" s="139"/>
      <c r="C23" s="140"/>
      <c r="D23" s="140"/>
      <c r="E23" s="141"/>
      <c r="F23" s="141"/>
      <c r="G23" s="112"/>
      <c r="H23" s="112"/>
      <c r="I23" s="131" t="str">
        <f t="shared" si="0"/>
        <v/>
      </c>
      <c r="J23" s="132" t="str">
        <f t="shared" si="13"/>
        <v/>
      </c>
      <c r="K23" s="132" t="str">
        <f t="shared" si="21"/>
        <v/>
      </c>
      <c r="L23" s="131" t="str">
        <f t="shared" si="19"/>
        <v/>
      </c>
      <c r="M23" s="21" t="str">
        <f t="shared" si="1"/>
        <v/>
      </c>
      <c r="N23" s="120" t="str">
        <f t="shared" si="14"/>
        <v/>
      </c>
      <c r="O23" s="124" t="s">
        <v>311</v>
      </c>
      <c r="P23" s="21"/>
      <c r="Q23" s="21" t="str">
        <f t="shared" si="2"/>
        <v/>
      </c>
      <c r="R23" s="21" t="str">
        <f t="shared" si="3"/>
        <v/>
      </c>
      <c r="S23" s="20" t="str">
        <f t="shared" si="15"/>
        <v/>
      </c>
      <c r="T23" s="21" t="str">
        <f t="shared" si="4"/>
        <v/>
      </c>
      <c r="U23" s="131" t="str">
        <f t="shared" si="5"/>
        <v/>
      </c>
      <c r="V23" s="132" t="str">
        <f t="shared" si="16"/>
        <v/>
      </c>
      <c r="W23" s="132" t="str">
        <f t="shared" si="6"/>
        <v/>
      </c>
      <c r="X23" s="131" t="str">
        <f t="shared" si="7"/>
        <v/>
      </c>
      <c r="Y23" s="21" t="str">
        <f t="shared" si="17"/>
        <v/>
      </c>
      <c r="Z23" s="21" t="str">
        <f t="shared" si="20"/>
        <v/>
      </c>
      <c r="AA23" s="124" t="s">
        <v>311</v>
      </c>
      <c r="AB23" s="21" t="str">
        <f t="shared" si="8"/>
        <v/>
      </c>
      <c r="AC23" s="20" t="str">
        <f t="shared" si="9"/>
        <v/>
      </c>
      <c r="AD23" s="20" t="str">
        <f t="shared" si="18"/>
        <v/>
      </c>
      <c r="AE23" s="20" t="str">
        <f t="shared" si="10"/>
        <v/>
      </c>
      <c r="AF23" s="20" t="str">
        <f t="shared" si="11"/>
        <v/>
      </c>
      <c r="AG23" s="20" t="str">
        <f t="shared" si="12"/>
        <v/>
      </c>
    </row>
    <row r="24" spans="1:33" x14ac:dyDescent="0.25">
      <c r="A24" s="147"/>
      <c r="B24" s="139"/>
      <c r="C24" s="140"/>
      <c r="D24" s="140"/>
      <c r="E24" s="141"/>
      <c r="F24" s="68"/>
      <c r="H24" s="112"/>
      <c r="I24" s="131" t="str">
        <f t="shared" si="0"/>
        <v/>
      </c>
      <c r="J24" s="132" t="str">
        <f t="shared" si="13"/>
        <v/>
      </c>
      <c r="K24" s="132" t="str">
        <f t="shared" si="21"/>
        <v/>
      </c>
      <c r="L24" s="131" t="str">
        <f t="shared" si="19"/>
        <v/>
      </c>
      <c r="M24" s="21" t="str">
        <f t="shared" si="1"/>
        <v/>
      </c>
      <c r="N24" s="120" t="str">
        <f>IF(M24="","",IF(M24="    ","",$AF$3))</f>
        <v/>
      </c>
      <c r="O24" s="124" t="s">
        <v>311</v>
      </c>
      <c r="P24" s="21"/>
      <c r="Q24" s="21" t="str">
        <f t="shared" si="2"/>
        <v/>
      </c>
      <c r="R24" s="21" t="str">
        <f t="shared" si="3"/>
        <v/>
      </c>
      <c r="S24" s="20" t="str">
        <f t="shared" si="15"/>
        <v/>
      </c>
      <c r="T24" s="21" t="str">
        <f t="shared" si="4"/>
        <v/>
      </c>
      <c r="U24" s="131" t="str">
        <f t="shared" si="5"/>
        <v/>
      </c>
      <c r="V24" s="132" t="str">
        <f t="shared" si="16"/>
        <v/>
      </c>
      <c r="W24" s="132" t="str">
        <f t="shared" si="6"/>
        <v/>
      </c>
      <c r="X24" s="131" t="str">
        <f t="shared" si="7"/>
        <v/>
      </c>
      <c r="Y24" s="21" t="str">
        <f t="shared" si="17"/>
        <v/>
      </c>
      <c r="Z24" s="21" t="str">
        <f t="shared" si="20"/>
        <v/>
      </c>
      <c r="AA24" s="124" t="s">
        <v>311</v>
      </c>
      <c r="AB24" s="21" t="str">
        <f t="shared" si="8"/>
        <v/>
      </c>
      <c r="AC24" s="20" t="str">
        <f t="shared" si="9"/>
        <v/>
      </c>
      <c r="AD24" s="20" t="str">
        <f t="shared" si="18"/>
        <v/>
      </c>
      <c r="AE24" s="20" t="str">
        <f t="shared" si="10"/>
        <v/>
      </c>
      <c r="AF24" s="20" t="str">
        <f t="shared" si="11"/>
        <v/>
      </c>
      <c r="AG24" s="20" t="str">
        <f t="shared" si="12"/>
        <v/>
      </c>
    </row>
    <row r="25" spans="1:33" x14ac:dyDescent="0.25">
      <c r="A25" s="147"/>
      <c r="B25" s="139"/>
      <c r="C25" s="140"/>
      <c r="D25" s="140"/>
      <c r="E25" s="141"/>
      <c r="F25" s="141"/>
      <c r="G25" s="112"/>
      <c r="H25" s="112"/>
      <c r="I25" s="131" t="str">
        <f t="shared" si="0"/>
        <v/>
      </c>
      <c r="J25" s="132" t="str">
        <f t="shared" si="13"/>
        <v/>
      </c>
      <c r="K25" s="132" t="str">
        <f t="shared" si="21"/>
        <v/>
      </c>
      <c r="L25" s="131" t="str">
        <f t="shared" si="19"/>
        <v/>
      </c>
      <c r="M25" s="21" t="str">
        <f t="shared" si="1"/>
        <v/>
      </c>
      <c r="N25" s="120" t="str">
        <f t="shared" si="14"/>
        <v/>
      </c>
      <c r="O25" s="124" t="s">
        <v>311</v>
      </c>
      <c r="P25" s="21"/>
      <c r="Q25" s="21" t="str">
        <f t="shared" si="2"/>
        <v/>
      </c>
      <c r="R25" s="21" t="str">
        <f t="shared" si="3"/>
        <v/>
      </c>
      <c r="S25" s="20" t="str">
        <f t="shared" si="15"/>
        <v/>
      </c>
      <c r="T25" s="21" t="str">
        <f t="shared" si="4"/>
        <v/>
      </c>
      <c r="U25" s="131" t="str">
        <f t="shared" si="5"/>
        <v/>
      </c>
      <c r="V25" s="132" t="str">
        <f t="shared" si="16"/>
        <v/>
      </c>
      <c r="W25" s="132" t="str">
        <f t="shared" si="6"/>
        <v/>
      </c>
      <c r="X25" s="131" t="str">
        <f t="shared" si="7"/>
        <v/>
      </c>
      <c r="Y25" s="21" t="str">
        <f t="shared" si="17"/>
        <v/>
      </c>
      <c r="Z25" s="21" t="str">
        <f t="shared" si="20"/>
        <v/>
      </c>
      <c r="AA25" s="124" t="s">
        <v>311</v>
      </c>
      <c r="AB25" s="21" t="str">
        <f t="shared" si="8"/>
        <v/>
      </c>
      <c r="AC25" s="20" t="str">
        <f t="shared" si="9"/>
        <v/>
      </c>
      <c r="AD25" s="20" t="str">
        <f t="shared" si="18"/>
        <v/>
      </c>
      <c r="AE25" s="20" t="str">
        <f t="shared" si="10"/>
        <v/>
      </c>
      <c r="AF25" s="20" t="str">
        <f t="shared" si="11"/>
        <v/>
      </c>
      <c r="AG25" s="20" t="str">
        <f t="shared" si="12"/>
        <v/>
      </c>
    </row>
    <row r="26" spans="1:33" x14ac:dyDescent="0.25">
      <c r="A26" s="147"/>
      <c r="B26" s="139"/>
      <c r="C26" s="140"/>
      <c r="D26" s="140"/>
      <c r="E26" s="141"/>
      <c r="F26" s="68"/>
      <c r="I26" s="131" t="str">
        <f t="shared" si="0"/>
        <v/>
      </c>
      <c r="J26" s="132" t="str">
        <f t="shared" si="13"/>
        <v/>
      </c>
      <c r="K26" s="132" t="str">
        <f t="shared" si="21"/>
        <v/>
      </c>
      <c r="L26" s="131" t="str">
        <f t="shared" si="19"/>
        <v/>
      </c>
      <c r="M26" s="21" t="str">
        <f t="shared" si="1"/>
        <v/>
      </c>
      <c r="N26" s="120" t="str">
        <f t="shared" si="14"/>
        <v/>
      </c>
      <c r="O26" s="124" t="s">
        <v>311</v>
      </c>
      <c r="P26" s="21"/>
      <c r="Q26" s="21" t="str">
        <f t="shared" si="2"/>
        <v/>
      </c>
      <c r="R26" s="21" t="str">
        <f t="shared" si="3"/>
        <v/>
      </c>
      <c r="S26" s="20" t="str">
        <f t="shared" si="15"/>
        <v/>
      </c>
      <c r="T26" s="21" t="str">
        <f t="shared" si="4"/>
        <v/>
      </c>
      <c r="U26" s="131" t="str">
        <f t="shared" si="5"/>
        <v/>
      </c>
      <c r="V26" s="132" t="str">
        <f t="shared" si="16"/>
        <v/>
      </c>
      <c r="W26" s="132" t="str">
        <f t="shared" si="6"/>
        <v/>
      </c>
      <c r="X26" s="131" t="str">
        <f t="shared" si="7"/>
        <v/>
      </c>
      <c r="Y26" s="21" t="str">
        <f t="shared" si="17"/>
        <v/>
      </c>
      <c r="Z26" s="21" t="str">
        <f t="shared" si="20"/>
        <v/>
      </c>
      <c r="AA26" s="124" t="s">
        <v>311</v>
      </c>
      <c r="AB26" s="21" t="str">
        <f t="shared" si="8"/>
        <v/>
      </c>
      <c r="AC26" s="20" t="str">
        <f t="shared" si="9"/>
        <v/>
      </c>
      <c r="AD26" s="20" t="str">
        <f t="shared" si="18"/>
        <v/>
      </c>
      <c r="AE26" s="20" t="str">
        <f t="shared" si="10"/>
        <v/>
      </c>
      <c r="AF26" s="20" t="str">
        <f t="shared" si="11"/>
        <v/>
      </c>
      <c r="AG26" s="20" t="str">
        <f t="shared" si="12"/>
        <v/>
      </c>
    </row>
    <row r="27" spans="1:33" x14ac:dyDescent="0.25">
      <c r="A27" s="147"/>
      <c r="B27" s="139"/>
      <c r="C27" s="140"/>
      <c r="D27" s="140"/>
      <c r="E27" s="141"/>
      <c r="F27" s="68"/>
      <c r="I27" s="131" t="str">
        <f t="shared" si="0"/>
        <v/>
      </c>
      <c r="J27" s="132" t="str">
        <f t="shared" si="13"/>
        <v/>
      </c>
      <c r="K27" s="132" t="str">
        <f t="shared" si="21"/>
        <v/>
      </c>
      <c r="L27" s="131" t="str">
        <f t="shared" si="19"/>
        <v/>
      </c>
      <c r="M27" s="21" t="str">
        <f t="shared" si="1"/>
        <v/>
      </c>
      <c r="N27" s="120" t="str">
        <f t="shared" si="14"/>
        <v/>
      </c>
      <c r="O27" s="124" t="s">
        <v>311</v>
      </c>
      <c r="P27" s="21"/>
      <c r="Q27" s="21" t="str">
        <f t="shared" si="2"/>
        <v/>
      </c>
      <c r="R27" s="21" t="str">
        <f t="shared" si="3"/>
        <v/>
      </c>
      <c r="S27" s="20" t="str">
        <f t="shared" si="15"/>
        <v/>
      </c>
      <c r="T27" s="21" t="str">
        <f t="shared" si="4"/>
        <v/>
      </c>
      <c r="U27" s="131" t="str">
        <f t="shared" si="5"/>
        <v/>
      </c>
      <c r="V27" s="132" t="str">
        <f t="shared" si="16"/>
        <v/>
      </c>
      <c r="W27" s="132" t="str">
        <f t="shared" si="6"/>
        <v/>
      </c>
      <c r="X27" s="131" t="str">
        <f t="shared" si="7"/>
        <v/>
      </c>
      <c r="Y27" s="21" t="str">
        <f t="shared" si="17"/>
        <v/>
      </c>
      <c r="Z27" s="21" t="str">
        <f t="shared" si="20"/>
        <v/>
      </c>
      <c r="AA27" s="124" t="s">
        <v>311</v>
      </c>
      <c r="AB27" s="21" t="str">
        <f t="shared" si="8"/>
        <v/>
      </c>
      <c r="AC27" s="20" t="str">
        <f t="shared" si="9"/>
        <v/>
      </c>
      <c r="AD27" s="20" t="str">
        <f t="shared" si="18"/>
        <v/>
      </c>
      <c r="AE27" s="20" t="str">
        <f t="shared" si="10"/>
        <v/>
      </c>
      <c r="AF27" s="20" t="str">
        <f t="shared" si="11"/>
        <v/>
      </c>
      <c r="AG27" s="20" t="str">
        <f t="shared" si="12"/>
        <v/>
      </c>
    </row>
    <row r="28" spans="1:33" x14ac:dyDescent="0.25">
      <c r="A28" s="147"/>
      <c r="B28" s="139"/>
      <c r="C28" s="140"/>
      <c r="D28" s="140"/>
      <c r="E28" s="141"/>
      <c r="F28" s="68"/>
      <c r="I28" s="131" t="str">
        <f t="shared" si="0"/>
        <v/>
      </c>
      <c r="J28" s="132" t="str">
        <f t="shared" si="13"/>
        <v/>
      </c>
      <c r="K28" s="132" t="str">
        <f t="shared" si="21"/>
        <v/>
      </c>
      <c r="L28" s="131" t="str">
        <f t="shared" si="19"/>
        <v/>
      </c>
      <c r="M28" s="21" t="str">
        <f t="shared" si="1"/>
        <v/>
      </c>
      <c r="N28" s="120" t="str">
        <f>IF(M28="","",IF(M28="    ","",$AF$3))</f>
        <v/>
      </c>
      <c r="O28" s="124" t="s">
        <v>311</v>
      </c>
      <c r="P28" s="21"/>
      <c r="Q28" s="21" t="str">
        <f t="shared" si="2"/>
        <v/>
      </c>
      <c r="R28" s="21" t="str">
        <f t="shared" si="3"/>
        <v/>
      </c>
      <c r="S28" s="20" t="str">
        <f t="shared" si="15"/>
        <v/>
      </c>
      <c r="T28" s="21" t="str">
        <f t="shared" si="4"/>
        <v/>
      </c>
      <c r="U28" s="131" t="str">
        <f t="shared" si="5"/>
        <v/>
      </c>
      <c r="V28" s="132" t="str">
        <f t="shared" si="16"/>
        <v/>
      </c>
      <c r="W28" s="132" t="str">
        <f t="shared" si="6"/>
        <v/>
      </c>
      <c r="X28" s="131" t="str">
        <f t="shared" si="7"/>
        <v/>
      </c>
      <c r="Y28" s="21" t="str">
        <f t="shared" si="17"/>
        <v/>
      </c>
      <c r="Z28" s="21" t="str">
        <f t="shared" si="20"/>
        <v/>
      </c>
      <c r="AA28" s="124" t="s">
        <v>311</v>
      </c>
      <c r="AB28" s="21" t="str">
        <f t="shared" si="8"/>
        <v/>
      </c>
      <c r="AC28" s="20" t="str">
        <f t="shared" si="9"/>
        <v/>
      </c>
      <c r="AD28" s="20" t="str">
        <f t="shared" si="18"/>
        <v/>
      </c>
      <c r="AE28" s="20" t="str">
        <f t="shared" si="10"/>
        <v/>
      </c>
      <c r="AF28" s="20" t="str">
        <f t="shared" si="11"/>
        <v/>
      </c>
      <c r="AG28" s="20" t="str">
        <f t="shared" si="12"/>
        <v/>
      </c>
    </row>
    <row r="29" spans="1:33" x14ac:dyDescent="0.25">
      <c r="A29" s="147"/>
      <c r="B29" s="139"/>
      <c r="C29" s="140"/>
      <c r="D29" s="140"/>
      <c r="E29" s="141"/>
      <c r="F29" s="68"/>
      <c r="I29" s="131" t="str">
        <f t="shared" si="0"/>
        <v/>
      </c>
      <c r="J29" s="132" t="str">
        <f t="shared" si="13"/>
        <v/>
      </c>
      <c r="K29" s="132" t="str">
        <f t="shared" si="21"/>
        <v/>
      </c>
      <c r="L29" s="131" t="str">
        <f t="shared" si="19"/>
        <v/>
      </c>
      <c r="M29" s="21" t="str">
        <f t="shared" si="1"/>
        <v/>
      </c>
      <c r="N29" s="120" t="str">
        <f>IF(M29="","",IF(M29="    ","",$AF$3))</f>
        <v/>
      </c>
      <c r="O29" s="124" t="s">
        <v>311</v>
      </c>
      <c r="P29" s="21"/>
      <c r="Q29" s="21" t="str">
        <f t="shared" si="2"/>
        <v/>
      </c>
      <c r="R29" s="21" t="str">
        <f t="shared" si="3"/>
        <v/>
      </c>
      <c r="S29" s="20" t="str">
        <f t="shared" si="15"/>
        <v/>
      </c>
      <c r="T29" s="21" t="str">
        <f t="shared" si="4"/>
        <v/>
      </c>
      <c r="U29" s="131" t="str">
        <f t="shared" si="5"/>
        <v/>
      </c>
      <c r="V29" s="132" t="str">
        <f t="shared" si="16"/>
        <v/>
      </c>
      <c r="W29" s="132" t="str">
        <f t="shared" si="6"/>
        <v/>
      </c>
      <c r="X29" s="131" t="str">
        <f t="shared" si="7"/>
        <v/>
      </c>
      <c r="Y29" s="21" t="str">
        <f t="shared" si="17"/>
        <v/>
      </c>
      <c r="Z29" s="21" t="str">
        <f t="shared" si="20"/>
        <v/>
      </c>
      <c r="AA29" s="124" t="s">
        <v>311</v>
      </c>
      <c r="AB29" s="21" t="str">
        <f t="shared" si="8"/>
        <v/>
      </c>
      <c r="AC29" s="20" t="str">
        <f t="shared" si="9"/>
        <v/>
      </c>
      <c r="AD29" s="20" t="str">
        <f t="shared" si="18"/>
        <v/>
      </c>
      <c r="AE29" s="20" t="str">
        <f t="shared" si="10"/>
        <v/>
      </c>
      <c r="AF29" s="20" t="str">
        <f t="shared" si="11"/>
        <v/>
      </c>
      <c r="AG29" s="20" t="str">
        <f t="shared" si="12"/>
        <v/>
      </c>
    </row>
    <row r="30" spans="1:33" x14ac:dyDescent="0.25">
      <c r="A30" s="148"/>
      <c r="B30" s="141"/>
      <c r="C30" s="140"/>
      <c r="D30" s="140"/>
      <c r="E30" s="137"/>
      <c r="I30" s="131" t="str">
        <f t="shared" si="0"/>
        <v/>
      </c>
      <c r="J30" s="132" t="str">
        <f t="shared" si="13"/>
        <v/>
      </c>
      <c r="K30" s="132" t="str">
        <f t="shared" si="21"/>
        <v/>
      </c>
      <c r="L30" s="131" t="str">
        <f t="shared" si="19"/>
        <v/>
      </c>
      <c r="M30" s="21" t="str">
        <f t="shared" si="1"/>
        <v/>
      </c>
      <c r="N30" s="120" t="str">
        <f t="shared" si="14"/>
        <v/>
      </c>
      <c r="O30" s="124" t="s">
        <v>311</v>
      </c>
      <c r="P30" s="21"/>
      <c r="Q30" s="155" t="str">
        <f t="shared" si="2"/>
        <v/>
      </c>
      <c r="R30" s="155" t="str">
        <f t="shared" si="3"/>
        <v/>
      </c>
      <c r="S30" s="157" t="str">
        <f t="shared" si="15"/>
        <v/>
      </c>
      <c r="T30" s="155" t="str">
        <f t="shared" si="4"/>
        <v/>
      </c>
      <c r="U30" s="131" t="str">
        <f t="shared" si="5"/>
        <v/>
      </c>
      <c r="V30" s="132" t="str">
        <f t="shared" si="16"/>
        <v/>
      </c>
      <c r="W30" s="132" t="str">
        <f t="shared" si="6"/>
        <v/>
      </c>
      <c r="X30" s="131" t="str">
        <f t="shared" si="7"/>
        <v/>
      </c>
      <c r="Y30" s="21" t="str">
        <f t="shared" si="17"/>
        <v/>
      </c>
      <c r="Z30" s="21" t="str">
        <f t="shared" si="20"/>
        <v/>
      </c>
      <c r="AA30" s="124" t="s">
        <v>311</v>
      </c>
      <c r="AB30" s="21" t="str">
        <f t="shared" si="8"/>
        <v/>
      </c>
      <c r="AC30" s="20" t="str">
        <f t="shared" si="9"/>
        <v/>
      </c>
      <c r="AD30" s="20" t="str">
        <f t="shared" si="18"/>
        <v/>
      </c>
      <c r="AE30" s="20" t="str">
        <f t="shared" si="10"/>
        <v/>
      </c>
      <c r="AF30" s="20" t="str">
        <f t="shared" si="11"/>
        <v/>
      </c>
      <c r="AG30" s="20" t="str">
        <f t="shared" si="12"/>
        <v/>
      </c>
    </row>
    <row r="31" spans="1:33" x14ac:dyDescent="0.25">
      <c r="A31" s="148"/>
      <c r="B31" s="141"/>
      <c r="C31" s="140"/>
      <c r="D31" s="140"/>
      <c r="E31" s="137"/>
      <c r="I31" s="131" t="str">
        <f t="shared" si="0"/>
        <v/>
      </c>
      <c r="J31" s="132" t="str">
        <f t="shared" si="13"/>
        <v/>
      </c>
      <c r="K31" s="132" t="str">
        <f t="shared" si="21"/>
        <v/>
      </c>
      <c r="L31" s="131" t="str">
        <f t="shared" si="19"/>
        <v/>
      </c>
      <c r="M31" s="21" t="str">
        <f t="shared" si="1"/>
        <v/>
      </c>
      <c r="N31" s="120" t="str">
        <f t="shared" si="14"/>
        <v/>
      </c>
      <c r="O31" s="124" t="s">
        <v>311</v>
      </c>
      <c r="Q31" s="21" t="str">
        <f t="shared" si="2"/>
        <v/>
      </c>
      <c r="R31" s="21" t="str">
        <f t="shared" si="3"/>
        <v/>
      </c>
      <c r="S31" s="20" t="str">
        <f t="shared" si="15"/>
        <v/>
      </c>
      <c r="T31" s="21" t="str">
        <f t="shared" si="4"/>
        <v/>
      </c>
      <c r="U31" s="152" t="str">
        <f t="shared" si="5"/>
        <v/>
      </c>
      <c r="V31" s="153" t="str">
        <f>TRIM(SUBSTITUTE(SUBSTITUTE(AG31, "-??", "-SZ"), "_", ""))</f>
        <v/>
      </c>
      <c r="W31" s="153" t="str">
        <f t="shared" si="6"/>
        <v/>
      </c>
      <c r="X31" s="152" t="str">
        <f t="shared" si="7"/>
        <v/>
      </c>
      <c r="Y31" s="21" t="str">
        <f t="shared" si="17"/>
        <v/>
      </c>
      <c r="Z31" s="21" t="str">
        <f t="shared" si="20"/>
        <v/>
      </c>
      <c r="AA31" s="124" t="s">
        <v>311</v>
      </c>
      <c r="AB31" s="21" t="str">
        <f t="shared" si="8"/>
        <v/>
      </c>
      <c r="AC31" s="20" t="str">
        <f t="shared" si="9"/>
        <v/>
      </c>
      <c r="AD31" s="20" t="str">
        <f t="shared" si="18"/>
        <v/>
      </c>
      <c r="AE31" s="20" t="str">
        <f t="shared" si="10"/>
        <v/>
      </c>
      <c r="AF31" s="20" t="str">
        <f t="shared" si="11"/>
        <v/>
      </c>
      <c r="AG31" s="20" t="str">
        <f t="shared" si="12"/>
        <v/>
      </c>
    </row>
    <row r="32" spans="1:33" x14ac:dyDescent="0.25">
      <c r="A32" s="148"/>
      <c r="B32" s="141"/>
      <c r="C32" s="140"/>
      <c r="D32" s="140"/>
      <c r="E32" s="137"/>
      <c r="I32" s="158" t="str">
        <f t="shared" si="0"/>
        <v/>
      </c>
      <c r="J32" s="156" t="str">
        <f t="shared" si="13"/>
        <v/>
      </c>
      <c r="K32" s="156" t="str">
        <f t="shared" si="21"/>
        <v/>
      </c>
      <c r="L32" s="158" t="str">
        <f t="shared" si="19"/>
        <v/>
      </c>
      <c r="M32" s="21" t="str">
        <f t="shared" si="1"/>
        <v/>
      </c>
      <c r="N32" s="120" t="str">
        <f t="shared" si="14"/>
        <v/>
      </c>
      <c r="O32" s="124" t="s">
        <v>311</v>
      </c>
      <c r="Q32" s="21" t="str">
        <f t="shared" si="2"/>
        <v/>
      </c>
      <c r="R32" s="21" t="str">
        <f t="shared" si="3"/>
        <v/>
      </c>
      <c r="S32" s="20" t="str">
        <f t="shared" si="15"/>
        <v/>
      </c>
      <c r="T32" s="21" t="str">
        <f t="shared" si="4"/>
        <v/>
      </c>
      <c r="U32" s="152" t="str">
        <f t="shared" si="5"/>
        <v/>
      </c>
      <c r="V32" s="153" t="str">
        <f t="shared" si="16"/>
        <v/>
      </c>
      <c r="W32" s="153" t="str">
        <f t="shared" si="6"/>
        <v/>
      </c>
      <c r="X32" s="152" t="str">
        <f t="shared" si="7"/>
        <v/>
      </c>
      <c r="Y32" s="21" t="str">
        <f t="shared" si="17"/>
        <v/>
      </c>
      <c r="Z32" s="21" t="str">
        <f t="shared" si="20"/>
        <v/>
      </c>
      <c r="AA32" s="124" t="s">
        <v>311</v>
      </c>
      <c r="AB32" s="21" t="str">
        <f t="shared" si="8"/>
        <v/>
      </c>
      <c r="AC32" s="20" t="str">
        <f t="shared" si="9"/>
        <v/>
      </c>
      <c r="AD32" s="20" t="str">
        <f t="shared" si="18"/>
        <v/>
      </c>
      <c r="AE32" s="20" t="str">
        <f t="shared" si="10"/>
        <v/>
      </c>
      <c r="AF32" s="20" t="str">
        <f t="shared" si="11"/>
        <v/>
      </c>
      <c r="AG32" s="20" t="str">
        <f t="shared" si="12"/>
        <v/>
      </c>
    </row>
    <row r="33" spans="1:33" x14ac:dyDescent="0.25">
      <c r="A33" s="148"/>
      <c r="B33" s="141"/>
      <c r="C33" s="140"/>
      <c r="D33" s="140"/>
      <c r="E33" s="137"/>
      <c r="I33" s="131" t="str">
        <f t="shared" si="0"/>
        <v/>
      </c>
      <c r="J33" s="132" t="str">
        <f t="shared" si="13"/>
        <v/>
      </c>
      <c r="K33" s="132" t="str">
        <f t="shared" si="21"/>
        <v/>
      </c>
      <c r="L33" s="131" t="str">
        <f t="shared" si="19"/>
        <v/>
      </c>
      <c r="M33" s="21" t="str">
        <f t="shared" si="1"/>
        <v/>
      </c>
      <c r="N33" s="120" t="str">
        <f t="shared" si="14"/>
        <v/>
      </c>
      <c r="O33" s="124" t="s">
        <v>311</v>
      </c>
      <c r="Q33" s="21" t="str">
        <f t="shared" si="2"/>
        <v/>
      </c>
      <c r="R33" s="21" t="str">
        <f t="shared" si="3"/>
        <v/>
      </c>
      <c r="S33" s="20" t="str">
        <f>Q33&amp;R33</f>
        <v/>
      </c>
      <c r="T33" s="21" t="str">
        <f t="shared" si="4"/>
        <v/>
      </c>
      <c r="U33" s="131" t="str">
        <f t="shared" si="5"/>
        <v/>
      </c>
      <c r="V33" s="132" t="str">
        <f t="shared" si="16"/>
        <v/>
      </c>
      <c r="W33" s="132" t="str">
        <f t="shared" si="6"/>
        <v/>
      </c>
      <c r="X33" s="131" t="str">
        <f t="shared" si="7"/>
        <v/>
      </c>
      <c r="Y33" s="21" t="str">
        <f t="shared" si="17"/>
        <v/>
      </c>
      <c r="Z33" s="21" t="str">
        <f t="shared" si="20"/>
        <v/>
      </c>
      <c r="AA33" s="124" t="s">
        <v>311</v>
      </c>
      <c r="AB33" s="21" t="str">
        <f t="shared" si="8"/>
        <v/>
      </c>
      <c r="AC33" s="20" t="str">
        <f t="shared" si="9"/>
        <v/>
      </c>
      <c r="AD33" s="20" t="str">
        <f t="shared" si="18"/>
        <v/>
      </c>
      <c r="AE33" s="20" t="str">
        <f t="shared" si="10"/>
        <v/>
      </c>
      <c r="AF33" s="20" t="str">
        <f t="shared" si="11"/>
        <v/>
      </c>
      <c r="AG33" s="20" t="str">
        <f t="shared" si="12"/>
        <v/>
      </c>
    </row>
    <row r="34" spans="1:33" x14ac:dyDescent="0.25">
      <c r="A34" s="148"/>
      <c r="B34" s="141"/>
      <c r="C34" s="140"/>
      <c r="D34" s="140"/>
      <c r="E34" s="137"/>
      <c r="I34" s="131" t="str">
        <f t="shared" si="0"/>
        <v/>
      </c>
      <c r="J34" s="132" t="str">
        <f t="shared" si="13"/>
        <v/>
      </c>
      <c r="K34" s="132" t="str">
        <f t="shared" si="21"/>
        <v/>
      </c>
      <c r="L34" s="131" t="str">
        <f t="shared" si="19"/>
        <v/>
      </c>
      <c r="M34" s="21" t="str">
        <f t="shared" si="1"/>
        <v/>
      </c>
      <c r="N34" s="120" t="str">
        <f t="shared" si="14"/>
        <v/>
      </c>
      <c r="O34" s="124" t="s">
        <v>311</v>
      </c>
      <c r="Q34" s="21" t="str">
        <f t="shared" si="2"/>
        <v/>
      </c>
      <c r="R34" s="21" t="str">
        <f t="shared" si="3"/>
        <v/>
      </c>
      <c r="S34" s="20" t="str">
        <f t="shared" si="15"/>
        <v/>
      </c>
      <c r="T34" s="21" t="str">
        <f t="shared" si="4"/>
        <v/>
      </c>
      <c r="U34" s="131" t="str">
        <f t="shared" si="5"/>
        <v/>
      </c>
      <c r="V34" s="132" t="str">
        <f t="shared" si="16"/>
        <v/>
      </c>
      <c r="W34" s="132" t="str">
        <f t="shared" si="6"/>
        <v/>
      </c>
      <c r="X34" s="131" t="str">
        <f t="shared" si="7"/>
        <v/>
      </c>
      <c r="Y34" s="21" t="str">
        <f t="shared" si="17"/>
        <v/>
      </c>
      <c r="Z34" s="21" t="str">
        <f t="shared" si="20"/>
        <v/>
      </c>
      <c r="AA34" s="124" t="s">
        <v>311</v>
      </c>
      <c r="AB34" s="21" t="str">
        <f t="shared" si="8"/>
        <v/>
      </c>
      <c r="AC34" s="20" t="str">
        <f t="shared" si="9"/>
        <v/>
      </c>
      <c r="AD34" s="20" t="str">
        <f t="shared" si="18"/>
        <v/>
      </c>
      <c r="AE34" s="20" t="str">
        <f t="shared" si="10"/>
        <v/>
      </c>
      <c r="AF34" s="20" t="str">
        <f t="shared" si="11"/>
        <v/>
      </c>
      <c r="AG34" s="20" t="str">
        <f t="shared" si="12"/>
        <v/>
      </c>
    </row>
    <row r="35" spans="1:33" x14ac:dyDescent="0.25">
      <c r="A35" s="148"/>
      <c r="B35" s="141"/>
      <c r="C35" s="140"/>
      <c r="D35" s="140"/>
      <c r="E35" s="141"/>
      <c r="F35" s="68"/>
      <c r="I35" s="131" t="str">
        <f t="shared" si="0"/>
        <v/>
      </c>
      <c r="J35" s="132" t="str">
        <f t="shared" si="13"/>
        <v/>
      </c>
      <c r="K35" s="132" t="str">
        <f t="shared" si="21"/>
        <v/>
      </c>
      <c r="L35" s="131" t="str">
        <f t="shared" si="19"/>
        <v/>
      </c>
      <c r="M35" s="21" t="str">
        <f t="shared" si="1"/>
        <v/>
      </c>
      <c r="N35" s="120" t="str">
        <f t="shared" si="14"/>
        <v/>
      </c>
      <c r="O35" s="124" t="s">
        <v>311</v>
      </c>
      <c r="Q35" s="21" t="str">
        <f t="shared" si="2"/>
        <v/>
      </c>
      <c r="R35" s="131" t="str">
        <f t="shared" si="3"/>
        <v/>
      </c>
      <c r="S35" s="112" t="str">
        <f t="shared" si="15"/>
        <v/>
      </c>
      <c r="T35" s="131" t="str">
        <f t="shared" si="4"/>
        <v/>
      </c>
      <c r="U35" s="131" t="str">
        <f t="shared" si="5"/>
        <v/>
      </c>
      <c r="V35" s="132" t="str">
        <f t="shared" si="16"/>
        <v/>
      </c>
      <c r="W35" s="132" t="str">
        <f t="shared" si="6"/>
        <v/>
      </c>
      <c r="X35" s="131" t="str">
        <f t="shared" si="7"/>
        <v/>
      </c>
      <c r="Y35" s="21" t="str">
        <f t="shared" si="17"/>
        <v/>
      </c>
      <c r="Z35" s="21" t="str">
        <f>IF(Y35="","",IF(Y35="    ","",$AE$3))</f>
        <v/>
      </c>
      <c r="AA35" s="124" t="s">
        <v>311</v>
      </c>
      <c r="AB35" s="21" t="str">
        <f t="shared" si="8"/>
        <v/>
      </c>
      <c r="AC35" s="20" t="str">
        <f t="shared" si="9"/>
        <v/>
      </c>
      <c r="AD35" s="20" t="str">
        <f t="shared" si="18"/>
        <v/>
      </c>
      <c r="AE35" s="20" t="str">
        <f t="shared" si="10"/>
        <v/>
      </c>
      <c r="AF35" s="20" t="str">
        <f t="shared" si="11"/>
        <v/>
      </c>
      <c r="AG35" s="20" t="str">
        <f t="shared" si="12"/>
        <v/>
      </c>
    </row>
    <row r="36" spans="1:33" x14ac:dyDescent="0.25">
      <c r="A36" s="148"/>
      <c r="B36" s="141"/>
      <c r="C36" s="140"/>
      <c r="D36" s="140"/>
      <c r="E36" s="141"/>
      <c r="F36" s="68"/>
      <c r="I36" s="131" t="str">
        <f t="shared" si="0"/>
        <v/>
      </c>
      <c r="J36" s="132" t="str">
        <f t="shared" si="13"/>
        <v/>
      </c>
      <c r="K36" s="132" t="str">
        <f>IF(B36="","",SUBSTITUTE(B36, "_", ""))</f>
        <v/>
      </c>
      <c r="L36" s="131" t="str">
        <f t="shared" si="19"/>
        <v/>
      </c>
      <c r="M36" s="21" t="str">
        <f t="shared" si="1"/>
        <v/>
      </c>
      <c r="N36" s="120" t="str">
        <f t="shared" si="14"/>
        <v/>
      </c>
      <c r="O36" s="124" t="s">
        <v>311</v>
      </c>
      <c r="Q36" s="21" t="str">
        <f t="shared" si="2"/>
        <v/>
      </c>
      <c r="R36" s="21" t="str">
        <f t="shared" si="3"/>
        <v/>
      </c>
      <c r="S36" s="20" t="str">
        <f t="shared" si="15"/>
        <v/>
      </c>
      <c r="T36" s="21" t="str">
        <f t="shared" si="4"/>
        <v/>
      </c>
      <c r="U36" s="131" t="str">
        <f t="shared" si="5"/>
        <v/>
      </c>
      <c r="V36" s="132" t="str">
        <f t="shared" si="16"/>
        <v/>
      </c>
      <c r="W36" s="132" t="str">
        <f t="shared" si="6"/>
        <v/>
      </c>
      <c r="X36" s="131" t="str">
        <f t="shared" si="7"/>
        <v/>
      </c>
      <c r="Y36" s="21" t="str">
        <f t="shared" si="17"/>
        <v/>
      </c>
      <c r="Z36" s="21" t="str">
        <f t="shared" si="20"/>
        <v/>
      </c>
      <c r="AA36" s="124" t="s">
        <v>311</v>
      </c>
      <c r="AB36" s="21" t="str">
        <f t="shared" si="8"/>
        <v/>
      </c>
      <c r="AC36" s="20" t="str">
        <f t="shared" si="9"/>
        <v/>
      </c>
      <c r="AD36" s="20" t="str">
        <f t="shared" si="18"/>
        <v/>
      </c>
      <c r="AE36" s="20" t="str">
        <f t="shared" si="10"/>
        <v/>
      </c>
      <c r="AF36" s="20" t="str">
        <f t="shared" si="11"/>
        <v/>
      </c>
      <c r="AG36" s="20" t="str">
        <f t="shared" si="12"/>
        <v/>
      </c>
    </row>
    <row r="37" spans="1:33" x14ac:dyDescent="0.25">
      <c r="A37" s="148"/>
      <c r="B37" s="141"/>
      <c r="C37" s="140"/>
      <c r="D37" s="140"/>
      <c r="E37" s="141"/>
      <c r="F37" s="68"/>
      <c r="I37" s="158" t="str">
        <f t="shared" si="0"/>
        <v/>
      </c>
      <c r="J37" s="156" t="str">
        <f t="shared" si="13"/>
        <v/>
      </c>
      <c r="K37" s="156" t="str">
        <f t="shared" si="21"/>
        <v/>
      </c>
      <c r="L37" s="158" t="str">
        <f t="shared" si="19"/>
        <v/>
      </c>
      <c r="M37" s="21" t="str">
        <f t="shared" si="1"/>
        <v/>
      </c>
      <c r="N37" s="120" t="str">
        <f>IF(M37="","",IF(M37="    ","",$AF$3))</f>
        <v/>
      </c>
      <c r="O37" s="124" t="s">
        <v>311</v>
      </c>
      <c r="Q37" s="21" t="str">
        <f t="shared" si="2"/>
        <v/>
      </c>
      <c r="R37" s="21" t="str">
        <f t="shared" si="3"/>
        <v/>
      </c>
      <c r="S37" s="20" t="str">
        <f t="shared" si="15"/>
        <v/>
      </c>
      <c r="T37" s="21" t="str">
        <f t="shared" si="4"/>
        <v/>
      </c>
      <c r="U37" s="131" t="str">
        <f t="shared" si="5"/>
        <v/>
      </c>
      <c r="V37" s="132" t="str">
        <f t="shared" si="16"/>
        <v/>
      </c>
      <c r="W37" s="132" t="str">
        <f t="shared" si="6"/>
        <v/>
      </c>
      <c r="X37" s="131" t="str">
        <f t="shared" si="7"/>
        <v/>
      </c>
      <c r="Y37" s="21" t="str">
        <f t="shared" si="17"/>
        <v/>
      </c>
      <c r="Z37" s="21" t="str">
        <f t="shared" si="20"/>
        <v/>
      </c>
      <c r="AA37" s="124" t="s">
        <v>311</v>
      </c>
      <c r="AB37" s="21" t="str">
        <f t="shared" si="8"/>
        <v/>
      </c>
      <c r="AC37" s="20" t="str">
        <f t="shared" si="9"/>
        <v/>
      </c>
      <c r="AD37" s="20" t="str">
        <f t="shared" si="18"/>
        <v/>
      </c>
      <c r="AE37" s="20" t="str">
        <f t="shared" si="10"/>
        <v/>
      </c>
      <c r="AF37" s="20" t="str">
        <f t="shared" si="11"/>
        <v/>
      </c>
      <c r="AG37" s="20" t="str">
        <f t="shared" si="12"/>
        <v/>
      </c>
    </row>
    <row r="38" spans="1:33" x14ac:dyDescent="0.25">
      <c r="A38" s="148"/>
      <c r="B38" s="141"/>
      <c r="C38" s="140"/>
      <c r="D38" s="140"/>
      <c r="E38" s="141"/>
      <c r="F38" s="68"/>
      <c r="I38" s="131" t="str">
        <f t="shared" si="0"/>
        <v/>
      </c>
      <c r="J38" s="132" t="str">
        <f t="shared" si="13"/>
        <v/>
      </c>
      <c r="K38" s="132" t="str">
        <f t="shared" si="21"/>
        <v/>
      </c>
      <c r="L38" s="131" t="str">
        <f t="shared" si="19"/>
        <v/>
      </c>
      <c r="M38" s="21" t="str">
        <f t="shared" si="1"/>
        <v/>
      </c>
      <c r="N38" s="120" t="str">
        <f t="shared" si="14"/>
        <v/>
      </c>
      <c r="O38" s="124" t="s">
        <v>311</v>
      </c>
      <c r="Q38" s="21" t="str">
        <f t="shared" si="2"/>
        <v/>
      </c>
      <c r="R38" s="21" t="str">
        <f t="shared" si="3"/>
        <v/>
      </c>
      <c r="S38" s="20" t="str">
        <f t="shared" si="15"/>
        <v/>
      </c>
      <c r="T38" s="21" t="str">
        <f t="shared" si="4"/>
        <v/>
      </c>
      <c r="U38" s="131" t="str">
        <f t="shared" si="5"/>
        <v/>
      </c>
      <c r="V38" s="132" t="str">
        <f t="shared" si="16"/>
        <v/>
      </c>
      <c r="W38" s="132" t="str">
        <f t="shared" si="6"/>
        <v/>
      </c>
      <c r="X38" s="131" t="str">
        <f t="shared" si="7"/>
        <v/>
      </c>
      <c r="Y38" s="21" t="str">
        <f t="shared" si="17"/>
        <v/>
      </c>
      <c r="Z38" s="21" t="str">
        <f t="shared" si="20"/>
        <v/>
      </c>
      <c r="AA38" s="124" t="s">
        <v>311</v>
      </c>
      <c r="AB38" s="21" t="str">
        <f t="shared" si="8"/>
        <v/>
      </c>
      <c r="AC38" s="20" t="str">
        <f t="shared" si="9"/>
        <v/>
      </c>
      <c r="AD38" s="20" t="str">
        <f t="shared" si="18"/>
        <v/>
      </c>
      <c r="AE38" s="20" t="str">
        <f t="shared" si="10"/>
        <v/>
      </c>
      <c r="AF38" s="20" t="str">
        <f t="shared" si="11"/>
        <v/>
      </c>
      <c r="AG38" s="20" t="str">
        <f t="shared" si="12"/>
        <v/>
      </c>
    </row>
    <row r="39" spans="1:33" x14ac:dyDescent="0.25">
      <c r="A39" s="148"/>
      <c r="B39" s="141"/>
      <c r="C39" s="140"/>
      <c r="D39" s="140"/>
      <c r="E39" s="141"/>
      <c r="F39" s="68"/>
      <c r="I39" s="158" t="str">
        <f t="shared" si="0"/>
        <v/>
      </c>
      <c r="J39" s="156" t="str">
        <f t="shared" si="13"/>
        <v/>
      </c>
      <c r="K39" s="156" t="str">
        <f t="shared" si="21"/>
        <v/>
      </c>
      <c r="L39" s="158" t="str">
        <f t="shared" si="19"/>
        <v/>
      </c>
      <c r="M39" s="21" t="str">
        <f t="shared" si="1"/>
        <v/>
      </c>
      <c r="N39" s="120" t="str">
        <f>IF(M39="","",IF(M39="    ","",$AF$3))</f>
        <v/>
      </c>
      <c r="O39" s="124" t="s">
        <v>311</v>
      </c>
      <c r="Q39" s="21" t="str">
        <f t="shared" si="2"/>
        <v/>
      </c>
      <c r="R39" s="21" t="str">
        <f t="shared" si="3"/>
        <v/>
      </c>
      <c r="S39" s="20" t="str">
        <f t="shared" si="15"/>
        <v/>
      </c>
      <c r="T39" s="21" t="str">
        <f t="shared" si="4"/>
        <v/>
      </c>
      <c r="U39" s="131" t="str">
        <f t="shared" si="5"/>
        <v/>
      </c>
      <c r="V39" s="132" t="str">
        <f t="shared" si="16"/>
        <v/>
      </c>
      <c r="W39" s="132" t="str">
        <f t="shared" si="6"/>
        <v/>
      </c>
      <c r="X39" s="131" t="str">
        <f t="shared" si="7"/>
        <v/>
      </c>
      <c r="Y39" s="21" t="str">
        <f t="shared" si="17"/>
        <v/>
      </c>
      <c r="Z39" s="21" t="str">
        <f t="shared" si="20"/>
        <v/>
      </c>
      <c r="AA39" s="124" t="s">
        <v>311</v>
      </c>
      <c r="AB39" s="21" t="str">
        <f t="shared" si="8"/>
        <v/>
      </c>
      <c r="AC39" s="20" t="str">
        <f t="shared" si="9"/>
        <v/>
      </c>
      <c r="AD39" s="20" t="str">
        <f t="shared" si="18"/>
        <v/>
      </c>
      <c r="AE39" s="20" t="str">
        <f t="shared" si="10"/>
        <v/>
      </c>
      <c r="AF39" s="20" t="str">
        <f t="shared" si="11"/>
        <v/>
      </c>
      <c r="AG39" s="20" t="str">
        <f t="shared" si="12"/>
        <v/>
      </c>
    </row>
    <row r="40" spans="1:33" x14ac:dyDescent="0.25">
      <c r="A40" s="148"/>
      <c r="B40" s="141"/>
      <c r="C40" s="140"/>
      <c r="D40" s="140"/>
      <c r="E40" s="141"/>
      <c r="F40" s="68"/>
      <c r="I40" s="131" t="str">
        <f t="shared" si="0"/>
        <v/>
      </c>
      <c r="J40" s="132" t="str">
        <f t="shared" si="13"/>
        <v/>
      </c>
      <c r="K40" s="132" t="str">
        <f t="shared" si="21"/>
        <v/>
      </c>
      <c r="L40" s="131" t="str">
        <f t="shared" si="19"/>
        <v/>
      </c>
      <c r="M40" s="21" t="str">
        <f t="shared" si="1"/>
        <v/>
      </c>
      <c r="N40" s="120" t="str">
        <f t="shared" si="14"/>
        <v/>
      </c>
      <c r="O40" s="124" t="s">
        <v>311</v>
      </c>
      <c r="Q40" s="21" t="str">
        <f t="shared" si="2"/>
        <v/>
      </c>
      <c r="R40" s="21" t="str">
        <f t="shared" si="3"/>
        <v/>
      </c>
      <c r="S40" s="20" t="str">
        <f t="shared" si="15"/>
        <v/>
      </c>
      <c r="T40" s="21" t="str">
        <f t="shared" si="4"/>
        <v/>
      </c>
      <c r="U40" s="131" t="str">
        <f t="shared" si="5"/>
        <v/>
      </c>
      <c r="V40" s="132" t="str">
        <f t="shared" si="16"/>
        <v/>
      </c>
      <c r="W40" s="132" t="str">
        <f t="shared" si="6"/>
        <v/>
      </c>
      <c r="X40" s="131" t="str">
        <f t="shared" si="7"/>
        <v/>
      </c>
      <c r="Y40" s="21" t="str">
        <f>IFERROR(VLOOKUP(V40&amp;X40,$S$16:$T$113,2,FALSE),IFERROR(VLOOKUP(V40,$Q$16:$T$113,4,FALSE)&amp;" - DIFF QTY","NOT IN BOM 1"))</f>
        <v/>
      </c>
      <c r="Z40" s="21" t="str">
        <f t="shared" si="20"/>
        <v/>
      </c>
      <c r="AA40" s="124" t="s">
        <v>311</v>
      </c>
      <c r="AB40" s="21" t="str">
        <f t="shared" si="8"/>
        <v/>
      </c>
      <c r="AC40" s="20" t="str">
        <f t="shared" si="9"/>
        <v/>
      </c>
      <c r="AD40" s="20" t="str">
        <f t="shared" si="18"/>
        <v/>
      </c>
      <c r="AE40" s="20" t="str">
        <f t="shared" si="10"/>
        <v/>
      </c>
      <c r="AF40" s="20" t="str">
        <f t="shared" si="11"/>
        <v/>
      </c>
      <c r="AG40" s="20" t="str">
        <f t="shared" si="12"/>
        <v/>
      </c>
    </row>
    <row r="41" spans="1:33" x14ac:dyDescent="0.25">
      <c r="A41" s="148"/>
      <c r="B41" s="141"/>
      <c r="C41" s="140"/>
      <c r="D41" s="140"/>
      <c r="E41" s="141"/>
      <c r="F41" s="68"/>
      <c r="I41" s="131" t="str">
        <f t="shared" si="0"/>
        <v/>
      </c>
      <c r="J41" s="132" t="str">
        <f t="shared" si="13"/>
        <v/>
      </c>
      <c r="K41" s="132" t="str">
        <f t="shared" si="21"/>
        <v/>
      </c>
      <c r="L41" s="131" t="str">
        <f t="shared" si="19"/>
        <v/>
      </c>
      <c r="M41" s="21" t="str">
        <f t="shared" si="1"/>
        <v/>
      </c>
      <c r="N41" s="120" t="str">
        <f t="shared" si="14"/>
        <v/>
      </c>
      <c r="O41" s="124" t="s">
        <v>311</v>
      </c>
      <c r="Q41" s="21" t="str">
        <f t="shared" si="2"/>
        <v/>
      </c>
      <c r="R41" s="21" t="str">
        <f t="shared" si="3"/>
        <v/>
      </c>
      <c r="S41" s="20" t="str">
        <f t="shared" si="15"/>
        <v/>
      </c>
      <c r="T41" s="21" t="str">
        <f t="shared" si="4"/>
        <v/>
      </c>
      <c r="U41" s="131" t="str">
        <f t="shared" si="5"/>
        <v/>
      </c>
      <c r="V41" s="132" t="str">
        <f t="shared" si="16"/>
        <v/>
      </c>
      <c r="W41" s="132" t="str">
        <f t="shared" si="6"/>
        <v/>
      </c>
      <c r="X41" s="131" t="str">
        <f t="shared" si="7"/>
        <v/>
      </c>
      <c r="Y41" s="21" t="str">
        <f t="shared" si="17"/>
        <v/>
      </c>
      <c r="Z41" s="21" t="str">
        <f t="shared" si="20"/>
        <v/>
      </c>
      <c r="AA41" s="124" t="s">
        <v>311</v>
      </c>
      <c r="AB41" s="21" t="str">
        <f t="shared" si="8"/>
        <v/>
      </c>
      <c r="AC41" s="20" t="str">
        <f t="shared" si="9"/>
        <v/>
      </c>
      <c r="AD41" s="20" t="str">
        <f t="shared" si="18"/>
        <v/>
      </c>
      <c r="AE41" s="20" t="str">
        <f t="shared" si="10"/>
        <v/>
      </c>
      <c r="AF41" s="20" t="str">
        <f t="shared" si="11"/>
        <v/>
      </c>
      <c r="AG41" s="20" t="str">
        <f t="shared" si="12"/>
        <v/>
      </c>
    </row>
    <row r="42" spans="1:33" x14ac:dyDescent="0.25">
      <c r="A42" s="148"/>
      <c r="B42" s="141"/>
      <c r="C42" s="140"/>
      <c r="D42" s="140"/>
      <c r="E42" s="141"/>
      <c r="F42" s="68"/>
      <c r="I42" s="158" t="str">
        <f t="shared" si="0"/>
        <v/>
      </c>
      <c r="J42" s="156" t="str">
        <f t="shared" si="13"/>
        <v/>
      </c>
      <c r="K42" s="156" t="str">
        <f t="shared" si="21"/>
        <v/>
      </c>
      <c r="L42" s="158" t="str">
        <f t="shared" si="19"/>
        <v/>
      </c>
      <c r="M42" s="21" t="str">
        <f t="shared" si="1"/>
        <v/>
      </c>
      <c r="N42" s="120" t="str">
        <f t="shared" si="14"/>
        <v/>
      </c>
      <c r="O42" s="124" t="s">
        <v>311</v>
      </c>
      <c r="Q42" s="21" t="str">
        <f t="shared" si="2"/>
        <v/>
      </c>
      <c r="R42" s="21" t="str">
        <f t="shared" si="3"/>
        <v/>
      </c>
      <c r="S42" s="20" t="str">
        <f t="shared" si="15"/>
        <v/>
      </c>
      <c r="T42" s="21" t="str">
        <f t="shared" si="4"/>
        <v/>
      </c>
      <c r="U42" s="131" t="str">
        <f t="shared" si="5"/>
        <v/>
      </c>
      <c r="V42" s="132" t="str">
        <f t="shared" si="16"/>
        <v/>
      </c>
      <c r="W42" s="132" t="str">
        <f t="shared" si="6"/>
        <v/>
      </c>
      <c r="X42" s="131" t="str">
        <f t="shared" si="7"/>
        <v/>
      </c>
      <c r="Y42" s="21" t="str">
        <f t="shared" si="17"/>
        <v/>
      </c>
      <c r="Z42" s="21" t="str">
        <f t="shared" si="20"/>
        <v/>
      </c>
      <c r="AA42" s="124" t="s">
        <v>311</v>
      </c>
      <c r="AB42" s="21" t="str">
        <f t="shared" si="8"/>
        <v/>
      </c>
      <c r="AC42" s="20" t="str">
        <f t="shared" si="9"/>
        <v/>
      </c>
      <c r="AD42" s="20" t="str">
        <f t="shared" si="18"/>
        <v/>
      </c>
      <c r="AE42" s="20" t="str">
        <f t="shared" si="10"/>
        <v/>
      </c>
      <c r="AF42" s="20" t="str">
        <f t="shared" si="11"/>
        <v/>
      </c>
      <c r="AG42" s="20" t="str">
        <f t="shared" si="12"/>
        <v/>
      </c>
    </row>
    <row r="43" spans="1:33" x14ac:dyDescent="0.25">
      <c r="A43" s="148"/>
      <c r="B43" s="141"/>
      <c r="C43" s="140"/>
      <c r="D43" s="140"/>
      <c r="E43" s="141"/>
      <c r="F43" s="68"/>
      <c r="I43" s="158" t="str">
        <f t="shared" si="0"/>
        <v/>
      </c>
      <c r="J43" s="156" t="str">
        <f t="shared" si="13"/>
        <v/>
      </c>
      <c r="K43" s="156" t="str">
        <f t="shared" si="21"/>
        <v/>
      </c>
      <c r="L43" s="158" t="str">
        <f t="shared" si="19"/>
        <v/>
      </c>
      <c r="M43" s="124" t="str">
        <f t="shared" si="1"/>
        <v/>
      </c>
      <c r="N43" s="21" t="str">
        <f t="shared" si="14"/>
        <v/>
      </c>
      <c r="O43" s="124" t="s">
        <v>311</v>
      </c>
      <c r="Q43" s="21" t="str">
        <f t="shared" si="2"/>
        <v/>
      </c>
      <c r="R43" s="21" t="str">
        <f t="shared" si="3"/>
        <v/>
      </c>
      <c r="S43" s="20" t="str">
        <f t="shared" si="15"/>
        <v/>
      </c>
      <c r="T43" s="21" t="str">
        <f t="shared" si="4"/>
        <v/>
      </c>
      <c r="U43" s="131" t="str">
        <f t="shared" si="5"/>
        <v/>
      </c>
      <c r="V43" s="132" t="str">
        <f t="shared" si="16"/>
        <v/>
      </c>
      <c r="W43" s="132" t="str">
        <f t="shared" si="6"/>
        <v/>
      </c>
      <c r="X43" s="131" t="str">
        <f t="shared" si="7"/>
        <v/>
      </c>
      <c r="Y43" s="21" t="str">
        <f t="shared" si="17"/>
        <v/>
      </c>
      <c r="Z43" s="21" t="str">
        <f t="shared" si="20"/>
        <v/>
      </c>
      <c r="AA43" s="124" t="s">
        <v>311</v>
      </c>
      <c r="AB43" s="21" t="str">
        <f t="shared" si="8"/>
        <v/>
      </c>
      <c r="AC43" s="20" t="str">
        <f t="shared" si="9"/>
        <v/>
      </c>
      <c r="AD43" s="20" t="str">
        <f t="shared" si="18"/>
        <v/>
      </c>
      <c r="AE43" s="20" t="str">
        <f t="shared" si="10"/>
        <v/>
      </c>
      <c r="AF43" s="20" t="str">
        <f t="shared" si="11"/>
        <v/>
      </c>
      <c r="AG43" s="20" t="str">
        <f t="shared" si="12"/>
        <v/>
      </c>
    </row>
    <row r="44" spans="1:33" x14ac:dyDescent="0.25">
      <c r="A44" s="148"/>
      <c r="B44" s="141"/>
      <c r="C44" s="140"/>
      <c r="D44" s="140"/>
      <c r="E44" s="141"/>
      <c r="F44" s="68"/>
      <c r="I44" s="158" t="str">
        <f t="shared" si="0"/>
        <v/>
      </c>
      <c r="J44" s="156" t="str">
        <f t="shared" si="13"/>
        <v/>
      </c>
      <c r="K44" s="156" t="str">
        <f t="shared" si="21"/>
        <v/>
      </c>
      <c r="L44" s="158" t="str">
        <f t="shared" si="19"/>
        <v/>
      </c>
      <c r="M44" s="21" t="str">
        <f t="shared" si="1"/>
        <v/>
      </c>
      <c r="N44" s="21" t="str">
        <f t="shared" si="14"/>
        <v/>
      </c>
      <c r="O44" s="124" t="s">
        <v>311</v>
      </c>
      <c r="Q44" s="21" t="str">
        <f t="shared" si="2"/>
        <v/>
      </c>
      <c r="R44" s="21" t="str">
        <f t="shared" si="3"/>
        <v/>
      </c>
      <c r="S44" s="20" t="str">
        <f t="shared" si="15"/>
        <v/>
      </c>
      <c r="T44" s="21" t="str">
        <f t="shared" si="4"/>
        <v/>
      </c>
      <c r="U44" s="131" t="str">
        <f t="shared" si="5"/>
        <v/>
      </c>
      <c r="V44" s="132" t="str">
        <f t="shared" si="16"/>
        <v/>
      </c>
      <c r="W44" s="132" t="str">
        <f t="shared" si="6"/>
        <v/>
      </c>
      <c r="X44" s="131" t="str">
        <f t="shared" si="7"/>
        <v/>
      </c>
      <c r="Y44" s="21" t="str">
        <f t="shared" si="17"/>
        <v/>
      </c>
      <c r="Z44" s="21" t="str">
        <f t="shared" si="20"/>
        <v/>
      </c>
      <c r="AA44" s="124" t="s">
        <v>311</v>
      </c>
      <c r="AB44" s="21" t="str">
        <f t="shared" si="8"/>
        <v/>
      </c>
      <c r="AC44" s="20" t="str">
        <f t="shared" si="9"/>
        <v/>
      </c>
      <c r="AD44" s="20" t="str">
        <f t="shared" si="18"/>
        <v/>
      </c>
      <c r="AE44" s="20" t="str">
        <f t="shared" si="10"/>
        <v/>
      </c>
      <c r="AF44" s="20" t="str">
        <f t="shared" si="11"/>
        <v/>
      </c>
      <c r="AG44" s="20" t="str">
        <f t="shared" si="12"/>
        <v/>
      </c>
    </row>
    <row r="45" spans="1:33" x14ac:dyDescent="0.25">
      <c r="A45" s="148"/>
      <c r="B45" s="141"/>
      <c r="C45" s="140"/>
      <c r="D45" s="140"/>
      <c r="E45" s="141"/>
      <c r="F45" s="68"/>
      <c r="I45" s="158" t="str">
        <f t="shared" si="0"/>
        <v/>
      </c>
      <c r="J45" s="156" t="str">
        <f t="shared" si="13"/>
        <v/>
      </c>
      <c r="K45" s="156" t="str">
        <f t="shared" si="21"/>
        <v/>
      </c>
      <c r="L45" s="158" t="str">
        <f t="shared" si="19"/>
        <v/>
      </c>
      <c r="M45" s="21" t="str">
        <f t="shared" si="1"/>
        <v/>
      </c>
      <c r="N45" s="21" t="str">
        <f t="shared" si="14"/>
        <v/>
      </c>
      <c r="O45" s="124" t="s">
        <v>311</v>
      </c>
      <c r="Q45" s="21" t="str">
        <f t="shared" si="2"/>
        <v/>
      </c>
      <c r="R45" s="21" t="str">
        <f t="shared" si="3"/>
        <v/>
      </c>
      <c r="S45" s="20" t="str">
        <f t="shared" si="15"/>
        <v/>
      </c>
      <c r="T45" s="21" t="str">
        <f t="shared" si="4"/>
        <v/>
      </c>
      <c r="U45" s="131" t="str">
        <f t="shared" si="5"/>
        <v/>
      </c>
      <c r="V45" s="132" t="str">
        <f t="shared" si="16"/>
        <v/>
      </c>
      <c r="W45" s="132" t="str">
        <f t="shared" si="6"/>
        <v/>
      </c>
      <c r="X45" s="131" t="str">
        <f t="shared" si="7"/>
        <v/>
      </c>
      <c r="Y45" s="21" t="str">
        <f t="shared" si="17"/>
        <v/>
      </c>
      <c r="Z45" s="21" t="str">
        <f t="shared" si="20"/>
        <v/>
      </c>
      <c r="AA45" s="124" t="s">
        <v>311</v>
      </c>
      <c r="AB45" s="21" t="str">
        <f t="shared" si="8"/>
        <v/>
      </c>
      <c r="AC45" s="20" t="str">
        <f t="shared" si="9"/>
        <v/>
      </c>
      <c r="AD45" s="20" t="str">
        <f t="shared" si="18"/>
        <v/>
      </c>
      <c r="AE45" s="20" t="str">
        <f t="shared" si="10"/>
        <v/>
      </c>
      <c r="AF45" s="20" t="str">
        <f t="shared" si="11"/>
        <v/>
      </c>
      <c r="AG45" s="20" t="str">
        <f t="shared" si="12"/>
        <v/>
      </c>
    </row>
    <row r="46" spans="1:33" x14ac:dyDescent="0.25">
      <c r="A46" s="148"/>
      <c r="B46" s="141"/>
      <c r="C46" s="140"/>
      <c r="D46" s="140"/>
      <c r="E46" s="141"/>
      <c r="F46" s="68"/>
      <c r="I46" s="131" t="str">
        <f t="shared" si="0"/>
        <v/>
      </c>
      <c r="J46" s="132" t="str">
        <f t="shared" si="13"/>
        <v/>
      </c>
      <c r="K46" s="132" t="str">
        <f t="shared" si="21"/>
        <v/>
      </c>
      <c r="L46" s="131" t="str">
        <f t="shared" si="19"/>
        <v/>
      </c>
      <c r="M46" s="21" t="str">
        <f t="shared" si="1"/>
        <v/>
      </c>
      <c r="N46" s="21" t="str">
        <f t="shared" si="14"/>
        <v/>
      </c>
      <c r="O46" s="124" t="s">
        <v>311</v>
      </c>
      <c r="Q46" s="21" t="str">
        <f t="shared" si="2"/>
        <v/>
      </c>
      <c r="R46" s="21" t="str">
        <f t="shared" si="3"/>
        <v/>
      </c>
      <c r="S46" s="20" t="str">
        <f t="shared" si="15"/>
        <v/>
      </c>
      <c r="T46" s="21" t="str">
        <f t="shared" si="4"/>
        <v/>
      </c>
      <c r="U46" s="131" t="str">
        <f t="shared" si="5"/>
        <v/>
      </c>
      <c r="V46" s="156" t="str">
        <f t="shared" si="16"/>
        <v/>
      </c>
      <c r="W46" s="132" t="str">
        <f t="shared" si="6"/>
        <v/>
      </c>
      <c r="X46" s="131" t="str">
        <f t="shared" si="7"/>
        <v/>
      </c>
      <c r="Y46" s="21" t="str">
        <f t="shared" si="17"/>
        <v/>
      </c>
      <c r="Z46" s="21" t="str">
        <f t="shared" si="20"/>
        <v/>
      </c>
      <c r="AA46" s="124" t="s">
        <v>311</v>
      </c>
      <c r="AB46" s="21" t="str">
        <f t="shared" si="8"/>
        <v/>
      </c>
      <c r="AC46" s="20" t="str">
        <f t="shared" si="9"/>
        <v/>
      </c>
      <c r="AD46" s="20" t="str">
        <f t="shared" si="18"/>
        <v/>
      </c>
      <c r="AE46" s="20" t="str">
        <f t="shared" si="10"/>
        <v/>
      </c>
      <c r="AF46" s="20" t="str">
        <f t="shared" si="11"/>
        <v/>
      </c>
      <c r="AG46" s="20" t="str">
        <f t="shared" si="12"/>
        <v/>
      </c>
    </row>
    <row r="47" spans="1:33" x14ac:dyDescent="0.25">
      <c r="A47" s="148"/>
      <c r="B47" s="141"/>
      <c r="C47" s="140"/>
      <c r="D47" s="140"/>
      <c r="E47" s="141"/>
      <c r="F47" s="68"/>
      <c r="I47" s="131" t="str">
        <f t="shared" si="0"/>
        <v/>
      </c>
      <c r="J47" s="153" t="str">
        <f t="shared" si="13"/>
        <v/>
      </c>
      <c r="K47" s="132" t="str">
        <f t="shared" si="21"/>
        <v/>
      </c>
      <c r="L47" s="131" t="str">
        <f t="shared" si="19"/>
        <v/>
      </c>
      <c r="M47" s="21" t="str">
        <f t="shared" si="1"/>
        <v/>
      </c>
      <c r="N47" s="21" t="str">
        <f t="shared" si="14"/>
        <v/>
      </c>
      <c r="O47" s="124" t="s">
        <v>311</v>
      </c>
      <c r="Q47" s="21" t="str">
        <f t="shared" si="2"/>
        <v/>
      </c>
      <c r="R47" s="21" t="str">
        <f t="shared" si="3"/>
        <v/>
      </c>
      <c r="S47" s="20" t="str">
        <f t="shared" si="15"/>
        <v/>
      </c>
      <c r="T47" s="21" t="str">
        <f t="shared" si="4"/>
        <v/>
      </c>
      <c r="U47" s="131" t="str">
        <f t="shared" si="5"/>
        <v/>
      </c>
      <c r="V47" s="156" t="str">
        <f t="shared" si="16"/>
        <v/>
      </c>
      <c r="W47" s="132" t="str">
        <f t="shared" si="6"/>
        <v/>
      </c>
      <c r="X47" s="131" t="str">
        <f t="shared" si="7"/>
        <v/>
      </c>
      <c r="Y47" s="21" t="str">
        <f t="shared" si="17"/>
        <v/>
      </c>
      <c r="Z47" s="21" t="str">
        <f t="shared" si="20"/>
        <v/>
      </c>
      <c r="AA47" s="124" t="s">
        <v>311</v>
      </c>
      <c r="AB47" s="21" t="str">
        <f t="shared" si="8"/>
        <v/>
      </c>
      <c r="AC47" s="20" t="str">
        <f t="shared" si="9"/>
        <v/>
      </c>
      <c r="AD47" s="20" t="str">
        <f t="shared" si="18"/>
        <v/>
      </c>
      <c r="AE47" s="20" t="str">
        <f t="shared" si="10"/>
        <v/>
      </c>
      <c r="AF47" s="20" t="str">
        <f t="shared" si="11"/>
        <v/>
      </c>
      <c r="AG47" s="20" t="str">
        <f t="shared" si="12"/>
        <v/>
      </c>
    </row>
    <row r="48" spans="1:33" x14ac:dyDescent="0.25">
      <c r="A48" s="148"/>
      <c r="B48" s="141"/>
      <c r="C48" s="140"/>
      <c r="D48" s="140"/>
      <c r="E48" s="141"/>
      <c r="F48" s="68"/>
      <c r="I48" s="131" t="str">
        <f t="shared" si="0"/>
        <v/>
      </c>
      <c r="J48" s="153" t="str">
        <f t="shared" si="13"/>
        <v/>
      </c>
      <c r="K48" s="132" t="str">
        <f t="shared" si="21"/>
        <v/>
      </c>
      <c r="L48" s="131" t="str">
        <f t="shared" si="19"/>
        <v/>
      </c>
      <c r="M48" s="21" t="str">
        <f t="shared" si="1"/>
        <v/>
      </c>
      <c r="N48" s="21" t="str">
        <f t="shared" si="14"/>
        <v/>
      </c>
      <c r="O48" s="124" t="s">
        <v>311</v>
      </c>
      <c r="Q48" s="21" t="str">
        <f t="shared" si="2"/>
        <v/>
      </c>
      <c r="R48" s="21" t="str">
        <f t="shared" si="3"/>
        <v/>
      </c>
      <c r="S48" s="20" t="str">
        <f t="shared" si="15"/>
        <v/>
      </c>
      <c r="T48" s="21" t="str">
        <f t="shared" si="4"/>
        <v/>
      </c>
      <c r="U48" s="131" t="str">
        <f t="shared" si="5"/>
        <v/>
      </c>
      <c r="V48" s="156" t="str">
        <f t="shared" si="16"/>
        <v/>
      </c>
      <c r="W48" s="132" t="str">
        <f t="shared" si="6"/>
        <v/>
      </c>
      <c r="X48" s="131" t="str">
        <f t="shared" si="7"/>
        <v/>
      </c>
      <c r="Y48" s="21" t="str">
        <f t="shared" si="17"/>
        <v/>
      </c>
      <c r="Z48" s="21" t="str">
        <f t="shared" si="20"/>
        <v/>
      </c>
      <c r="AA48" s="124" t="s">
        <v>311</v>
      </c>
      <c r="AB48" s="21" t="str">
        <f t="shared" si="8"/>
        <v/>
      </c>
      <c r="AC48" s="20" t="str">
        <f t="shared" si="9"/>
        <v/>
      </c>
      <c r="AD48" s="20" t="str">
        <f t="shared" si="18"/>
        <v/>
      </c>
      <c r="AE48" s="20" t="str">
        <f t="shared" si="10"/>
        <v/>
      </c>
      <c r="AF48" s="20" t="str">
        <f t="shared" si="11"/>
        <v/>
      </c>
      <c r="AG48" s="20" t="str">
        <f t="shared" si="12"/>
        <v/>
      </c>
    </row>
    <row r="49" spans="1:33" x14ac:dyDescent="0.25">
      <c r="A49" s="148"/>
      <c r="B49" s="141"/>
      <c r="C49" s="140"/>
      <c r="D49" s="140"/>
      <c r="E49" s="141"/>
      <c r="F49" s="68"/>
      <c r="I49" s="131" t="str">
        <f t="shared" ref="I49:I80" si="22">IF(A49="","",LEFT(A49,4))</f>
        <v/>
      </c>
      <c r="J49" s="153" t="str">
        <f t="shared" si="13"/>
        <v/>
      </c>
      <c r="K49" s="132" t="str">
        <f t="shared" si="21"/>
        <v/>
      </c>
      <c r="L49" s="131" t="str">
        <f t="shared" si="19"/>
        <v/>
      </c>
      <c r="M49" s="21" t="str">
        <f t="shared" ref="M49:M80" si="23">IFERROR(VLOOKUP(J49&amp;L49,$AD$16:$AE$113,2,FALSE),IFERROR(VLOOKUP(J49,$AB$16:$AE$113,4,FALSE) &amp; " - DIFF QTY","NOT IN BOM 2"))</f>
        <v/>
      </c>
      <c r="N49" s="21" t="str">
        <f t="shared" ref="N49:N80" si="24">IF(M49="","",IF(M49="    ","",$AF$3))</f>
        <v/>
      </c>
      <c r="O49" s="124" t="s">
        <v>311</v>
      </c>
      <c r="Q49" s="21" t="str">
        <f t="shared" ref="Q49:Q80" si="25">J49</f>
        <v/>
      </c>
      <c r="R49" s="21" t="str">
        <f t="shared" ref="R49:R80" si="26">L49</f>
        <v/>
      </c>
      <c r="S49" s="20" t="str">
        <f t="shared" si="15"/>
        <v/>
      </c>
      <c r="T49" s="21" t="str">
        <f t="shared" ref="T49:T80" si="27">I49</f>
        <v/>
      </c>
      <c r="U49" s="131" t="str">
        <f t="shared" ref="U49:U80" si="28">IF(E49="","",LEFT(E49,4))</f>
        <v/>
      </c>
      <c r="V49" s="156" t="str">
        <f t="shared" si="16"/>
        <v/>
      </c>
      <c r="W49" s="132" t="str">
        <f t="shared" ref="W49:W80" si="29">IF(F49="","",SUBSTITUTE(F49, "_", ""))</f>
        <v/>
      </c>
      <c r="X49" s="131" t="str">
        <f t="shared" ref="X49:X80" si="30">IF(E49="","",MID(E49,32,11))</f>
        <v/>
      </c>
      <c r="Y49" s="21" t="str">
        <f t="shared" si="17"/>
        <v/>
      </c>
      <c r="Z49" s="21" t="str">
        <f>IF(Y49="","",IF(Y49="    ","",$AE$3))</f>
        <v/>
      </c>
      <c r="AA49" s="124" t="s">
        <v>311</v>
      </c>
      <c r="AB49" s="21" t="str">
        <f t="shared" ref="AB49:AB80" si="31">V49</f>
        <v/>
      </c>
      <c r="AC49" s="20" t="str">
        <f t="shared" ref="AC49:AC80" si="32">X49</f>
        <v/>
      </c>
      <c r="AD49" s="20" t="str">
        <f t="shared" si="18"/>
        <v/>
      </c>
      <c r="AE49" s="20" t="str">
        <f t="shared" ref="AE49:AE81" si="33">U49</f>
        <v/>
      </c>
      <c r="AF49" s="20" t="str">
        <f t="shared" ref="AF49:AF80" si="34">IF(A49="","",MID(A49,5,26))</f>
        <v/>
      </c>
      <c r="AG49" s="20" t="str">
        <f t="shared" ref="AG49:AG80" si="35">IF(E49="","",MID(E49,5,26))</f>
        <v/>
      </c>
    </row>
    <row r="50" spans="1:33" x14ac:dyDescent="0.25">
      <c r="A50" s="148"/>
      <c r="B50" s="141"/>
      <c r="C50" s="140"/>
      <c r="D50" s="140"/>
      <c r="E50" s="141"/>
      <c r="F50" s="68"/>
      <c r="I50" s="131" t="str">
        <f t="shared" si="22"/>
        <v/>
      </c>
      <c r="J50" s="153" t="str">
        <f t="shared" si="13"/>
        <v/>
      </c>
      <c r="K50" s="132" t="str">
        <f t="shared" si="21"/>
        <v/>
      </c>
      <c r="L50" s="131" t="str">
        <f t="shared" si="19"/>
        <v/>
      </c>
      <c r="M50" s="21" t="str">
        <f t="shared" si="23"/>
        <v/>
      </c>
      <c r="N50" s="21" t="str">
        <f t="shared" si="24"/>
        <v/>
      </c>
      <c r="O50" s="124" t="s">
        <v>311</v>
      </c>
      <c r="Q50" s="21" t="str">
        <f t="shared" si="25"/>
        <v/>
      </c>
      <c r="R50" s="21" t="str">
        <f t="shared" si="26"/>
        <v/>
      </c>
      <c r="S50" s="20" t="str">
        <f t="shared" si="15"/>
        <v/>
      </c>
      <c r="T50" s="21" t="str">
        <f t="shared" si="27"/>
        <v/>
      </c>
      <c r="U50" s="131" t="str">
        <f t="shared" si="28"/>
        <v/>
      </c>
      <c r="V50" s="156" t="str">
        <f t="shared" si="16"/>
        <v/>
      </c>
      <c r="W50" s="132" t="str">
        <f t="shared" si="29"/>
        <v/>
      </c>
      <c r="X50" s="131" t="str">
        <f t="shared" si="30"/>
        <v/>
      </c>
      <c r="Y50" s="21" t="str">
        <f t="shared" si="17"/>
        <v/>
      </c>
      <c r="Z50" s="21" t="str">
        <f t="shared" ref="Z50:Z80" si="36">IF(Y50="","",IF(Y50="    ","",$AE$3))</f>
        <v/>
      </c>
      <c r="AA50" s="124" t="s">
        <v>311</v>
      </c>
      <c r="AB50" s="21" t="str">
        <f t="shared" si="31"/>
        <v/>
      </c>
      <c r="AC50" s="20" t="str">
        <f t="shared" si="32"/>
        <v/>
      </c>
      <c r="AD50" s="20" t="str">
        <f t="shared" si="18"/>
        <v/>
      </c>
      <c r="AE50" s="20" t="str">
        <f t="shared" si="33"/>
        <v/>
      </c>
      <c r="AF50" s="20" t="str">
        <f t="shared" si="34"/>
        <v/>
      </c>
      <c r="AG50" s="20" t="str">
        <f t="shared" si="35"/>
        <v/>
      </c>
    </row>
    <row r="51" spans="1:33" x14ac:dyDescent="0.25">
      <c r="A51" s="148"/>
      <c r="B51" s="141"/>
      <c r="C51" s="140"/>
      <c r="D51" s="140"/>
      <c r="E51" s="141"/>
      <c r="F51" s="68"/>
      <c r="I51" s="131" t="str">
        <f t="shared" si="22"/>
        <v/>
      </c>
      <c r="J51" s="153" t="str">
        <f t="shared" si="13"/>
        <v/>
      </c>
      <c r="K51" s="132" t="str">
        <f t="shared" si="21"/>
        <v/>
      </c>
      <c r="L51" s="131" t="str">
        <f t="shared" si="19"/>
        <v/>
      </c>
      <c r="M51" s="21" t="str">
        <f t="shared" si="23"/>
        <v/>
      </c>
      <c r="N51" s="21" t="str">
        <f t="shared" si="24"/>
        <v/>
      </c>
      <c r="O51" s="124" t="s">
        <v>311</v>
      </c>
      <c r="Q51" s="21" t="str">
        <f t="shared" si="25"/>
        <v/>
      </c>
      <c r="R51" s="21" t="str">
        <f t="shared" si="26"/>
        <v/>
      </c>
      <c r="S51" s="20" t="str">
        <f t="shared" si="15"/>
        <v/>
      </c>
      <c r="T51" s="21" t="str">
        <f t="shared" si="27"/>
        <v/>
      </c>
      <c r="U51" s="131" t="str">
        <f t="shared" si="28"/>
        <v/>
      </c>
      <c r="V51" s="156" t="str">
        <f t="shared" si="16"/>
        <v/>
      </c>
      <c r="W51" s="132" t="str">
        <f t="shared" si="29"/>
        <v/>
      </c>
      <c r="X51" s="131" t="str">
        <f t="shared" si="30"/>
        <v/>
      </c>
      <c r="Y51" s="21" t="str">
        <f t="shared" si="17"/>
        <v/>
      </c>
      <c r="Z51" s="21" t="str">
        <f t="shared" si="36"/>
        <v/>
      </c>
      <c r="AA51" s="124" t="s">
        <v>311</v>
      </c>
      <c r="AB51" s="21" t="str">
        <f t="shared" si="31"/>
        <v/>
      </c>
      <c r="AC51" s="20" t="str">
        <f t="shared" si="32"/>
        <v/>
      </c>
      <c r="AD51" s="20" t="str">
        <f t="shared" si="18"/>
        <v/>
      </c>
      <c r="AE51" s="20" t="str">
        <f t="shared" si="33"/>
        <v/>
      </c>
      <c r="AF51" s="20" t="str">
        <f t="shared" si="34"/>
        <v/>
      </c>
      <c r="AG51" s="20" t="str">
        <f t="shared" si="35"/>
        <v/>
      </c>
    </row>
    <row r="52" spans="1:33" x14ac:dyDescent="0.25">
      <c r="A52" s="148"/>
      <c r="B52" s="141"/>
      <c r="C52" s="140"/>
      <c r="D52" s="140"/>
      <c r="E52" s="141"/>
      <c r="F52" s="68"/>
      <c r="I52" s="131" t="str">
        <f t="shared" si="22"/>
        <v/>
      </c>
      <c r="J52" s="153" t="str">
        <f t="shared" si="13"/>
        <v/>
      </c>
      <c r="K52" s="132" t="str">
        <f t="shared" si="21"/>
        <v/>
      </c>
      <c r="L52" s="131" t="str">
        <f t="shared" si="19"/>
        <v/>
      </c>
      <c r="M52" s="21" t="str">
        <f t="shared" si="23"/>
        <v/>
      </c>
      <c r="N52" s="21" t="str">
        <f t="shared" si="24"/>
        <v/>
      </c>
      <c r="O52" s="124" t="s">
        <v>311</v>
      </c>
      <c r="Q52" s="21" t="str">
        <f t="shared" si="25"/>
        <v/>
      </c>
      <c r="R52" s="21" t="str">
        <f t="shared" si="26"/>
        <v/>
      </c>
      <c r="S52" s="20" t="str">
        <f t="shared" si="15"/>
        <v/>
      </c>
      <c r="T52" s="21" t="str">
        <f t="shared" si="27"/>
        <v/>
      </c>
      <c r="U52" s="131" t="str">
        <f t="shared" si="28"/>
        <v/>
      </c>
      <c r="V52" s="156" t="str">
        <f t="shared" si="16"/>
        <v/>
      </c>
      <c r="W52" s="132" t="str">
        <f t="shared" si="29"/>
        <v/>
      </c>
      <c r="X52" s="131" t="str">
        <f t="shared" si="30"/>
        <v/>
      </c>
      <c r="Y52" s="21" t="str">
        <f t="shared" si="17"/>
        <v/>
      </c>
      <c r="Z52" s="21" t="str">
        <f t="shared" si="36"/>
        <v/>
      </c>
      <c r="AA52" s="124" t="s">
        <v>311</v>
      </c>
      <c r="AB52" s="21" t="str">
        <f t="shared" si="31"/>
        <v/>
      </c>
      <c r="AC52" s="20" t="str">
        <f t="shared" si="32"/>
        <v/>
      </c>
      <c r="AD52" s="20" t="str">
        <f t="shared" si="18"/>
        <v/>
      </c>
      <c r="AE52" s="20" t="str">
        <f t="shared" si="33"/>
        <v/>
      </c>
      <c r="AF52" s="20" t="str">
        <f t="shared" si="34"/>
        <v/>
      </c>
      <c r="AG52" s="20" t="str">
        <f t="shared" si="35"/>
        <v/>
      </c>
    </row>
    <row r="53" spans="1:33" x14ac:dyDescent="0.25">
      <c r="A53" s="148"/>
      <c r="B53" s="141"/>
      <c r="C53" s="140"/>
      <c r="D53" s="140"/>
      <c r="E53" s="141"/>
      <c r="F53" s="68"/>
      <c r="I53" s="131" t="str">
        <f t="shared" si="22"/>
        <v/>
      </c>
      <c r="J53" s="153" t="str">
        <f t="shared" si="13"/>
        <v/>
      </c>
      <c r="K53" s="132" t="str">
        <f t="shared" si="21"/>
        <v/>
      </c>
      <c r="L53" s="131" t="str">
        <f t="shared" si="19"/>
        <v/>
      </c>
      <c r="M53" s="21" t="str">
        <f t="shared" si="23"/>
        <v/>
      </c>
      <c r="N53" s="21" t="str">
        <f t="shared" si="24"/>
        <v/>
      </c>
      <c r="O53" s="124" t="s">
        <v>311</v>
      </c>
      <c r="Q53" s="21" t="str">
        <f t="shared" si="25"/>
        <v/>
      </c>
      <c r="R53" s="21" t="str">
        <f t="shared" si="26"/>
        <v/>
      </c>
      <c r="S53" s="20" t="str">
        <f t="shared" si="15"/>
        <v/>
      </c>
      <c r="T53" s="21" t="str">
        <f t="shared" si="27"/>
        <v/>
      </c>
      <c r="U53" s="131" t="str">
        <f t="shared" si="28"/>
        <v/>
      </c>
      <c r="V53" s="156" t="str">
        <f t="shared" si="16"/>
        <v/>
      </c>
      <c r="W53" s="132" t="str">
        <f t="shared" si="29"/>
        <v/>
      </c>
      <c r="X53" s="131" t="str">
        <f t="shared" si="30"/>
        <v/>
      </c>
      <c r="Y53" s="21" t="str">
        <f t="shared" si="17"/>
        <v/>
      </c>
      <c r="Z53" s="21" t="str">
        <f t="shared" si="36"/>
        <v/>
      </c>
      <c r="AA53" s="124" t="s">
        <v>311</v>
      </c>
      <c r="AB53" s="21" t="str">
        <f t="shared" si="31"/>
        <v/>
      </c>
      <c r="AC53" s="20" t="str">
        <f t="shared" si="32"/>
        <v/>
      </c>
      <c r="AD53" s="20" t="str">
        <f t="shared" si="18"/>
        <v/>
      </c>
      <c r="AE53" s="20" t="str">
        <f t="shared" si="33"/>
        <v/>
      </c>
      <c r="AF53" s="20" t="str">
        <f t="shared" si="34"/>
        <v/>
      </c>
      <c r="AG53" s="20" t="str">
        <f t="shared" si="35"/>
        <v/>
      </c>
    </row>
    <row r="54" spans="1:33" x14ac:dyDescent="0.25">
      <c r="A54" s="148"/>
      <c r="B54" s="141"/>
      <c r="C54" s="140"/>
      <c r="D54" s="140"/>
      <c r="E54" s="141"/>
      <c r="F54" s="68"/>
      <c r="I54" s="131" t="str">
        <f t="shared" si="22"/>
        <v/>
      </c>
      <c r="J54" s="153" t="str">
        <f t="shared" si="13"/>
        <v/>
      </c>
      <c r="K54" s="132" t="str">
        <f t="shared" si="21"/>
        <v/>
      </c>
      <c r="L54" s="131" t="str">
        <f t="shared" si="19"/>
        <v/>
      </c>
      <c r="M54" s="21" t="str">
        <f t="shared" si="23"/>
        <v/>
      </c>
      <c r="N54" s="21" t="str">
        <f t="shared" si="24"/>
        <v/>
      </c>
      <c r="O54" s="124" t="s">
        <v>311</v>
      </c>
      <c r="Q54" s="21" t="str">
        <f t="shared" si="25"/>
        <v/>
      </c>
      <c r="R54" s="21" t="str">
        <f t="shared" si="26"/>
        <v/>
      </c>
      <c r="S54" s="20" t="str">
        <f t="shared" si="15"/>
        <v/>
      </c>
      <c r="T54" s="21" t="str">
        <f t="shared" si="27"/>
        <v/>
      </c>
      <c r="U54" s="131" t="str">
        <f t="shared" si="28"/>
        <v/>
      </c>
      <c r="V54" s="156" t="str">
        <f t="shared" si="16"/>
        <v/>
      </c>
      <c r="W54" s="132" t="str">
        <f t="shared" si="29"/>
        <v/>
      </c>
      <c r="X54" s="131" t="str">
        <f t="shared" si="30"/>
        <v/>
      </c>
      <c r="Y54" s="21" t="str">
        <f t="shared" si="17"/>
        <v/>
      </c>
      <c r="Z54" s="21" t="str">
        <f t="shared" si="36"/>
        <v/>
      </c>
      <c r="AA54" s="124" t="s">
        <v>311</v>
      </c>
      <c r="AB54" s="21" t="str">
        <f t="shared" si="31"/>
        <v/>
      </c>
      <c r="AC54" s="20" t="str">
        <f t="shared" si="32"/>
        <v/>
      </c>
      <c r="AD54" s="20" t="str">
        <f t="shared" si="18"/>
        <v/>
      </c>
      <c r="AE54" s="20" t="str">
        <f t="shared" si="33"/>
        <v/>
      </c>
      <c r="AF54" s="20" t="str">
        <f t="shared" si="34"/>
        <v/>
      </c>
      <c r="AG54" s="20" t="str">
        <f t="shared" si="35"/>
        <v/>
      </c>
    </row>
    <row r="55" spans="1:33" x14ac:dyDescent="0.25">
      <c r="A55" s="148"/>
      <c r="B55" s="141"/>
      <c r="C55" s="140"/>
      <c r="D55" s="140"/>
      <c r="E55" s="141"/>
      <c r="F55" s="68"/>
      <c r="I55" s="131" t="str">
        <f t="shared" si="22"/>
        <v/>
      </c>
      <c r="J55" s="153" t="str">
        <f t="shared" si="13"/>
        <v/>
      </c>
      <c r="K55" s="132" t="str">
        <f t="shared" si="21"/>
        <v/>
      </c>
      <c r="L55" s="131" t="str">
        <f t="shared" si="19"/>
        <v/>
      </c>
      <c r="M55" s="21" t="str">
        <f t="shared" si="23"/>
        <v/>
      </c>
      <c r="N55" s="21" t="str">
        <f t="shared" si="24"/>
        <v/>
      </c>
      <c r="O55" s="124" t="s">
        <v>311</v>
      </c>
      <c r="Q55" s="21" t="str">
        <f t="shared" si="25"/>
        <v/>
      </c>
      <c r="R55" s="21" t="str">
        <f t="shared" si="26"/>
        <v/>
      </c>
      <c r="S55" s="20" t="str">
        <f t="shared" si="15"/>
        <v/>
      </c>
      <c r="T55" s="21" t="str">
        <f t="shared" si="27"/>
        <v/>
      </c>
      <c r="U55" s="131" t="str">
        <f t="shared" si="28"/>
        <v/>
      </c>
      <c r="V55" s="156" t="str">
        <f t="shared" si="16"/>
        <v/>
      </c>
      <c r="W55" s="132" t="str">
        <f t="shared" si="29"/>
        <v/>
      </c>
      <c r="X55" s="131" t="str">
        <f t="shared" si="30"/>
        <v/>
      </c>
      <c r="Y55" s="21" t="str">
        <f t="shared" si="17"/>
        <v/>
      </c>
      <c r="Z55" s="21" t="str">
        <f t="shared" si="36"/>
        <v/>
      </c>
      <c r="AA55" s="124" t="s">
        <v>311</v>
      </c>
      <c r="AB55" s="21" t="str">
        <f t="shared" si="31"/>
        <v/>
      </c>
      <c r="AC55" s="20" t="str">
        <f t="shared" si="32"/>
        <v/>
      </c>
      <c r="AD55" s="20" t="str">
        <f t="shared" si="18"/>
        <v/>
      </c>
      <c r="AE55" s="20" t="str">
        <f t="shared" si="33"/>
        <v/>
      </c>
      <c r="AF55" s="20" t="str">
        <f t="shared" si="34"/>
        <v/>
      </c>
      <c r="AG55" s="20" t="str">
        <f t="shared" si="35"/>
        <v/>
      </c>
    </row>
    <row r="56" spans="1:33" x14ac:dyDescent="0.25">
      <c r="A56" s="148"/>
      <c r="B56" s="141"/>
      <c r="C56" s="140"/>
      <c r="D56" s="140"/>
      <c r="E56" s="141"/>
      <c r="F56" s="68"/>
      <c r="I56" s="131" t="str">
        <f t="shared" si="22"/>
        <v/>
      </c>
      <c r="J56" s="153" t="str">
        <f t="shared" si="13"/>
        <v/>
      </c>
      <c r="K56" s="132" t="str">
        <f t="shared" si="21"/>
        <v/>
      </c>
      <c r="L56" s="131" t="str">
        <f t="shared" si="19"/>
        <v/>
      </c>
      <c r="M56" s="21" t="str">
        <f t="shared" si="23"/>
        <v/>
      </c>
      <c r="N56" s="21" t="str">
        <f t="shared" si="24"/>
        <v/>
      </c>
      <c r="O56" s="124" t="s">
        <v>311</v>
      </c>
      <c r="Q56" s="21" t="str">
        <f t="shared" si="25"/>
        <v/>
      </c>
      <c r="R56" s="21" t="str">
        <f t="shared" si="26"/>
        <v/>
      </c>
      <c r="S56" s="20" t="str">
        <f t="shared" si="15"/>
        <v/>
      </c>
      <c r="T56" s="21" t="str">
        <f t="shared" si="27"/>
        <v/>
      </c>
      <c r="U56" s="131" t="str">
        <f t="shared" si="28"/>
        <v/>
      </c>
      <c r="V56" s="156" t="str">
        <f t="shared" si="16"/>
        <v/>
      </c>
      <c r="W56" s="132" t="str">
        <f t="shared" si="29"/>
        <v/>
      </c>
      <c r="X56" s="131" t="str">
        <f t="shared" si="30"/>
        <v/>
      </c>
      <c r="Y56" s="21" t="str">
        <f t="shared" si="17"/>
        <v/>
      </c>
      <c r="Z56" s="21" t="str">
        <f t="shared" si="36"/>
        <v/>
      </c>
      <c r="AA56" s="124" t="s">
        <v>311</v>
      </c>
      <c r="AB56" s="21" t="str">
        <f t="shared" si="31"/>
        <v/>
      </c>
      <c r="AC56" s="20" t="str">
        <f t="shared" si="32"/>
        <v/>
      </c>
      <c r="AD56" s="20" t="str">
        <f t="shared" si="18"/>
        <v/>
      </c>
      <c r="AE56" s="20" t="str">
        <f t="shared" si="33"/>
        <v/>
      </c>
      <c r="AF56" s="20" t="str">
        <f t="shared" si="34"/>
        <v/>
      </c>
      <c r="AG56" s="20" t="str">
        <f t="shared" si="35"/>
        <v/>
      </c>
    </row>
    <row r="57" spans="1:33" x14ac:dyDescent="0.25">
      <c r="A57" s="148"/>
      <c r="B57" s="141"/>
      <c r="C57" s="140"/>
      <c r="D57" s="140"/>
      <c r="E57" s="141"/>
      <c r="F57" s="68"/>
      <c r="I57" s="131" t="str">
        <f t="shared" si="22"/>
        <v/>
      </c>
      <c r="J57" s="153" t="str">
        <f t="shared" si="13"/>
        <v/>
      </c>
      <c r="K57" s="132" t="str">
        <f t="shared" si="21"/>
        <v/>
      </c>
      <c r="L57" s="131" t="str">
        <f t="shared" si="19"/>
        <v/>
      </c>
      <c r="M57" s="21" t="str">
        <f t="shared" si="23"/>
        <v/>
      </c>
      <c r="N57" s="21" t="str">
        <f t="shared" si="24"/>
        <v/>
      </c>
      <c r="O57" s="124" t="s">
        <v>311</v>
      </c>
      <c r="Q57" s="21" t="str">
        <f t="shared" si="25"/>
        <v/>
      </c>
      <c r="R57" s="21" t="str">
        <f t="shared" si="26"/>
        <v/>
      </c>
      <c r="S57" s="20" t="str">
        <f t="shared" si="15"/>
        <v/>
      </c>
      <c r="T57" s="21" t="str">
        <f t="shared" si="27"/>
        <v/>
      </c>
      <c r="U57" s="131" t="str">
        <f t="shared" si="28"/>
        <v/>
      </c>
      <c r="V57" s="156" t="str">
        <f t="shared" si="16"/>
        <v/>
      </c>
      <c r="W57" s="132" t="str">
        <f t="shared" si="29"/>
        <v/>
      </c>
      <c r="X57" s="131" t="str">
        <f t="shared" si="30"/>
        <v/>
      </c>
      <c r="Y57" s="21" t="str">
        <f t="shared" si="17"/>
        <v/>
      </c>
      <c r="Z57" s="21" t="str">
        <f t="shared" si="36"/>
        <v/>
      </c>
      <c r="AA57" s="124" t="s">
        <v>311</v>
      </c>
      <c r="AB57" s="21" t="str">
        <f t="shared" si="31"/>
        <v/>
      </c>
      <c r="AC57" s="20" t="str">
        <f t="shared" si="32"/>
        <v/>
      </c>
      <c r="AD57" s="20" t="str">
        <f t="shared" si="18"/>
        <v/>
      </c>
      <c r="AE57" s="20" t="str">
        <f t="shared" si="33"/>
        <v/>
      </c>
      <c r="AF57" s="20" t="str">
        <f t="shared" si="34"/>
        <v/>
      </c>
      <c r="AG57" s="20" t="str">
        <f t="shared" si="35"/>
        <v/>
      </c>
    </row>
    <row r="58" spans="1:33" x14ac:dyDescent="0.25">
      <c r="A58" s="148"/>
      <c r="B58" s="141"/>
      <c r="C58" s="140"/>
      <c r="D58" s="140"/>
      <c r="E58" s="141"/>
      <c r="F58" s="68"/>
      <c r="I58" s="131" t="str">
        <f t="shared" si="22"/>
        <v/>
      </c>
      <c r="J58" s="153" t="str">
        <f t="shared" si="13"/>
        <v/>
      </c>
      <c r="K58" s="132" t="str">
        <f t="shared" si="21"/>
        <v/>
      </c>
      <c r="L58" s="131" t="str">
        <f t="shared" si="19"/>
        <v/>
      </c>
      <c r="M58" s="21" t="str">
        <f t="shared" si="23"/>
        <v/>
      </c>
      <c r="N58" s="21" t="str">
        <f t="shared" si="24"/>
        <v/>
      </c>
      <c r="O58" s="124" t="s">
        <v>311</v>
      </c>
      <c r="Q58" s="21" t="str">
        <f t="shared" si="25"/>
        <v/>
      </c>
      <c r="R58" s="21" t="str">
        <f t="shared" si="26"/>
        <v/>
      </c>
      <c r="S58" s="20" t="str">
        <f t="shared" si="15"/>
        <v/>
      </c>
      <c r="T58" s="21" t="str">
        <f t="shared" si="27"/>
        <v/>
      </c>
      <c r="U58" s="131" t="str">
        <f t="shared" si="28"/>
        <v/>
      </c>
      <c r="V58" s="156" t="str">
        <f t="shared" si="16"/>
        <v/>
      </c>
      <c r="W58" s="132" t="str">
        <f t="shared" si="29"/>
        <v/>
      </c>
      <c r="X58" s="131" t="str">
        <f t="shared" si="30"/>
        <v/>
      </c>
      <c r="Y58" s="21" t="str">
        <f t="shared" si="17"/>
        <v/>
      </c>
      <c r="Z58" s="21" t="str">
        <f t="shared" si="36"/>
        <v/>
      </c>
      <c r="AA58" s="124" t="s">
        <v>311</v>
      </c>
      <c r="AB58" s="21" t="str">
        <f t="shared" si="31"/>
        <v/>
      </c>
      <c r="AC58" s="20" t="str">
        <f t="shared" si="32"/>
        <v/>
      </c>
      <c r="AD58" s="20" t="str">
        <f t="shared" si="18"/>
        <v/>
      </c>
      <c r="AE58" s="20" t="str">
        <f t="shared" si="33"/>
        <v/>
      </c>
      <c r="AF58" s="20" t="str">
        <f t="shared" si="34"/>
        <v/>
      </c>
      <c r="AG58" s="20" t="str">
        <f t="shared" si="35"/>
        <v/>
      </c>
    </row>
    <row r="59" spans="1:33" x14ac:dyDescent="0.25">
      <c r="A59" s="148"/>
      <c r="B59" s="141"/>
      <c r="C59" s="140"/>
      <c r="D59" s="140"/>
      <c r="E59" s="141"/>
      <c r="F59" s="68"/>
      <c r="I59" s="131" t="str">
        <f t="shared" si="22"/>
        <v/>
      </c>
      <c r="J59" s="153" t="str">
        <f t="shared" si="13"/>
        <v/>
      </c>
      <c r="K59" s="132" t="str">
        <f t="shared" si="21"/>
        <v/>
      </c>
      <c r="L59" s="131" t="str">
        <f t="shared" si="19"/>
        <v/>
      </c>
      <c r="M59" s="21" t="str">
        <f t="shared" si="23"/>
        <v/>
      </c>
      <c r="N59" s="21" t="str">
        <f t="shared" si="24"/>
        <v/>
      </c>
      <c r="O59" s="124" t="s">
        <v>311</v>
      </c>
      <c r="Q59" s="21" t="str">
        <f t="shared" si="25"/>
        <v/>
      </c>
      <c r="R59" s="21" t="str">
        <f t="shared" si="26"/>
        <v/>
      </c>
      <c r="S59" s="20" t="str">
        <f t="shared" si="15"/>
        <v/>
      </c>
      <c r="T59" s="21" t="str">
        <f t="shared" si="27"/>
        <v/>
      </c>
      <c r="U59" s="131" t="str">
        <f t="shared" si="28"/>
        <v/>
      </c>
      <c r="V59" s="156" t="str">
        <f t="shared" si="16"/>
        <v/>
      </c>
      <c r="W59" s="132" t="str">
        <f t="shared" si="29"/>
        <v/>
      </c>
      <c r="X59" s="131" t="str">
        <f t="shared" si="30"/>
        <v/>
      </c>
      <c r="Y59" s="21" t="str">
        <f t="shared" si="17"/>
        <v/>
      </c>
      <c r="Z59" s="21" t="str">
        <f t="shared" si="36"/>
        <v/>
      </c>
      <c r="AA59" s="124" t="s">
        <v>311</v>
      </c>
      <c r="AB59" s="21" t="str">
        <f t="shared" si="31"/>
        <v/>
      </c>
      <c r="AC59" s="20" t="str">
        <f t="shared" si="32"/>
        <v/>
      </c>
      <c r="AD59" s="20" t="str">
        <f t="shared" si="18"/>
        <v/>
      </c>
      <c r="AE59" s="20" t="str">
        <f t="shared" si="33"/>
        <v/>
      </c>
      <c r="AF59" s="20" t="str">
        <f t="shared" si="34"/>
        <v/>
      </c>
      <c r="AG59" s="20" t="str">
        <f t="shared" si="35"/>
        <v/>
      </c>
    </row>
    <row r="60" spans="1:33" x14ac:dyDescent="0.25">
      <c r="A60" s="148"/>
      <c r="B60" s="141"/>
      <c r="C60" s="140"/>
      <c r="D60" s="140"/>
      <c r="E60" s="141"/>
      <c r="F60" s="68"/>
      <c r="I60" s="131" t="str">
        <f t="shared" si="22"/>
        <v/>
      </c>
      <c r="J60" s="153" t="str">
        <f t="shared" si="13"/>
        <v/>
      </c>
      <c r="K60" s="132" t="str">
        <f t="shared" si="21"/>
        <v/>
      </c>
      <c r="L60" s="131" t="str">
        <f t="shared" si="19"/>
        <v/>
      </c>
      <c r="M60" s="21" t="str">
        <f t="shared" si="23"/>
        <v/>
      </c>
      <c r="N60" s="21" t="str">
        <f t="shared" si="24"/>
        <v/>
      </c>
      <c r="O60" s="124" t="s">
        <v>311</v>
      </c>
      <c r="Q60" s="21" t="str">
        <f t="shared" si="25"/>
        <v/>
      </c>
      <c r="R60" s="21" t="str">
        <f t="shared" si="26"/>
        <v/>
      </c>
      <c r="S60" s="20" t="str">
        <f t="shared" si="15"/>
        <v/>
      </c>
      <c r="T60" s="21" t="str">
        <f t="shared" si="27"/>
        <v/>
      </c>
      <c r="U60" s="131" t="str">
        <f t="shared" si="28"/>
        <v/>
      </c>
      <c r="V60" s="156" t="str">
        <f t="shared" si="16"/>
        <v/>
      </c>
      <c r="W60" s="132" t="str">
        <f t="shared" si="29"/>
        <v/>
      </c>
      <c r="X60" s="131" t="str">
        <f t="shared" si="30"/>
        <v/>
      </c>
      <c r="Y60" s="21" t="str">
        <f t="shared" si="17"/>
        <v/>
      </c>
      <c r="Z60" s="21" t="str">
        <f t="shared" si="36"/>
        <v/>
      </c>
      <c r="AA60" s="124" t="s">
        <v>311</v>
      </c>
      <c r="AB60" s="21" t="str">
        <f t="shared" si="31"/>
        <v/>
      </c>
      <c r="AC60" s="20" t="str">
        <f t="shared" si="32"/>
        <v/>
      </c>
      <c r="AD60" s="20" t="str">
        <f t="shared" si="18"/>
        <v/>
      </c>
      <c r="AE60" s="20" t="str">
        <f t="shared" si="33"/>
        <v/>
      </c>
      <c r="AF60" s="20" t="str">
        <f t="shared" si="34"/>
        <v/>
      </c>
      <c r="AG60" s="20" t="str">
        <f t="shared" si="35"/>
        <v/>
      </c>
    </row>
    <row r="61" spans="1:33" x14ac:dyDescent="0.25">
      <c r="A61" s="148"/>
      <c r="B61" s="141"/>
      <c r="C61" s="140"/>
      <c r="D61" s="140"/>
      <c r="E61" s="141"/>
      <c r="F61" s="68"/>
      <c r="I61" s="131" t="str">
        <f t="shared" si="22"/>
        <v/>
      </c>
      <c r="J61" s="153" t="str">
        <f t="shared" si="13"/>
        <v/>
      </c>
      <c r="K61" s="132" t="str">
        <f t="shared" si="21"/>
        <v/>
      </c>
      <c r="L61" s="131" t="str">
        <f t="shared" si="19"/>
        <v/>
      </c>
      <c r="M61" s="21" t="str">
        <f t="shared" si="23"/>
        <v/>
      </c>
      <c r="N61" s="21" t="str">
        <f t="shared" si="24"/>
        <v/>
      </c>
      <c r="O61" s="124" t="s">
        <v>311</v>
      </c>
      <c r="Q61" s="21" t="str">
        <f t="shared" si="25"/>
        <v/>
      </c>
      <c r="R61" s="21" t="str">
        <f t="shared" si="26"/>
        <v/>
      </c>
      <c r="S61" s="20" t="str">
        <f t="shared" si="15"/>
        <v/>
      </c>
      <c r="T61" s="21" t="str">
        <f t="shared" si="27"/>
        <v/>
      </c>
      <c r="U61" s="131" t="str">
        <f t="shared" si="28"/>
        <v/>
      </c>
      <c r="V61" s="156" t="str">
        <f t="shared" si="16"/>
        <v/>
      </c>
      <c r="W61" s="132" t="str">
        <f t="shared" si="29"/>
        <v/>
      </c>
      <c r="X61" s="131" t="str">
        <f t="shared" si="30"/>
        <v/>
      </c>
      <c r="Y61" s="21" t="str">
        <f t="shared" si="17"/>
        <v/>
      </c>
      <c r="Z61" s="21" t="str">
        <f t="shared" si="36"/>
        <v/>
      </c>
      <c r="AA61" s="124" t="s">
        <v>311</v>
      </c>
      <c r="AB61" s="21" t="str">
        <f t="shared" si="31"/>
        <v/>
      </c>
      <c r="AC61" s="20" t="str">
        <f t="shared" si="32"/>
        <v/>
      </c>
      <c r="AD61" s="20" t="str">
        <f t="shared" si="18"/>
        <v/>
      </c>
      <c r="AE61" s="20" t="str">
        <f t="shared" si="33"/>
        <v/>
      </c>
      <c r="AF61" s="20" t="str">
        <f t="shared" si="34"/>
        <v/>
      </c>
      <c r="AG61" s="20" t="str">
        <f t="shared" si="35"/>
        <v/>
      </c>
    </row>
    <row r="62" spans="1:33" x14ac:dyDescent="0.25">
      <c r="A62" s="148"/>
      <c r="B62" s="141"/>
      <c r="C62" s="140"/>
      <c r="D62" s="140"/>
      <c r="E62" s="141"/>
      <c r="F62" s="68"/>
      <c r="I62" s="131" t="str">
        <f t="shared" si="22"/>
        <v/>
      </c>
      <c r="J62" s="153" t="str">
        <f t="shared" si="13"/>
        <v/>
      </c>
      <c r="K62" s="132" t="str">
        <f t="shared" si="21"/>
        <v/>
      </c>
      <c r="L62" s="131" t="str">
        <f t="shared" si="19"/>
        <v/>
      </c>
      <c r="M62" s="21" t="str">
        <f t="shared" si="23"/>
        <v/>
      </c>
      <c r="N62" s="21" t="str">
        <f t="shared" si="24"/>
        <v/>
      </c>
      <c r="O62" s="124" t="s">
        <v>311</v>
      </c>
      <c r="Q62" s="21" t="str">
        <f t="shared" si="25"/>
        <v/>
      </c>
      <c r="R62" s="21" t="str">
        <f t="shared" si="26"/>
        <v/>
      </c>
      <c r="S62" s="20" t="str">
        <f t="shared" si="15"/>
        <v/>
      </c>
      <c r="T62" s="21" t="str">
        <f t="shared" si="27"/>
        <v/>
      </c>
      <c r="U62" s="131" t="str">
        <f t="shared" si="28"/>
        <v/>
      </c>
      <c r="V62" s="156" t="str">
        <f t="shared" si="16"/>
        <v/>
      </c>
      <c r="W62" s="132" t="str">
        <f t="shared" si="29"/>
        <v/>
      </c>
      <c r="X62" s="131" t="str">
        <f t="shared" si="30"/>
        <v/>
      </c>
      <c r="Y62" s="21" t="str">
        <f t="shared" si="17"/>
        <v/>
      </c>
      <c r="Z62" s="21" t="str">
        <f t="shared" si="36"/>
        <v/>
      </c>
      <c r="AA62" s="124" t="s">
        <v>311</v>
      </c>
      <c r="AB62" s="21" t="str">
        <f t="shared" si="31"/>
        <v/>
      </c>
      <c r="AC62" s="20" t="str">
        <f t="shared" si="32"/>
        <v/>
      </c>
      <c r="AD62" s="20" t="str">
        <f t="shared" si="18"/>
        <v/>
      </c>
      <c r="AE62" s="20" t="str">
        <f t="shared" si="33"/>
        <v/>
      </c>
      <c r="AF62" s="20" t="str">
        <f t="shared" si="34"/>
        <v/>
      </c>
      <c r="AG62" s="20" t="str">
        <f t="shared" si="35"/>
        <v/>
      </c>
    </row>
    <row r="63" spans="1:33" x14ac:dyDescent="0.25">
      <c r="A63" s="148"/>
      <c r="B63" s="141"/>
      <c r="C63" s="140"/>
      <c r="D63" s="140"/>
      <c r="E63" s="141"/>
      <c r="F63" s="68"/>
      <c r="I63" s="131" t="str">
        <f t="shared" si="22"/>
        <v/>
      </c>
      <c r="J63" s="153" t="str">
        <f t="shared" si="13"/>
        <v/>
      </c>
      <c r="K63" s="132" t="str">
        <f t="shared" si="21"/>
        <v/>
      </c>
      <c r="L63" s="131" t="str">
        <f t="shared" si="19"/>
        <v/>
      </c>
      <c r="M63" s="21" t="str">
        <f t="shared" si="23"/>
        <v/>
      </c>
      <c r="N63" s="21" t="str">
        <f t="shared" si="24"/>
        <v/>
      </c>
      <c r="O63" s="124" t="s">
        <v>311</v>
      </c>
      <c r="Q63" s="21" t="str">
        <f t="shared" si="25"/>
        <v/>
      </c>
      <c r="R63" s="21" t="str">
        <f t="shared" si="26"/>
        <v/>
      </c>
      <c r="S63" s="20" t="str">
        <f t="shared" si="15"/>
        <v/>
      </c>
      <c r="T63" s="21" t="str">
        <f t="shared" si="27"/>
        <v/>
      </c>
      <c r="U63" s="131" t="str">
        <f t="shared" si="28"/>
        <v/>
      </c>
      <c r="V63" s="156" t="str">
        <f t="shared" si="16"/>
        <v/>
      </c>
      <c r="W63" s="132" t="str">
        <f t="shared" si="29"/>
        <v/>
      </c>
      <c r="X63" s="131" t="str">
        <f t="shared" si="30"/>
        <v/>
      </c>
      <c r="Y63" s="21" t="str">
        <f t="shared" si="17"/>
        <v/>
      </c>
      <c r="Z63" s="21" t="str">
        <f t="shared" si="36"/>
        <v/>
      </c>
      <c r="AA63" s="124" t="s">
        <v>311</v>
      </c>
      <c r="AB63" s="21" t="str">
        <f t="shared" si="31"/>
        <v/>
      </c>
      <c r="AC63" s="20" t="str">
        <f t="shared" si="32"/>
        <v/>
      </c>
      <c r="AD63" s="20" t="str">
        <f t="shared" si="18"/>
        <v/>
      </c>
      <c r="AE63" s="20" t="str">
        <f t="shared" si="33"/>
        <v/>
      </c>
      <c r="AF63" s="20" t="str">
        <f t="shared" si="34"/>
        <v/>
      </c>
      <c r="AG63" s="20" t="str">
        <f t="shared" si="35"/>
        <v/>
      </c>
    </row>
    <row r="64" spans="1:33" x14ac:dyDescent="0.25">
      <c r="A64" s="148"/>
      <c r="B64" s="141"/>
      <c r="C64" s="140"/>
      <c r="D64" s="140"/>
      <c r="E64" s="141"/>
      <c r="F64" s="68"/>
      <c r="I64" s="131" t="str">
        <f t="shared" si="22"/>
        <v/>
      </c>
      <c r="J64" s="153" t="str">
        <f t="shared" si="13"/>
        <v/>
      </c>
      <c r="K64" s="132" t="str">
        <f t="shared" si="21"/>
        <v/>
      </c>
      <c r="L64" s="131" t="str">
        <f t="shared" si="19"/>
        <v/>
      </c>
      <c r="M64" s="21" t="str">
        <f t="shared" si="23"/>
        <v/>
      </c>
      <c r="N64" s="21" t="str">
        <f t="shared" si="24"/>
        <v/>
      </c>
      <c r="O64" s="124" t="s">
        <v>311</v>
      </c>
      <c r="Q64" s="21" t="str">
        <f t="shared" si="25"/>
        <v/>
      </c>
      <c r="R64" s="21" t="str">
        <f t="shared" si="26"/>
        <v/>
      </c>
      <c r="S64" s="20" t="str">
        <f t="shared" si="15"/>
        <v/>
      </c>
      <c r="T64" s="21" t="str">
        <f t="shared" si="27"/>
        <v/>
      </c>
      <c r="U64" s="131" t="str">
        <f t="shared" si="28"/>
        <v/>
      </c>
      <c r="V64" s="156" t="str">
        <f t="shared" si="16"/>
        <v/>
      </c>
      <c r="W64" s="132" t="str">
        <f t="shared" si="29"/>
        <v/>
      </c>
      <c r="X64" s="131" t="str">
        <f t="shared" si="30"/>
        <v/>
      </c>
      <c r="Y64" s="21" t="str">
        <f t="shared" si="17"/>
        <v/>
      </c>
      <c r="Z64" s="21" t="str">
        <f t="shared" si="36"/>
        <v/>
      </c>
      <c r="AA64" s="124" t="s">
        <v>311</v>
      </c>
      <c r="AB64" s="21" t="str">
        <f t="shared" si="31"/>
        <v/>
      </c>
      <c r="AC64" s="20" t="str">
        <f t="shared" si="32"/>
        <v/>
      </c>
      <c r="AD64" s="20" t="str">
        <f t="shared" si="18"/>
        <v/>
      </c>
      <c r="AE64" s="20" t="str">
        <f t="shared" si="33"/>
        <v/>
      </c>
      <c r="AF64" s="20" t="str">
        <f t="shared" si="34"/>
        <v/>
      </c>
      <c r="AG64" s="20" t="str">
        <f t="shared" si="35"/>
        <v/>
      </c>
    </row>
    <row r="65" spans="1:33" x14ac:dyDescent="0.25">
      <c r="A65" s="148"/>
      <c r="B65" s="141"/>
      <c r="C65" s="140"/>
      <c r="D65" s="140"/>
      <c r="E65" s="141"/>
      <c r="F65" s="68"/>
      <c r="I65" s="131" t="str">
        <f t="shared" si="22"/>
        <v/>
      </c>
      <c r="J65" s="153" t="str">
        <f t="shared" si="13"/>
        <v/>
      </c>
      <c r="K65" s="132" t="str">
        <f t="shared" si="21"/>
        <v/>
      </c>
      <c r="L65" s="131" t="str">
        <f t="shared" si="19"/>
        <v/>
      </c>
      <c r="M65" s="21" t="str">
        <f t="shared" si="23"/>
        <v/>
      </c>
      <c r="N65" s="21" t="str">
        <f t="shared" si="24"/>
        <v/>
      </c>
      <c r="O65" s="124" t="s">
        <v>311</v>
      </c>
      <c r="Q65" s="21" t="str">
        <f t="shared" si="25"/>
        <v/>
      </c>
      <c r="R65" s="21" t="str">
        <f t="shared" si="26"/>
        <v/>
      </c>
      <c r="S65" s="20" t="str">
        <f t="shared" si="15"/>
        <v/>
      </c>
      <c r="T65" s="21" t="str">
        <f t="shared" si="27"/>
        <v/>
      </c>
      <c r="U65" s="131" t="str">
        <f t="shared" si="28"/>
        <v/>
      </c>
      <c r="V65" s="156" t="str">
        <f t="shared" si="16"/>
        <v/>
      </c>
      <c r="W65" s="132" t="str">
        <f t="shared" si="29"/>
        <v/>
      </c>
      <c r="X65" s="131" t="str">
        <f t="shared" si="30"/>
        <v/>
      </c>
      <c r="Y65" s="21" t="str">
        <f t="shared" si="17"/>
        <v/>
      </c>
      <c r="Z65" s="21" t="str">
        <f t="shared" si="36"/>
        <v/>
      </c>
      <c r="AA65" s="124" t="s">
        <v>311</v>
      </c>
      <c r="AB65" s="21" t="str">
        <f t="shared" si="31"/>
        <v/>
      </c>
      <c r="AC65" s="20" t="str">
        <f t="shared" si="32"/>
        <v/>
      </c>
      <c r="AD65" s="20" t="str">
        <f t="shared" si="18"/>
        <v/>
      </c>
      <c r="AE65" s="20" t="str">
        <f t="shared" si="33"/>
        <v/>
      </c>
      <c r="AF65" s="20" t="str">
        <f t="shared" si="34"/>
        <v/>
      </c>
      <c r="AG65" s="20" t="str">
        <f t="shared" si="35"/>
        <v/>
      </c>
    </row>
    <row r="66" spans="1:33" x14ac:dyDescent="0.25">
      <c r="A66" s="148"/>
      <c r="B66" s="141"/>
      <c r="C66" s="140"/>
      <c r="D66" s="140"/>
      <c r="E66" s="141"/>
      <c r="F66" s="68"/>
      <c r="I66" s="131" t="str">
        <f t="shared" si="22"/>
        <v/>
      </c>
      <c r="J66" s="153" t="str">
        <f t="shared" si="13"/>
        <v/>
      </c>
      <c r="K66" s="132" t="str">
        <f t="shared" si="21"/>
        <v/>
      </c>
      <c r="L66" s="131" t="str">
        <f t="shared" si="19"/>
        <v/>
      </c>
      <c r="M66" s="21" t="str">
        <f t="shared" si="23"/>
        <v/>
      </c>
      <c r="N66" s="21" t="str">
        <f t="shared" si="24"/>
        <v/>
      </c>
      <c r="O66" s="124" t="s">
        <v>311</v>
      </c>
      <c r="Q66" s="21" t="str">
        <f t="shared" si="25"/>
        <v/>
      </c>
      <c r="R66" s="21" t="str">
        <f t="shared" si="26"/>
        <v/>
      </c>
      <c r="S66" s="20" t="str">
        <f t="shared" si="15"/>
        <v/>
      </c>
      <c r="T66" s="21" t="str">
        <f t="shared" si="27"/>
        <v/>
      </c>
      <c r="U66" s="131" t="str">
        <f t="shared" si="28"/>
        <v/>
      </c>
      <c r="V66" s="156" t="str">
        <f t="shared" si="16"/>
        <v/>
      </c>
      <c r="W66" s="132" t="str">
        <f t="shared" si="29"/>
        <v/>
      </c>
      <c r="X66" s="131" t="str">
        <f t="shared" si="30"/>
        <v/>
      </c>
      <c r="Y66" s="21" t="str">
        <f t="shared" si="17"/>
        <v/>
      </c>
      <c r="Z66" s="21" t="str">
        <f t="shared" si="36"/>
        <v/>
      </c>
      <c r="AA66" s="124" t="s">
        <v>311</v>
      </c>
      <c r="AB66" s="21" t="str">
        <f t="shared" si="31"/>
        <v/>
      </c>
      <c r="AC66" s="20" t="str">
        <f t="shared" si="32"/>
        <v/>
      </c>
      <c r="AD66" s="20" t="str">
        <f t="shared" si="18"/>
        <v/>
      </c>
      <c r="AE66" s="20" t="str">
        <f t="shared" si="33"/>
        <v/>
      </c>
      <c r="AF66" s="20" t="str">
        <f t="shared" si="34"/>
        <v/>
      </c>
      <c r="AG66" s="20" t="str">
        <f t="shared" si="35"/>
        <v/>
      </c>
    </row>
    <row r="67" spans="1:33" x14ac:dyDescent="0.25">
      <c r="A67" s="148"/>
      <c r="B67" s="141"/>
      <c r="C67" s="140"/>
      <c r="D67" s="140"/>
      <c r="E67" s="141"/>
      <c r="F67" s="68"/>
      <c r="I67" s="131" t="str">
        <f t="shared" si="22"/>
        <v/>
      </c>
      <c r="J67" s="153" t="str">
        <f t="shared" si="13"/>
        <v/>
      </c>
      <c r="K67" s="132" t="str">
        <f t="shared" si="21"/>
        <v/>
      </c>
      <c r="L67" s="131" t="str">
        <f t="shared" si="19"/>
        <v/>
      </c>
      <c r="M67" s="21" t="str">
        <f t="shared" si="23"/>
        <v/>
      </c>
      <c r="N67" s="21" t="str">
        <f t="shared" si="24"/>
        <v/>
      </c>
      <c r="O67" s="124" t="s">
        <v>311</v>
      </c>
      <c r="Q67" s="21" t="str">
        <f t="shared" si="25"/>
        <v/>
      </c>
      <c r="R67" s="21" t="str">
        <f t="shared" si="26"/>
        <v/>
      </c>
      <c r="S67" s="20" t="str">
        <f t="shared" si="15"/>
        <v/>
      </c>
      <c r="T67" s="21" t="str">
        <f t="shared" si="27"/>
        <v/>
      </c>
      <c r="U67" s="131" t="str">
        <f t="shared" si="28"/>
        <v/>
      </c>
      <c r="V67" s="156" t="str">
        <f t="shared" si="16"/>
        <v/>
      </c>
      <c r="W67" s="132" t="str">
        <f t="shared" si="29"/>
        <v/>
      </c>
      <c r="X67" s="131" t="str">
        <f t="shared" si="30"/>
        <v/>
      </c>
      <c r="Y67" s="21" t="str">
        <f t="shared" si="17"/>
        <v/>
      </c>
      <c r="Z67" s="21" t="str">
        <f t="shared" si="36"/>
        <v/>
      </c>
      <c r="AA67" s="124" t="s">
        <v>311</v>
      </c>
      <c r="AB67" s="21" t="str">
        <f t="shared" si="31"/>
        <v/>
      </c>
      <c r="AC67" s="20" t="str">
        <f t="shared" si="32"/>
        <v/>
      </c>
      <c r="AD67" s="20" t="str">
        <f t="shared" si="18"/>
        <v/>
      </c>
      <c r="AE67" s="20" t="str">
        <f t="shared" si="33"/>
        <v/>
      </c>
      <c r="AF67" s="20" t="str">
        <f t="shared" si="34"/>
        <v/>
      </c>
      <c r="AG67" s="20" t="str">
        <f t="shared" si="35"/>
        <v/>
      </c>
    </row>
    <row r="68" spans="1:33" x14ac:dyDescent="0.25">
      <c r="A68" s="148"/>
      <c r="B68" s="141"/>
      <c r="C68" s="140"/>
      <c r="D68" s="140"/>
      <c r="E68" s="141"/>
      <c r="F68" s="68"/>
      <c r="I68" s="131" t="str">
        <f t="shared" si="22"/>
        <v/>
      </c>
      <c r="J68" s="153" t="str">
        <f t="shared" si="13"/>
        <v/>
      </c>
      <c r="K68" s="132" t="str">
        <f t="shared" si="21"/>
        <v/>
      </c>
      <c r="L68" s="131" t="str">
        <f t="shared" si="19"/>
        <v/>
      </c>
      <c r="M68" s="21" t="str">
        <f t="shared" si="23"/>
        <v/>
      </c>
      <c r="N68" s="21" t="str">
        <f t="shared" si="24"/>
        <v/>
      </c>
      <c r="O68" s="124" t="s">
        <v>311</v>
      </c>
      <c r="Q68" s="21" t="str">
        <f t="shared" si="25"/>
        <v/>
      </c>
      <c r="R68" s="21" t="str">
        <f t="shared" si="26"/>
        <v/>
      </c>
      <c r="S68" s="20" t="str">
        <f t="shared" si="15"/>
        <v/>
      </c>
      <c r="T68" s="21" t="str">
        <f t="shared" si="27"/>
        <v/>
      </c>
      <c r="U68" s="131" t="str">
        <f t="shared" si="28"/>
        <v/>
      </c>
      <c r="V68" s="156" t="str">
        <f t="shared" si="16"/>
        <v/>
      </c>
      <c r="W68" s="132" t="str">
        <f t="shared" si="29"/>
        <v/>
      </c>
      <c r="X68" s="131" t="str">
        <f t="shared" si="30"/>
        <v/>
      </c>
      <c r="Y68" s="21" t="str">
        <f t="shared" si="17"/>
        <v/>
      </c>
      <c r="Z68" s="21" t="str">
        <f t="shared" si="36"/>
        <v/>
      </c>
      <c r="AA68" s="124" t="s">
        <v>311</v>
      </c>
      <c r="AB68" s="21" t="str">
        <f t="shared" si="31"/>
        <v/>
      </c>
      <c r="AC68" s="20" t="str">
        <f t="shared" si="32"/>
        <v/>
      </c>
      <c r="AD68" s="20" t="str">
        <f t="shared" si="18"/>
        <v/>
      </c>
      <c r="AE68" s="20" t="str">
        <f t="shared" si="33"/>
        <v/>
      </c>
      <c r="AF68" s="20" t="str">
        <f t="shared" si="34"/>
        <v/>
      </c>
      <c r="AG68" s="20" t="str">
        <f t="shared" si="35"/>
        <v/>
      </c>
    </row>
    <row r="69" spans="1:33" x14ac:dyDescent="0.25">
      <c r="A69" s="148"/>
      <c r="B69" s="141"/>
      <c r="C69" s="140"/>
      <c r="D69" s="140"/>
      <c r="E69" s="141"/>
      <c r="F69" s="68"/>
      <c r="I69" s="131" t="str">
        <f t="shared" si="22"/>
        <v/>
      </c>
      <c r="J69" s="153" t="str">
        <f t="shared" si="13"/>
        <v/>
      </c>
      <c r="K69" s="132" t="str">
        <f t="shared" si="21"/>
        <v/>
      </c>
      <c r="L69" s="131" t="str">
        <f t="shared" si="19"/>
        <v/>
      </c>
      <c r="M69" s="21" t="str">
        <f t="shared" si="23"/>
        <v/>
      </c>
      <c r="N69" s="21" t="str">
        <f t="shared" si="24"/>
        <v/>
      </c>
      <c r="O69" s="124" t="s">
        <v>311</v>
      </c>
      <c r="Q69" s="21" t="str">
        <f t="shared" si="25"/>
        <v/>
      </c>
      <c r="R69" s="21" t="str">
        <f t="shared" si="26"/>
        <v/>
      </c>
      <c r="S69" s="20" t="str">
        <f t="shared" si="15"/>
        <v/>
      </c>
      <c r="T69" s="21" t="str">
        <f t="shared" si="27"/>
        <v/>
      </c>
      <c r="U69" s="131" t="str">
        <f t="shared" si="28"/>
        <v/>
      </c>
      <c r="V69" s="156" t="str">
        <f t="shared" si="16"/>
        <v/>
      </c>
      <c r="W69" s="132" t="str">
        <f t="shared" si="29"/>
        <v/>
      </c>
      <c r="X69" s="131" t="str">
        <f t="shared" si="30"/>
        <v/>
      </c>
      <c r="Y69" s="21" t="str">
        <f t="shared" si="17"/>
        <v/>
      </c>
      <c r="Z69" s="21" t="str">
        <f t="shared" si="36"/>
        <v/>
      </c>
      <c r="AA69" s="124" t="s">
        <v>311</v>
      </c>
      <c r="AB69" s="21" t="str">
        <f t="shared" si="31"/>
        <v/>
      </c>
      <c r="AC69" s="20" t="str">
        <f t="shared" si="32"/>
        <v/>
      </c>
      <c r="AD69" s="20" t="str">
        <f t="shared" si="18"/>
        <v/>
      </c>
      <c r="AE69" s="20" t="str">
        <f t="shared" si="33"/>
        <v/>
      </c>
      <c r="AF69" s="20" t="str">
        <f t="shared" si="34"/>
        <v/>
      </c>
      <c r="AG69" s="20" t="str">
        <f t="shared" si="35"/>
        <v/>
      </c>
    </row>
    <row r="70" spans="1:33" x14ac:dyDescent="0.25">
      <c r="A70" s="148"/>
      <c r="B70" s="141"/>
      <c r="C70" s="140"/>
      <c r="D70" s="140"/>
      <c r="E70" s="141"/>
      <c r="F70" s="68"/>
      <c r="I70" s="131" t="str">
        <f t="shared" si="22"/>
        <v/>
      </c>
      <c r="J70" s="153" t="str">
        <f t="shared" si="13"/>
        <v/>
      </c>
      <c r="K70" s="132" t="str">
        <f t="shared" si="21"/>
        <v/>
      </c>
      <c r="L70" s="131" t="str">
        <f t="shared" si="19"/>
        <v/>
      </c>
      <c r="M70" s="21" t="str">
        <f t="shared" si="23"/>
        <v/>
      </c>
      <c r="N70" s="21" t="str">
        <f t="shared" si="24"/>
        <v/>
      </c>
      <c r="O70" s="124" t="s">
        <v>311</v>
      </c>
      <c r="Q70" s="21" t="str">
        <f t="shared" si="25"/>
        <v/>
      </c>
      <c r="R70" s="21" t="str">
        <f t="shared" si="26"/>
        <v/>
      </c>
      <c r="S70" s="20" t="str">
        <f t="shared" si="15"/>
        <v/>
      </c>
      <c r="T70" s="21" t="str">
        <f t="shared" si="27"/>
        <v/>
      </c>
      <c r="U70" s="131" t="str">
        <f t="shared" si="28"/>
        <v/>
      </c>
      <c r="V70" s="156" t="str">
        <f t="shared" si="16"/>
        <v/>
      </c>
      <c r="W70" s="132" t="str">
        <f t="shared" si="29"/>
        <v/>
      </c>
      <c r="X70" s="131" t="str">
        <f t="shared" si="30"/>
        <v/>
      </c>
      <c r="Y70" s="21" t="str">
        <f t="shared" si="17"/>
        <v/>
      </c>
      <c r="Z70" s="21" t="str">
        <f t="shared" si="36"/>
        <v/>
      </c>
      <c r="AA70" s="124" t="s">
        <v>311</v>
      </c>
      <c r="AB70" s="21" t="str">
        <f t="shared" si="31"/>
        <v/>
      </c>
      <c r="AC70" s="20" t="str">
        <f t="shared" si="32"/>
        <v/>
      </c>
      <c r="AD70" s="20" t="str">
        <f t="shared" si="18"/>
        <v/>
      </c>
      <c r="AE70" s="20" t="str">
        <f t="shared" si="33"/>
        <v/>
      </c>
      <c r="AF70" s="20" t="str">
        <f t="shared" si="34"/>
        <v/>
      </c>
      <c r="AG70" s="20" t="str">
        <f t="shared" si="35"/>
        <v/>
      </c>
    </row>
    <row r="71" spans="1:33" x14ac:dyDescent="0.25">
      <c r="A71" s="148"/>
      <c r="B71" s="141"/>
      <c r="C71" s="140"/>
      <c r="D71" s="140"/>
      <c r="E71" s="141"/>
      <c r="F71" s="68"/>
      <c r="I71" s="131" t="str">
        <f t="shared" si="22"/>
        <v/>
      </c>
      <c r="J71" s="153" t="str">
        <f t="shared" si="13"/>
        <v/>
      </c>
      <c r="K71" s="132" t="str">
        <f t="shared" si="21"/>
        <v/>
      </c>
      <c r="L71" s="131" t="str">
        <f t="shared" si="19"/>
        <v/>
      </c>
      <c r="M71" s="21" t="str">
        <f t="shared" si="23"/>
        <v/>
      </c>
      <c r="N71" s="21" t="str">
        <f t="shared" si="24"/>
        <v/>
      </c>
      <c r="O71" s="124" t="s">
        <v>311</v>
      </c>
      <c r="Q71" s="21" t="str">
        <f t="shared" si="25"/>
        <v/>
      </c>
      <c r="R71" s="21" t="str">
        <f t="shared" si="26"/>
        <v/>
      </c>
      <c r="S71" s="20" t="str">
        <f t="shared" si="15"/>
        <v/>
      </c>
      <c r="T71" s="21" t="str">
        <f t="shared" si="27"/>
        <v/>
      </c>
      <c r="U71" s="131" t="str">
        <f t="shared" si="28"/>
        <v/>
      </c>
      <c r="V71" s="156" t="str">
        <f t="shared" si="16"/>
        <v/>
      </c>
      <c r="W71" s="132" t="str">
        <f t="shared" si="29"/>
        <v/>
      </c>
      <c r="X71" s="131" t="str">
        <f t="shared" si="30"/>
        <v/>
      </c>
      <c r="Y71" s="21" t="str">
        <f t="shared" si="17"/>
        <v/>
      </c>
      <c r="Z71" s="21" t="str">
        <f t="shared" si="36"/>
        <v/>
      </c>
      <c r="AA71" s="124" t="s">
        <v>311</v>
      </c>
      <c r="AB71" s="21" t="str">
        <f t="shared" si="31"/>
        <v/>
      </c>
      <c r="AC71" s="20" t="str">
        <f t="shared" si="32"/>
        <v/>
      </c>
      <c r="AD71" s="20" t="str">
        <f t="shared" si="18"/>
        <v/>
      </c>
      <c r="AE71" s="20" t="str">
        <f t="shared" si="33"/>
        <v/>
      </c>
      <c r="AF71" s="20" t="str">
        <f t="shared" si="34"/>
        <v/>
      </c>
      <c r="AG71" s="20" t="str">
        <f t="shared" si="35"/>
        <v/>
      </c>
    </row>
    <row r="72" spans="1:33" x14ac:dyDescent="0.25">
      <c r="A72" s="148"/>
      <c r="B72" s="141"/>
      <c r="C72" s="140"/>
      <c r="D72" s="140"/>
      <c r="E72" s="141"/>
      <c r="F72" s="68"/>
      <c r="I72" s="131" t="str">
        <f t="shared" si="22"/>
        <v/>
      </c>
      <c r="J72" s="153" t="str">
        <f t="shared" si="13"/>
        <v/>
      </c>
      <c r="K72" s="132" t="str">
        <f t="shared" si="21"/>
        <v/>
      </c>
      <c r="L72" s="131" t="str">
        <f t="shared" si="19"/>
        <v/>
      </c>
      <c r="M72" s="21" t="str">
        <f t="shared" si="23"/>
        <v/>
      </c>
      <c r="N72" s="21" t="str">
        <f t="shared" si="24"/>
        <v/>
      </c>
      <c r="O72" s="124" t="s">
        <v>311</v>
      </c>
      <c r="Q72" s="21" t="str">
        <f t="shared" si="25"/>
        <v/>
      </c>
      <c r="R72" s="21" t="str">
        <f t="shared" si="26"/>
        <v/>
      </c>
      <c r="S72" s="20" t="str">
        <f t="shared" si="15"/>
        <v/>
      </c>
      <c r="T72" s="21" t="str">
        <f t="shared" si="27"/>
        <v/>
      </c>
      <c r="U72" s="131" t="str">
        <f t="shared" si="28"/>
        <v/>
      </c>
      <c r="V72" s="156" t="str">
        <f t="shared" si="16"/>
        <v/>
      </c>
      <c r="W72" s="132" t="str">
        <f t="shared" si="29"/>
        <v/>
      </c>
      <c r="X72" s="131" t="str">
        <f t="shared" si="30"/>
        <v/>
      </c>
      <c r="Y72" s="21" t="str">
        <f t="shared" si="17"/>
        <v/>
      </c>
      <c r="Z72" s="21" t="str">
        <f t="shared" si="36"/>
        <v/>
      </c>
      <c r="AA72" s="124" t="s">
        <v>311</v>
      </c>
      <c r="AB72" s="21" t="str">
        <f t="shared" si="31"/>
        <v/>
      </c>
      <c r="AC72" s="20" t="str">
        <f t="shared" si="32"/>
        <v/>
      </c>
      <c r="AD72" s="20" t="str">
        <f t="shared" si="18"/>
        <v/>
      </c>
      <c r="AE72" s="20" t="str">
        <f t="shared" si="33"/>
        <v/>
      </c>
      <c r="AF72" s="20" t="str">
        <f t="shared" si="34"/>
        <v/>
      </c>
      <c r="AG72" s="20" t="str">
        <f t="shared" si="35"/>
        <v/>
      </c>
    </row>
    <row r="73" spans="1:33" x14ac:dyDescent="0.25">
      <c r="A73" s="148"/>
      <c r="B73" s="141"/>
      <c r="C73" s="140"/>
      <c r="D73" s="140"/>
      <c r="E73" s="141"/>
      <c r="F73" s="68"/>
      <c r="I73" s="131" t="str">
        <f t="shared" si="22"/>
        <v/>
      </c>
      <c r="J73" s="153" t="str">
        <f t="shared" si="13"/>
        <v/>
      </c>
      <c r="K73" s="132" t="str">
        <f t="shared" si="21"/>
        <v/>
      </c>
      <c r="L73" s="131" t="str">
        <f t="shared" si="19"/>
        <v/>
      </c>
      <c r="M73" s="21" t="str">
        <f t="shared" si="23"/>
        <v/>
      </c>
      <c r="N73" s="21" t="str">
        <f t="shared" si="24"/>
        <v/>
      </c>
      <c r="O73" s="124" t="s">
        <v>311</v>
      </c>
      <c r="Q73" s="21" t="str">
        <f t="shared" si="25"/>
        <v/>
      </c>
      <c r="R73" s="21" t="str">
        <f t="shared" si="26"/>
        <v/>
      </c>
      <c r="S73" s="20" t="str">
        <f t="shared" si="15"/>
        <v/>
      </c>
      <c r="T73" s="21" t="str">
        <f t="shared" si="27"/>
        <v/>
      </c>
      <c r="U73" s="131" t="str">
        <f t="shared" si="28"/>
        <v/>
      </c>
      <c r="V73" s="156" t="str">
        <f t="shared" si="16"/>
        <v/>
      </c>
      <c r="W73" s="132" t="str">
        <f t="shared" si="29"/>
        <v/>
      </c>
      <c r="X73" s="131" t="str">
        <f t="shared" si="30"/>
        <v/>
      </c>
      <c r="Y73" s="21" t="str">
        <f t="shared" si="17"/>
        <v/>
      </c>
      <c r="Z73" s="21" t="str">
        <f t="shared" si="36"/>
        <v/>
      </c>
      <c r="AA73" s="124" t="s">
        <v>311</v>
      </c>
      <c r="AB73" s="21" t="str">
        <f t="shared" si="31"/>
        <v/>
      </c>
      <c r="AC73" s="20" t="str">
        <f t="shared" si="32"/>
        <v/>
      </c>
      <c r="AD73" s="20" t="str">
        <f t="shared" si="18"/>
        <v/>
      </c>
      <c r="AE73" s="20" t="str">
        <f t="shared" si="33"/>
        <v/>
      </c>
      <c r="AF73" s="20" t="str">
        <f t="shared" si="34"/>
        <v/>
      </c>
      <c r="AG73" s="20" t="str">
        <f t="shared" si="35"/>
        <v/>
      </c>
    </row>
    <row r="74" spans="1:33" x14ac:dyDescent="0.25">
      <c r="A74" s="148"/>
      <c r="B74" s="141"/>
      <c r="C74" s="140"/>
      <c r="D74" s="140"/>
      <c r="E74" s="141"/>
      <c r="F74" s="68"/>
      <c r="I74" s="131" t="str">
        <f t="shared" si="22"/>
        <v/>
      </c>
      <c r="J74" s="153" t="str">
        <f t="shared" si="13"/>
        <v/>
      </c>
      <c r="K74" s="132" t="str">
        <f t="shared" si="21"/>
        <v/>
      </c>
      <c r="L74" s="131" t="str">
        <f t="shared" si="19"/>
        <v/>
      </c>
      <c r="M74" s="21" t="str">
        <f t="shared" si="23"/>
        <v/>
      </c>
      <c r="N74" s="21" t="str">
        <f t="shared" si="24"/>
        <v/>
      </c>
      <c r="O74" s="124" t="s">
        <v>311</v>
      </c>
      <c r="Q74" s="21" t="str">
        <f t="shared" si="25"/>
        <v/>
      </c>
      <c r="R74" s="21" t="str">
        <f t="shared" si="26"/>
        <v/>
      </c>
      <c r="S74" s="20" t="str">
        <f t="shared" si="15"/>
        <v/>
      </c>
      <c r="T74" s="21" t="str">
        <f t="shared" si="27"/>
        <v/>
      </c>
      <c r="U74" s="131" t="str">
        <f t="shared" si="28"/>
        <v/>
      </c>
      <c r="V74" s="156" t="str">
        <f t="shared" si="16"/>
        <v/>
      </c>
      <c r="W74" s="132" t="str">
        <f t="shared" si="29"/>
        <v/>
      </c>
      <c r="X74" s="131" t="str">
        <f t="shared" si="30"/>
        <v/>
      </c>
      <c r="Y74" s="21" t="str">
        <f t="shared" si="17"/>
        <v/>
      </c>
      <c r="Z74" s="21" t="str">
        <f t="shared" si="36"/>
        <v/>
      </c>
      <c r="AA74" s="124" t="s">
        <v>311</v>
      </c>
      <c r="AB74" s="21" t="str">
        <f t="shared" si="31"/>
        <v/>
      </c>
      <c r="AC74" s="20" t="str">
        <f t="shared" si="32"/>
        <v/>
      </c>
      <c r="AD74" s="20" t="str">
        <f t="shared" si="18"/>
        <v/>
      </c>
      <c r="AE74" s="20" t="str">
        <f t="shared" si="33"/>
        <v/>
      </c>
      <c r="AF74" s="20" t="str">
        <f t="shared" si="34"/>
        <v/>
      </c>
      <c r="AG74" s="20" t="str">
        <f t="shared" si="35"/>
        <v/>
      </c>
    </row>
    <row r="75" spans="1:33" x14ac:dyDescent="0.25">
      <c r="A75" s="148"/>
      <c r="B75" s="141"/>
      <c r="C75" s="140"/>
      <c r="D75" s="140"/>
      <c r="E75" s="141"/>
      <c r="F75" s="68"/>
      <c r="I75" s="131" t="str">
        <f t="shared" si="22"/>
        <v/>
      </c>
      <c r="J75" s="153" t="str">
        <f t="shared" si="13"/>
        <v/>
      </c>
      <c r="K75" s="132" t="str">
        <f t="shared" si="21"/>
        <v/>
      </c>
      <c r="L75" s="131" t="str">
        <f t="shared" si="19"/>
        <v/>
      </c>
      <c r="M75" s="21" t="str">
        <f t="shared" si="23"/>
        <v/>
      </c>
      <c r="N75" s="21" t="str">
        <f t="shared" si="24"/>
        <v/>
      </c>
      <c r="O75" s="124" t="s">
        <v>311</v>
      </c>
      <c r="Q75" s="21" t="str">
        <f t="shared" si="25"/>
        <v/>
      </c>
      <c r="R75" s="21" t="str">
        <f t="shared" si="26"/>
        <v/>
      </c>
      <c r="S75" s="20" t="str">
        <f t="shared" si="15"/>
        <v/>
      </c>
      <c r="T75" s="21" t="str">
        <f t="shared" si="27"/>
        <v/>
      </c>
      <c r="U75" s="131" t="str">
        <f t="shared" si="28"/>
        <v/>
      </c>
      <c r="V75" s="156" t="str">
        <f t="shared" si="16"/>
        <v/>
      </c>
      <c r="W75" s="132" t="str">
        <f t="shared" si="29"/>
        <v/>
      </c>
      <c r="X75" s="131" t="str">
        <f t="shared" si="30"/>
        <v/>
      </c>
      <c r="Y75" s="21" t="str">
        <f t="shared" si="17"/>
        <v/>
      </c>
      <c r="Z75" s="21" t="str">
        <f t="shared" si="36"/>
        <v/>
      </c>
      <c r="AA75" s="124" t="s">
        <v>311</v>
      </c>
      <c r="AB75" s="21" t="str">
        <f t="shared" si="31"/>
        <v/>
      </c>
      <c r="AC75" s="20" t="str">
        <f t="shared" si="32"/>
        <v/>
      </c>
      <c r="AD75" s="20" t="str">
        <f t="shared" si="18"/>
        <v/>
      </c>
      <c r="AE75" s="20" t="str">
        <f t="shared" si="33"/>
        <v/>
      </c>
      <c r="AF75" s="20" t="str">
        <f t="shared" si="34"/>
        <v/>
      </c>
      <c r="AG75" s="20" t="str">
        <f t="shared" si="35"/>
        <v/>
      </c>
    </row>
    <row r="76" spans="1:33" x14ac:dyDescent="0.25">
      <c r="A76" s="148"/>
      <c r="B76" s="141"/>
      <c r="C76" s="140"/>
      <c r="D76" s="140"/>
      <c r="E76" s="141"/>
      <c r="F76" s="68"/>
      <c r="I76" s="131" t="str">
        <f t="shared" si="22"/>
        <v/>
      </c>
      <c r="J76" s="153" t="str">
        <f t="shared" si="13"/>
        <v/>
      </c>
      <c r="K76" s="132" t="str">
        <f t="shared" si="21"/>
        <v/>
      </c>
      <c r="L76" s="131" t="str">
        <f t="shared" si="19"/>
        <v/>
      </c>
      <c r="M76" s="21" t="str">
        <f t="shared" si="23"/>
        <v/>
      </c>
      <c r="N76" s="21" t="str">
        <f t="shared" si="24"/>
        <v/>
      </c>
      <c r="O76" s="124" t="s">
        <v>311</v>
      </c>
      <c r="Q76" s="21" t="str">
        <f t="shared" si="25"/>
        <v/>
      </c>
      <c r="R76" s="21" t="str">
        <f t="shared" si="26"/>
        <v/>
      </c>
      <c r="S76" s="20" t="str">
        <f t="shared" si="15"/>
        <v/>
      </c>
      <c r="T76" s="21" t="str">
        <f t="shared" si="27"/>
        <v/>
      </c>
      <c r="U76" s="131" t="str">
        <f t="shared" si="28"/>
        <v/>
      </c>
      <c r="V76" s="156" t="str">
        <f t="shared" si="16"/>
        <v/>
      </c>
      <c r="W76" s="132" t="str">
        <f t="shared" si="29"/>
        <v/>
      </c>
      <c r="X76" s="131" t="str">
        <f t="shared" si="30"/>
        <v/>
      </c>
      <c r="Y76" s="21" t="str">
        <f t="shared" si="17"/>
        <v/>
      </c>
      <c r="Z76" s="21" t="str">
        <f t="shared" si="36"/>
        <v/>
      </c>
      <c r="AA76" s="124" t="s">
        <v>311</v>
      </c>
      <c r="AB76" s="21" t="str">
        <f t="shared" si="31"/>
        <v/>
      </c>
      <c r="AC76" s="20" t="str">
        <f t="shared" si="32"/>
        <v/>
      </c>
      <c r="AD76" s="20" t="str">
        <f t="shared" si="18"/>
        <v/>
      </c>
      <c r="AE76" s="20" t="str">
        <f t="shared" si="33"/>
        <v/>
      </c>
      <c r="AF76" s="20" t="str">
        <f t="shared" si="34"/>
        <v/>
      </c>
      <c r="AG76" s="20" t="str">
        <f t="shared" si="35"/>
        <v/>
      </c>
    </row>
    <row r="77" spans="1:33" x14ac:dyDescent="0.25">
      <c r="A77" s="148"/>
      <c r="B77" s="141"/>
      <c r="C77" s="140"/>
      <c r="D77" s="140"/>
      <c r="E77" s="141"/>
      <c r="F77" s="68"/>
      <c r="I77" s="131" t="str">
        <f t="shared" si="22"/>
        <v/>
      </c>
      <c r="J77" s="153" t="str">
        <f t="shared" si="13"/>
        <v/>
      </c>
      <c r="K77" s="132" t="str">
        <f t="shared" si="21"/>
        <v/>
      </c>
      <c r="L77" s="131" t="str">
        <f t="shared" si="19"/>
        <v/>
      </c>
      <c r="M77" s="21" t="str">
        <f t="shared" si="23"/>
        <v/>
      </c>
      <c r="N77" s="21" t="str">
        <f t="shared" si="24"/>
        <v/>
      </c>
      <c r="O77" s="124" t="s">
        <v>311</v>
      </c>
      <c r="Q77" s="21" t="str">
        <f t="shared" si="25"/>
        <v/>
      </c>
      <c r="R77" s="21" t="str">
        <f t="shared" si="26"/>
        <v/>
      </c>
      <c r="S77" s="20" t="str">
        <f t="shared" si="15"/>
        <v/>
      </c>
      <c r="T77" s="21" t="str">
        <f t="shared" si="27"/>
        <v/>
      </c>
      <c r="U77" s="131" t="str">
        <f t="shared" si="28"/>
        <v/>
      </c>
      <c r="V77" s="156" t="str">
        <f t="shared" si="16"/>
        <v/>
      </c>
      <c r="W77" s="132" t="str">
        <f t="shared" si="29"/>
        <v/>
      </c>
      <c r="X77" s="131" t="str">
        <f t="shared" si="30"/>
        <v/>
      </c>
      <c r="Y77" s="21" t="str">
        <f t="shared" si="17"/>
        <v/>
      </c>
      <c r="Z77" s="21" t="str">
        <f t="shared" si="36"/>
        <v/>
      </c>
      <c r="AA77" s="124" t="s">
        <v>311</v>
      </c>
      <c r="AB77" s="21" t="str">
        <f t="shared" si="31"/>
        <v/>
      </c>
      <c r="AC77" s="20" t="str">
        <f t="shared" si="32"/>
        <v/>
      </c>
      <c r="AD77" s="20" t="str">
        <f t="shared" si="18"/>
        <v/>
      </c>
      <c r="AE77" s="20" t="str">
        <f t="shared" si="33"/>
        <v/>
      </c>
      <c r="AF77" s="20" t="str">
        <f t="shared" si="34"/>
        <v/>
      </c>
      <c r="AG77" s="20" t="str">
        <f t="shared" si="35"/>
        <v/>
      </c>
    </row>
    <row r="78" spans="1:33" x14ac:dyDescent="0.25">
      <c r="A78" s="148"/>
      <c r="B78" s="141"/>
      <c r="C78" s="140"/>
      <c r="D78" s="140"/>
      <c r="E78" s="141"/>
      <c r="F78" s="68"/>
      <c r="I78" s="131" t="str">
        <f t="shared" si="22"/>
        <v/>
      </c>
      <c r="J78" s="153" t="str">
        <f t="shared" si="13"/>
        <v/>
      </c>
      <c r="K78" s="132" t="str">
        <f t="shared" si="21"/>
        <v/>
      </c>
      <c r="L78" s="131" t="str">
        <f t="shared" si="19"/>
        <v/>
      </c>
      <c r="M78" s="21" t="str">
        <f t="shared" si="23"/>
        <v/>
      </c>
      <c r="N78" s="21" t="str">
        <f t="shared" si="24"/>
        <v/>
      </c>
      <c r="O78" s="124" t="s">
        <v>311</v>
      </c>
      <c r="Q78" s="21" t="str">
        <f t="shared" si="25"/>
        <v/>
      </c>
      <c r="R78" s="21" t="str">
        <f t="shared" si="26"/>
        <v/>
      </c>
      <c r="S78" s="20" t="str">
        <f t="shared" si="15"/>
        <v/>
      </c>
      <c r="T78" s="21" t="str">
        <f t="shared" si="27"/>
        <v/>
      </c>
      <c r="U78" s="131" t="str">
        <f t="shared" si="28"/>
        <v/>
      </c>
      <c r="V78" s="156" t="str">
        <f t="shared" si="16"/>
        <v/>
      </c>
      <c r="W78" s="132" t="str">
        <f t="shared" si="29"/>
        <v/>
      </c>
      <c r="X78" s="131" t="str">
        <f t="shared" si="30"/>
        <v/>
      </c>
      <c r="Y78" s="21" t="str">
        <f t="shared" si="17"/>
        <v/>
      </c>
      <c r="Z78" s="21" t="str">
        <f t="shared" si="36"/>
        <v/>
      </c>
      <c r="AA78" s="124" t="s">
        <v>311</v>
      </c>
      <c r="AB78" s="21" t="str">
        <f t="shared" si="31"/>
        <v/>
      </c>
      <c r="AC78" s="20" t="str">
        <f t="shared" si="32"/>
        <v/>
      </c>
      <c r="AD78" s="20" t="str">
        <f t="shared" si="18"/>
        <v/>
      </c>
      <c r="AE78" s="20" t="str">
        <f t="shared" si="33"/>
        <v/>
      </c>
      <c r="AF78" s="20" t="str">
        <f t="shared" si="34"/>
        <v/>
      </c>
      <c r="AG78" s="20" t="str">
        <f t="shared" si="35"/>
        <v/>
      </c>
    </row>
    <row r="79" spans="1:33" x14ac:dyDescent="0.25">
      <c r="A79" s="148"/>
      <c r="B79" s="141"/>
      <c r="C79" s="140"/>
      <c r="D79" s="140"/>
      <c r="E79" s="141"/>
      <c r="F79" s="68"/>
      <c r="I79" s="131" t="str">
        <f t="shared" si="22"/>
        <v/>
      </c>
      <c r="J79" s="153" t="str">
        <f t="shared" si="13"/>
        <v/>
      </c>
      <c r="K79" s="132" t="str">
        <f t="shared" si="21"/>
        <v/>
      </c>
      <c r="L79" s="131" t="str">
        <f t="shared" si="19"/>
        <v/>
      </c>
      <c r="M79" s="21" t="str">
        <f t="shared" si="23"/>
        <v/>
      </c>
      <c r="N79" s="21" t="str">
        <f t="shared" si="24"/>
        <v/>
      </c>
      <c r="O79" s="124" t="s">
        <v>311</v>
      </c>
      <c r="Q79" s="21" t="str">
        <f t="shared" si="25"/>
        <v/>
      </c>
      <c r="R79" s="21" t="str">
        <f t="shared" si="26"/>
        <v/>
      </c>
      <c r="S79" s="20" t="str">
        <f t="shared" si="15"/>
        <v/>
      </c>
      <c r="T79" s="21" t="str">
        <f t="shared" si="27"/>
        <v/>
      </c>
      <c r="U79" s="131" t="str">
        <f t="shared" si="28"/>
        <v/>
      </c>
      <c r="V79" s="156" t="str">
        <f t="shared" si="16"/>
        <v/>
      </c>
      <c r="W79" s="132" t="str">
        <f t="shared" si="29"/>
        <v/>
      </c>
      <c r="X79" s="131" t="str">
        <f t="shared" si="30"/>
        <v/>
      </c>
      <c r="Y79" s="21" t="str">
        <f t="shared" si="17"/>
        <v/>
      </c>
      <c r="Z79" s="21" t="str">
        <f t="shared" si="36"/>
        <v/>
      </c>
      <c r="AA79" s="124" t="s">
        <v>311</v>
      </c>
      <c r="AB79" s="21" t="str">
        <f t="shared" si="31"/>
        <v/>
      </c>
      <c r="AC79" s="20" t="str">
        <f t="shared" si="32"/>
        <v/>
      </c>
      <c r="AD79" s="20" t="str">
        <f t="shared" si="18"/>
        <v/>
      </c>
      <c r="AE79" s="20" t="str">
        <f t="shared" si="33"/>
        <v/>
      </c>
      <c r="AF79" s="20" t="str">
        <f t="shared" si="34"/>
        <v/>
      </c>
      <c r="AG79" s="20" t="str">
        <f t="shared" si="35"/>
        <v/>
      </c>
    </row>
    <row r="80" spans="1:33" x14ac:dyDescent="0.25">
      <c r="A80" s="148"/>
      <c r="B80" s="141"/>
      <c r="C80" s="140"/>
      <c r="D80" s="140"/>
      <c r="E80" s="141"/>
      <c r="F80" s="68"/>
      <c r="I80" s="131" t="str">
        <f t="shared" si="22"/>
        <v/>
      </c>
      <c r="J80" s="153" t="str">
        <f t="shared" si="13"/>
        <v/>
      </c>
      <c r="K80" s="132" t="str">
        <f t="shared" si="21"/>
        <v/>
      </c>
      <c r="L80" s="131" t="str">
        <f t="shared" si="19"/>
        <v/>
      </c>
      <c r="M80" s="21" t="str">
        <f t="shared" si="23"/>
        <v/>
      </c>
      <c r="N80" s="21" t="str">
        <f t="shared" si="24"/>
        <v/>
      </c>
      <c r="O80" s="124" t="s">
        <v>311</v>
      </c>
      <c r="Q80" s="21" t="str">
        <f t="shared" si="25"/>
        <v/>
      </c>
      <c r="R80" s="21" t="str">
        <f t="shared" si="26"/>
        <v/>
      </c>
      <c r="S80" s="20" t="str">
        <f t="shared" si="15"/>
        <v/>
      </c>
      <c r="T80" s="21" t="str">
        <f t="shared" si="27"/>
        <v/>
      </c>
      <c r="U80" s="131" t="str">
        <f t="shared" si="28"/>
        <v/>
      </c>
      <c r="V80" s="156" t="str">
        <f t="shared" si="16"/>
        <v/>
      </c>
      <c r="W80" s="132" t="str">
        <f t="shared" si="29"/>
        <v/>
      </c>
      <c r="X80" s="131" t="str">
        <f t="shared" si="30"/>
        <v/>
      </c>
      <c r="Y80" s="21" t="str">
        <f t="shared" si="17"/>
        <v/>
      </c>
      <c r="Z80" s="21" t="str">
        <f t="shared" si="36"/>
        <v/>
      </c>
      <c r="AA80" s="124" t="s">
        <v>311</v>
      </c>
      <c r="AB80" s="21" t="str">
        <f t="shared" si="31"/>
        <v/>
      </c>
      <c r="AC80" s="20" t="str">
        <f t="shared" si="32"/>
        <v/>
      </c>
      <c r="AD80" s="20" t="str">
        <f t="shared" si="18"/>
        <v/>
      </c>
      <c r="AE80" s="20" t="str">
        <f t="shared" si="33"/>
        <v/>
      </c>
      <c r="AF80" s="20" t="str">
        <f t="shared" si="34"/>
        <v/>
      </c>
      <c r="AG80" s="20" t="str">
        <f t="shared" si="35"/>
        <v/>
      </c>
    </row>
    <row r="81" spans="1:33" x14ac:dyDescent="0.25">
      <c r="A81" s="148"/>
      <c r="B81" s="141"/>
      <c r="C81" s="140"/>
      <c r="D81" s="140"/>
      <c r="E81" s="141"/>
      <c r="F81" s="68"/>
      <c r="I81" s="131" t="str">
        <f t="shared" ref="I81:I116" si="37">IF(A81="","",LEFT(A81,4))</f>
        <v/>
      </c>
      <c r="J81" s="153" t="str">
        <f t="shared" si="13"/>
        <v/>
      </c>
      <c r="K81" s="132" t="str">
        <f t="shared" si="21"/>
        <v/>
      </c>
      <c r="L81" s="131" t="str">
        <f t="shared" si="19"/>
        <v/>
      </c>
      <c r="M81" s="21" t="str">
        <f t="shared" ref="M81:M107" si="38">IFERROR(VLOOKUP(J81&amp;L81,$AD$16:$AE$113,2,FALSE),IFERROR(VLOOKUP(J81,$AB$16:$AE$113,4,FALSE) &amp; " - DIFF QTY","NOT IN BOM 2"))</f>
        <v/>
      </c>
      <c r="N81" s="21" t="str">
        <f t="shared" ref="N81:N112" si="39">IF(M81="","",IF(M81="    ","",$AF$3))</f>
        <v/>
      </c>
      <c r="O81" s="124" t="s">
        <v>311</v>
      </c>
      <c r="Q81" s="21" t="str">
        <f t="shared" ref="Q81:Q114" si="40">J81</f>
        <v/>
      </c>
      <c r="R81" s="21" t="str">
        <f t="shared" ref="R81:R114" si="41">L81</f>
        <v/>
      </c>
      <c r="S81" s="20" t="str">
        <f t="shared" si="15"/>
        <v/>
      </c>
      <c r="T81" s="21" t="str">
        <f t="shared" ref="T81:T114" si="42">I81</f>
        <v/>
      </c>
      <c r="U81" s="131" t="str">
        <f t="shared" ref="U81:U115" si="43">IF(E81="","",LEFT(E81,4))</f>
        <v/>
      </c>
      <c r="V81" s="156" t="str">
        <f t="shared" si="16"/>
        <v/>
      </c>
      <c r="W81" s="132" t="str">
        <f t="shared" ref="W81:W115" si="44">IF(F81="","",SUBSTITUTE(F81, "_", ""))</f>
        <v/>
      </c>
      <c r="X81" s="131" t="str">
        <f t="shared" ref="X81:X115" si="45">IF(E81="","",MID(E81,32,11))</f>
        <v/>
      </c>
      <c r="Y81" s="21" t="str">
        <f t="shared" si="17"/>
        <v/>
      </c>
      <c r="Z81" s="21" t="str">
        <f t="shared" ref="Z81:Z112" si="46">IF(Y81="","",IF(Y81="    ","",$AE$3))</f>
        <v/>
      </c>
      <c r="AA81" s="124" t="s">
        <v>311</v>
      </c>
      <c r="AB81" s="21" t="str">
        <f t="shared" ref="AB81:AB115" si="47">V81</f>
        <v/>
      </c>
      <c r="AC81" s="20" t="str">
        <f t="shared" ref="AC81:AC115" si="48">X81</f>
        <v/>
      </c>
      <c r="AD81" s="20" t="str">
        <f t="shared" si="18"/>
        <v/>
      </c>
      <c r="AE81" s="20" t="str">
        <f t="shared" si="33"/>
        <v/>
      </c>
      <c r="AF81" s="20" t="str">
        <f t="shared" ref="AF81:AF115" si="49">IF(A81="","",MID(A81,5,26))</f>
        <v/>
      </c>
      <c r="AG81" s="20" t="str">
        <f t="shared" ref="AG81:AG115" si="50">IF(E81="","",MID(E81,5,26))</f>
        <v/>
      </c>
    </row>
    <row r="82" spans="1:33" x14ac:dyDescent="0.25">
      <c r="A82" s="148"/>
      <c r="B82" s="141"/>
      <c r="C82" s="140"/>
      <c r="D82" s="140"/>
      <c r="E82" s="141"/>
      <c r="F82" s="68"/>
      <c r="I82" s="131" t="str">
        <f t="shared" si="37"/>
        <v/>
      </c>
      <c r="J82" s="153" t="str">
        <f t="shared" ref="J82:J116" si="51">TRIM(SUBSTITUTE(SUBSTITUTE(AF82, "-??", "-SZ"), "_", ""))</f>
        <v/>
      </c>
      <c r="K82" s="132" t="str">
        <f t="shared" ref="K82:K115" si="52">IF(B82="","",SUBSTITUTE(B82, "_", ""))</f>
        <v/>
      </c>
      <c r="L82" s="131" t="str">
        <f t="shared" ref="L82:L115" si="53">IF(A82="","",MID(A82,32,11))</f>
        <v/>
      </c>
      <c r="M82" s="21" t="str">
        <f t="shared" si="38"/>
        <v/>
      </c>
      <c r="N82" s="21" t="str">
        <f t="shared" si="39"/>
        <v/>
      </c>
      <c r="O82" s="124" t="s">
        <v>311</v>
      </c>
      <c r="Q82" s="21" t="str">
        <f t="shared" si="40"/>
        <v/>
      </c>
      <c r="R82" s="21" t="str">
        <f t="shared" si="41"/>
        <v/>
      </c>
      <c r="S82" s="20" t="str">
        <f t="shared" ref="S82:S114" si="54">Q82&amp;R82</f>
        <v/>
      </c>
      <c r="T82" s="21" t="str">
        <f t="shared" si="42"/>
        <v/>
      </c>
      <c r="U82" s="131" t="str">
        <f t="shared" si="43"/>
        <v/>
      </c>
      <c r="V82" s="156" t="str">
        <f t="shared" ref="V82:V115" si="55">TRIM(SUBSTITUTE(SUBSTITUTE(AG82, "-??", "-SZ"), "_", ""))</f>
        <v/>
      </c>
      <c r="W82" s="132" t="str">
        <f t="shared" si="44"/>
        <v/>
      </c>
      <c r="X82" s="131" t="str">
        <f t="shared" si="45"/>
        <v/>
      </c>
      <c r="Y82" s="21" t="str">
        <f t="shared" ref="Y82:Y115" si="56">IFERROR(VLOOKUP(V82&amp;X82,$S$16:$T$113,2,FALSE),IFERROR(VLOOKUP(V82,$Q$16:$T$113,4,FALSE)&amp;" - DIFF QTY","NOT IN BOM 1"))</f>
        <v/>
      </c>
      <c r="Z82" s="21" t="str">
        <f t="shared" si="46"/>
        <v/>
      </c>
      <c r="AA82" s="124" t="s">
        <v>311</v>
      </c>
      <c r="AB82" s="21" t="str">
        <f t="shared" si="47"/>
        <v/>
      </c>
      <c r="AC82" s="20" t="str">
        <f t="shared" si="48"/>
        <v/>
      </c>
      <c r="AD82" s="20" t="str">
        <f t="shared" ref="AD82:AD115" si="57">AB82&amp;AC82</f>
        <v/>
      </c>
      <c r="AE82" s="20" t="str">
        <f t="shared" ref="AE82:AE115" si="58">U82</f>
        <v/>
      </c>
      <c r="AF82" s="20" t="str">
        <f t="shared" si="49"/>
        <v/>
      </c>
      <c r="AG82" s="20" t="str">
        <f t="shared" si="50"/>
        <v/>
      </c>
    </row>
    <row r="83" spans="1:33" x14ac:dyDescent="0.25">
      <c r="A83" s="148"/>
      <c r="B83" s="141"/>
      <c r="C83" s="140"/>
      <c r="D83" s="140"/>
      <c r="E83" s="141"/>
      <c r="F83" s="68"/>
      <c r="I83" s="131" t="str">
        <f t="shared" si="37"/>
        <v/>
      </c>
      <c r="J83" s="153" t="str">
        <f t="shared" si="51"/>
        <v/>
      </c>
      <c r="K83" s="132" t="str">
        <f t="shared" si="52"/>
        <v/>
      </c>
      <c r="L83" s="131" t="str">
        <f t="shared" si="53"/>
        <v/>
      </c>
      <c r="M83" s="21" t="str">
        <f t="shared" si="38"/>
        <v/>
      </c>
      <c r="N83" s="21" t="str">
        <f t="shared" si="39"/>
        <v/>
      </c>
      <c r="O83" s="124" t="s">
        <v>311</v>
      </c>
      <c r="Q83" s="21" t="str">
        <f t="shared" si="40"/>
        <v/>
      </c>
      <c r="R83" s="21" t="str">
        <f t="shared" si="41"/>
        <v/>
      </c>
      <c r="S83" s="20" t="str">
        <f t="shared" si="54"/>
        <v/>
      </c>
      <c r="T83" s="21" t="str">
        <f t="shared" si="42"/>
        <v/>
      </c>
      <c r="U83" s="131" t="str">
        <f t="shared" si="43"/>
        <v/>
      </c>
      <c r="V83" s="156" t="str">
        <f t="shared" si="55"/>
        <v/>
      </c>
      <c r="W83" s="132" t="str">
        <f t="shared" si="44"/>
        <v/>
      </c>
      <c r="X83" s="131" t="str">
        <f t="shared" si="45"/>
        <v/>
      </c>
      <c r="Y83" s="21" t="str">
        <f t="shared" si="56"/>
        <v/>
      </c>
      <c r="Z83" s="21" t="str">
        <f t="shared" si="46"/>
        <v/>
      </c>
      <c r="AA83" s="124" t="s">
        <v>311</v>
      </c>
      <c r="AB83" s="21" t="str">
        <f t="shared" si="47"/>
        <v/>
      </c>
      <c r="AC83" s="20" t="str">
        <f t="shared" si="48"/>
        <v/>
      </c>
      <c r="AD83" s="20" t="str">
        <f t="shared" si="57"/>
        <v/>
      </c>
      <c r="AE83" s="20" t="str">
        <f t="shared" si="58"/>
        <v/>
      </c>
      <c r="AF83" s="20" t="str">
        <f t="shared" si="49"/>
        <v/>
      </c>
      <c r="AG83" s="20" t="str">
        <f t="shared" si="50"/>
        <v/>
      </c>
    </row>
    <row r="84" spans="1:33" x14ac:dyDescent="0.25">
      <c r="A84" s="148"/>
      <c r="B84" s="141"/>
      <c r="C84" s="140"/>
      <c r="D84" s="140"/>
      <c r="E84" s="141"/>
      <c r="F84" s="68"/>
      <c r="I84" s="131" t="str">
        <f t="shared" si="37"/>
        <v/>
      </c>
      <c r="J84" s="153" t="str">
        <f t="shared" si="51"/>
        <v/>
      </c>
      <c r="K84" s="132" t="str">
        <f t="shared" si="52"/>
        <v/>
      </c>
      <c r="L84" s="131" t="str">
        <f t="shared" si="53"/>
        <v/>
      </c>
      <c r="M84" s="21" t="str">
        <f t="shared" si="38"/>
        <v/>
      </c>
      <c r="N84" s="21" t="str">
        <f t="shared" si="39"/>
        <v/>
      </c>
      <c r="O84" s="124" t="s">
        <v>311</v>
      </c>
      <c r="Q84" s="21" t="str">
        <f t="shared" si="40"/>
        <v/>
      </c>
      <c r="R84" s="21" t="str">
        <f t="shared" si="41"/>
        <v/>
      </c>
      <c r="S84" s="20" t="str">
        <f t="shared" si="54"/>
        <v/>
      </c>
      <c r="T84" s="21" t="str">
        <f t="shared" si="42"/>
        <v/>
      </c>
      <c r="U84" s="131" t="str">
        <f t="shared" si="43"/>
        <v/>
      </c>
      <c r="V84" s="156" t="str">
        <f t="shared" si="55"/>
        <v/>
      </c>
      <c r="W84" s="132" t="str">
        <f t="shared" si="44"/>
        <v/>
      </c>
      <c r="X84" s="131" t="str">
        <f t="shared" si="45"/>
        <v/>
      </c>
      <c r="Y84" s="21" t="str">
        <f t="shared" si="56"/>
        <v/>
      </c>
      <c r="Z84" s="21" t="str">
        <f t="shared" si="46"/>
        <v/>
      </c>
      <c r="AA84" s="124" t="s">
        <v>311</v>
      </c>
      <c r="AB84" s="21" t="str">
        <f t="shared" si="47"/>
        <v/>
      </c>
      <c r="AC84" s="20" t="str">
        <f t="shared" si="48"/>
        <v/>
      </c>
      <c r="AD84" s="20" t="str">
        <f t="shared" si="57"/>
        <v/>
      </c>
      <c r="AE84" s="20" t="str">
        <f t="shared" si="58"/>
        <v/>
      </c>
      <c r="AF84" s="20" t="str">
        <f t="shared" si="49"/>
        <v/>
      </c>
      <c r="AG84" s="20" t="str">
        <f t="shared" si="50"/>
        <v/>
      </c>
    </row>
    <row r="85" spans="1:33" x14ac:dyDescent="0.25">
      <c r="A85" s="148"/>
      <c r="B85" s="141"/>
      <c r="C85" s="140"/>
      <c r="D85" s="140"/>
      <c r="E85" s="141"/>
      <c r="F85" s="68"/>
      <c r="I85" s="131" t="str">
        <f t="shared" si="37"/>
        <v/>
      </c>
      <c r="J85" s="153" t="str">
        <f t="shared" si="51"/>
        <v/>
      </c>
      <c r="K85" s="132" t="str">
        <f t="shared" si="52"/>
        <v/>
      </c>
      <c r="L85" s="131" t="str">
        <f t="shared" si="53"/>
        <v/>
      </c>
      <c r="M85" s="21" t="str">
        <f t="shared" si="38"/>
        <v/>
      </c>
      <c r="N85" s="21" t="str">
        <f t="shared" si="39"/>
        <v/>
      </c>
      <c r="O85" s="124" t="s">
        <v>311</v>
      </c>
      <c r="Q85" s="21" t="str">
        <f t="shared" si="40"/>
        <v/>
      </c>
      <c r="R85" s="21" t="str">
        <f t="shared" si="41"/>
        <v/>
      </c>
      <c r="S85" s="20" t="str">
        <f t="shared" si="54"/>
        <v/>
      </c>
      <c r="T85" s="21" t="str">
        <f t="shared" si="42"/>
        <v/>
      </c>
      <c r="U85" s="131" t="str">
        <f t="shared" si="43"/>
        <v/>
      </c>
      <c r="V85" s="156" t="str">
        <f t="shared" si="55"/>
        <v/>
      </c>
      <c r="W85" s="132" t="str">
        <f t="shared" si="44"/>
        <v/>
      </c>
      <c r="X85" s="131" t="str">
        <f t="shared" si="45"/>
        <v/>
      </c>
      <c r="Y85" s="21" t="str">
        <f t="shared" si="56"/>
        <v/>
      </c>
      <c r="Z85" s="21" t="str">
        <f t="shared" si="46"/>
        <v/>
      </c>
      <c r="AA85" s="124" t="s">
        <v>311</v>
      </c>
      <c r="AB85" s="21" t="str">
        <f t="shared" si="47"/>
        <v/>
      </c>
      <c r="AC85" s="20" t="str">
        <f t="shared" si="48"/>
        <v/>
      </c>
      <c r="AD85" s="20" t="str">
        <f t="shared" si="57"/>
        <v/>
      </c>
      <c r="AE85" s="20" t="str">
        <f t="shared" si="58"/>
        <v/>
      </c>
      <c r="AF85" s="20" t="str">
        <f t="shared" si="49"/>
        <v/>
      </c>
      <c r="AG85" s="20" t="str">
        <f t="shared" si="50"/>
        <v/>
      </c>
    </row>
    <row r="86" spans="1:33" x14ac:dyDescent="0.25">
      <c r="A86" s="148"/>
      <c r="B86" s="141"/>
      <c r="C86" s="140"/>
      <c r="D86" s="140"/>
      <c r="E86" s="141"/>
      <c r="F86" s="68"/>
      <c r="I86" s="131" t="str">
        <f t="shared" si="37"/>
        <v/>
      </c>
      <c r="J86" s="153" t="str">
        <f t="shared" si="51"/>
        <v/>
      </c>
      <c r="K86" s="132" t="str">
        <f t="shared" si="52"/>
        <v/>
      </c>
      <c r="L86" s="131" t="str">
        <f t="shared" si="53"/>
        <v/>
      </c>
      <c r="M86" s="21" t="str">
        <f t="shared" si="38"/>
        <v/>
      </c>
      <c r="N86" s="21" t="str">
        <f t="shared" si="39"/>
        <v/>
      </c>
      <c r="O86" s="124" t="s">
        <v>311</v>
      </c>
      <c r="Q86" s="21" t="str">
        <f t="shared" si="40"/>
        <v/>
      </c>
      <c r="R86" s="21" t="str">
        <f t="shared" si="41"/>
        <v/>
      </c>
      <c r="S86" s="20" t="str">
        <f t="shared" si="54"/>
        <v/>
      </c>
      <c r="T86" s="21" t="str">
        <f t="shared" si="42"/>
        <v/>
      </c>
      <c r="U86" s="131" t="str">
        <f t="shared" si="43"/>
        <v/>
      </c>
      <c r="V86" s="156" t="str">
        <f t="shared" si="55"/>
        <v/>
      </c>
      <c r="W86" s="132" t="str">
        <f t="shared" si="44"/>
        <v/>
      </c>
      <c r="X86" s="131" t="str">
        <f t="shared" si="45"/>
        <v/>
      </c>
      <c r="Y86" s="21" t="str">
        <f t="shared" si="56"/>
        <v/>
      </c>
      <c r="Z86" s="21" t="str">
        <f t="shared" si="46"/>
        <v/>
      </c>
      <c r="AA86" s="124" t="s">
        <v>311</v>
      </c>
      <c r="AB86" s="21" t="str">
        <f t="shared" si="47"/>
        <v/>
      </c>
      <c r="AC86" s="20" t="str">
        <f t="shared" si="48"/>
        <v/>
      </c>
      <c r="AD86" s="20" t="str">
        <f t="shared" si="57"/>
        <v/>
      </c>
      <c r="AE86" s="20" t="str">
        <f t="shared" si="58"/>
        <v/>
      </c>
      <c r="AF86" s="20" t="str">
        <f t="shared" si="49"/>
        <v/>
      </c>
      <c r="AG86" s="20" t="str">
        <f t="shared" si="50"/>
        <v/>
      </c>
    </row>
    <row r="87" spans="1:33" x14ac:dyDescent="0.25">
      <c r="A87" s="148"/>
      <c r="B87" s="141"/>
      <c r="C87" s="140"/>
      <c r="D87" s="140"/>
      <c r="E87" s="141"/>
      <c r="F87" s="68"/>
      <c r="I87" s="131" t="str">
        <f t="shared" si="37"/>
        <v/>
      </c>
      <c r="J87" s="153" t="str">
        <f t="shared" si="51"/>
        <v/>
      </c>
      <c r="K87" s="132" t="str">
        <f t="shared" si="52"/>
        <v/>
      </c>
      <c r="L87" s="131" t="str">
        <f t="shared" si="53"/>
        <v/>
      </c>
      <c r="M87" s="21" t="str">
        <f t="shared" si="38"/>
        <v/>
      </c>
      <c r="N87" s="21" t="str">
        <f t="shared" si="39"/>
        <v/>
      </c>
      <c r="O87" s="124" t="s">
        <v>311</v>
      </c>
      <c r="Q87" s="21" t="str">
        <f t="shared" si="40"/>
        <v/>
      </c>
      <c r="R87" s="21" t="str">
        <f t="shared" si="41"/>
        <v/>
      </c>
      <c r="S87" s="20" t="str">
        <f t="shared" si="54"/>
        <v/>
      </c>
      <c r="T87" s="21" t="str">
        <f t="shared" si="42"/>
        <v/>
      </c>
      <c r="U87" s="131" t="str">
        <f t="shared" si="43"/>
        <v/>
      </c>
      <c r="V87" s="156" t="str">
        <f t="shared" si="55"/>
        <v/>
      </c>
      <c r="W87" s="132" t="str">
        <f t="shared" si="44"/>
        <v/>
      </c>
      <c r="X87" s="131" t="str">
        <f t="shared" si="45"/>
        <v/>
      </c>
      <c r="Y87" s="21" t="str">
        <f t="shared" si="56"/>
        <v/>
      </c>
      <c r="Z87" s="21" t="str">
        <f t="shared" si="46"/>
        <v/>
      </c>
      <c r="AA87" s="124" t="s">
        <v>311</v>
      </c>
      <c r="AB87" s="21" t="str">
        <f t="shared" si="47"/>
        <v/>
      </c>
      <c r="AC87" s="20" t="str">
        <f t="shared" si="48"/>
        <v/>
      </c>
      <c r="AD87" s="20" t="str">
        <f t="shared" si="57"/>
        <v/>
      </c>
      <c r="AE87" s="20" t="str">
        <f t="shared" si="58"/>
        <v/>
      </c>
      <c r="AF87" s="20" t="str">
        <f t="shared" si="49"/>
        <v/>
      </c>
      <c r="AG87" s="20" t="str">
        <f t="shared" si="50"/>
        <v/>
      </c>
    </row>
    <row r="88" spans="1:33" x14ac:dyDescent="0.25">
      <c r="A88" s="148"/>
      <c r="B88" s="141"/>
      <c r="C88" s="140"/>
      <c r="D88" s="140"/>
      <c r="E88" s="141"/>
      <c r="F88" s="68"/>
      <c r="I88" s="131" t="str">
        <f t="shared" si="37"/>
        <v/>
      </c>
      <c r="J88" s="153" t="str">
        <f t="shared" si="51"/>
        <v/>
      </c>
      <c r="K88" s="132" t="str">
        <f t="shared" si="52"/>
        <v/>
      </c>
      <c r="L88" s="131" t="str">
        <f t="shared" si="53"/>
        <v/>
      </c>
      <c r="M88" s="21" t="str">
        <f t="shared" si="38"/>
        <v/>
      </c>
      <c r="N88" s="21" t="str">
        <f t="shared" si="39"/>
        <v/>
      </c>
      <c r="O88" s="124" t="s">
        <v>311</v>
      </c>
      <c r="Q88" s="21" t="str">
        <f t="shared" si="40"/>
        <v/>
      </c>
      <c r="R88" s="21" t="str">
        <f t="shared" si="41"/>
        <v/>
      </c>
      <c r="S88" s="20" t="str">
        <f t="shared" si="54"/>
        <v/>
      </c>
      <c r="T88" s="21" t="str">
        <f t="shared" si="42"/>
        <v/>
      </c>
      <c r="U88" s="131" t="str">
        <f t="shared" si="43"/>
        <v/>
      </c>
      <c r="V88" s="156" t="str">
        <f t="shared" si="55"/>
        <v/>
      </c>
      <c r="W88" s="132" t="str">
        <f t="shared" si="44"/>
        <v/>
      </c>
      <c r="X88" s="131" t="str">
        <f t="shared" si="45"/>
        <v/>
      </c>
      <c r="Y88" s="21" t="str">
        <f t="shared" si="56"/>
        <v/>
      </c>
      <c r="Z88" s="21" t="str">
        <f t="shared" si="46"/>
        <v/>
      </c>
      <c r="AA88" s="124" t="s">
        <v>311</v>
      </c>
      <c r="AB88" s="21" t="str">
        <f t="shared" si="47"/>
        <v/>
      </c>
      <c r="AC88" s="20" t="str">
        <f t="shared" si="48"/>
        <v/>
      </c>
      <c r="AD88" s="20" t="str">
        <f t="shared" si="57"/>
        <v/>
      </c>
      <c r="AE88" s="20" t="str">
        <f t="shared" si="58"/>
        <v/>
      </c>
      <c r="AF88" s="20" t="str">
        <f t="shared" si="49"/>
        <v/>
      </c>
      <c r="AG88" s="20" t="str">
        <f t="shared" si="50"/>
        <v/>
      </c>
    </row>
    <row r="89" spans="1:33" x14ac:dyDescent="0.25">
      <c r="A89" s="148"/>
      <c r="B89" s="141"/>
      <c r="C89" s="140"/>
      <c r="D89" s="140"/>
      <c r="E89" s="141"/>
      <c r="F89" s="68"/>
      <c r="I89" s="131" t="str">
        <f t="shared" si="37"/>
        <v/>
      </c>
      <c r="J89" s="153" t="str">
        <f t="shared" si="51"/>
        <v/>
      </c>
      <c r="K89" s="132" t="str">
        <f t="shared" si="52"/>
        <v/>
      </c>
      <c r="L89" s="131" t="str">
        <f t="shared" si="53"/>
        <v/>
      </c>
      <c r="M89" s="21" t="str">
        <f t="shared" si="38"/>
        <v/>
      </c>
      <c r="N89" s="21" t="str">
        <f t="shared" si="39"/>
        <v/>
      </c>
      <c r="O89" s="124" t="s">
        <v>311</v>
      </c>
      <c r="Q89" s="21" t="str">
        <f t="shared" si="40"/>
        <v/>
      </c>
      <c r="R89" s="21" t="str">
        <f t="shared" si="41"/>
        <v/>
      </c>
      <c r="S89" s="20" t="str">
        <f t="shared" si="54"/>
        <v/>
      </c>
      <c r="T89" s="21" t="str">
        <f t="shared" si="42"/>
        <v/>
      </c>
      <c r="U89" s="131" t="str">
        <f t="shared" si="43"/>
        <v/>
      </c>
      <c r="V89" s="156" t="str">
        <f t="shared" si="55"/>
        <v/>
      </c>
      <c r="W89" s="132" t="str">
        <f t="shared" si="44"/>
        <v/>
      </c>
      <c r="X89" s="131" t="str">
        <f t="shared" si="45"/>
        <v/>
      </c>
      <c r="Y89" s="21" t="str">
        <f t="shared" si="56"/>
        <v/>
      </c>
      <c r="Z89" s="21" t="str">
        <f t="shared" si="46"/>
        <v/>
      </c>
      <c r="AA89" s="124" t="s">
        <v>311</v>
      </c>
      <c r="AB89" s="21" t="str">
        <f t="shared" si="47"/>
        <v/>
      </c>
      <c r="AC89" s="20" t="str">
        <f t="shared" si="48"/>
        <v/>
      </c>
      <c r="AD89" s="20" t="str">
        <f t="shared" si="57"/>
        <v/>
      </c>
      <c r="AE89" s="20" t="str">
        <f t="shared" si="58"/>
        <v/>
      </c>
      <c r="AF89" s="20" t="str">
        <f t="shared" si="49"/>
        <v/>
      </c>
      <c r="AG89" s="20" t="str">
        <f t="shared" si="50"/>
        <v/>
      </c>
    </row>
    <row r="90" spans="1:33" x14ac:dyDescent="0.25">
      <c r="A90" s="148"/>
      <c r="B90" s="141"/>
      <c r="C90" s="140"/>
      <c r="D90" s="140"/>
      <c r="E90" s="141"/>
      <c r="F90" s="68"/>
      <c r="I90" s="131" t="str">
        <f t="shared" si="37"/>
        <v/>
      </c>
      <c r="J90" s="153" t="str">
        <f t="shared" si="51"/>
        <v/>
      </c>
      <c r="K90" s="132" t="str">
        <f t="shared" si="52"/>
        <v/>
      </c>
      <c r="L90" s="131" t="str">
        <f t="shared" si="53"/>
        <v/>
      </c>
      <c r="M90" s="21" t="str">
        <f t="shared" si="38"/>
        <v/>
      </c>
      <c r="N90" s="21" t="str">
        <f t="shared" si="39"/>
        <v/>
      </c>
      <c r="O90" s="124" t="s">
        <v>311</v>
      </c>
      <c r="Q90" s="21" t="str">
        <f t="shared" si="40"/>
        <v/>
      </c>
      <c r="R90" s="21" t="str">
        <f t="shared" si="41"/>
        <v/>
      </c>
      <c r="S90" s="20" t="str">
        <f t="shared" si="54"/>
        <v/>
      </c>
      <c r="T90" s="21" t="str">
        <f t="shared" si="42"/>
        <v/>
      </c>
      <c r="U90" s="131" t="str">
        <f t="shared" si="43"/>
        <v/>
      </c>
      <c r="V90" s="156" t="str">
        <f t="shared" si="55"/>
        <v/>
      </c>
      <c r="W90" s="132" t="str">
        <f t="shared" si="44"/>
        <v/>
      </c>
      <c r="X90" s="131" t="str">
        <f t="shared" si="45"/>
        <v/>
      </c>
      <c r="Y90" s="21" t="str">
        <f t="shared" si="56"/>
        <v/>
      </c>
      <c r="Z90" s="21" t="str">
        <f t="shared" si="46"/>
        <v/>
      </c>
      <c r="AA90" s="124" t="s">
        <v>311</v>
      </c>
      <c r="AB90" s="21" t="str">
        <f t="shared" si="47"/>
        <v/>
      </c>
      <c r="AC90" s="20" t="str">
        <f t="shared" si="48"/>
        <v/>
      </c>
      <c r="AD90" s="20" t="str">
        <f t="shared" si="57"/>
        <v/>
      </c>
      <c r="AE90" s="20" t="str">
        <f t="shared" si="58"/>
        <v/>
      </c>
      <c r="AF90" s="20" t="str">
        <f t="shared" si="49"/>
        <v/>
      </c>
      <c r="AG90" s="20" t="str">
        <f t="shared" si="50"/>
        <v/>
      </c>
    </row>
    <row r="91" spans="1:33" x14ac:dyDescent="0.25">
      <c r="A91" s="148"/>
      <c r="B91" s="141"/>
      <c r="C91" s="140"/>
      <c r="D91" s="140"/>
      <c r="E91" s="141"/>
      <c r="F91" s="68"/>
      <c r="I91" s="131" t="str">
        <f t="shared" si="37"/>
        <v/>
      </c>
      <c r="J91" s="153" t="str">
        <f t="shared" si="51"/>
        <v/>
      </c>
      <c r="K91" s="132" t="str">
        <f t="shared" si="52"/>
        <v/>
      </c>
      <c r="L91" s="131" t="str">
        <f t="shared" si="53"/>
        <v/>
      </c>
      <c r="M91" s="21" t="str">
        <f t="shared" si="38"/>
        <v/>
      </c>
      <c r="N91" s="21" t="str">
        <f t="shared" si="39"/>
        <v/>
      </c>
      <c r="O91" s="124" t="s">
        <v>311</v>
      </c>
      <c r="Q91" s="21" t="str">
        <f t="shared" si="40"/>
        <v/>
      </c>
      <c r="R91" s="21" t="str">
        <f t="shared" si="41"/>
        <v/>
      </c>
      <c r="S91" s="20" t="str">
        <f t="shared" si="54"/>
        <v/>
      </c>
      <c r="T91" s="21" t="str">
        <f t="shared" si="42"/>
        <v/>
      </c>
      <c r="U91" s="131" t="str">
        <f t="shared" si="43"/>
        <v/>
      </c>
      <c r="V91" s="156" t="str">
        <f t="shared" si="55"/>
        <v/>
      </c>
      <c r="W91" s="132" t="str">
        <f t="shared" si="44"/>
        <v/>
      </c>
      <c r="X91" s="131" t="str">
        <f t="shared" si="45"/>
        <v/>
      </c>
      <c r="Y91" s="21" t="str">
        <f t="shared" si="56"/>
        <v/>
      </c>
      <c r="Z91" s="21" t="str">
        <f t="shared" si="46"/>
        <v/>
      </c>
      <c r="AA91" s="124" t="s">
        <v>311</v>
      </c>
      <c r="AB91" s="21" t="str">
        <f t="shared" si="47"/>
        <v/>
      </c>
      <c r="AC91" s="20" t="str">
        <f t="shared" si="48"/>
        <v/>
      </c>
      <c r="AD91" s="20" t="str">
        <f t="shared" si="57"/>
        <v/>
      </c>
      <c r="AE91" s="20" t="str">
        <f t="shared" si="58"/>
        <v/>
      </c>
      <c r="AF91" s="20" t="str">
        <f t="shared" si="49"/>
        <v/>
      </c>
      <c r="AG91" s="20" t="str">
        <f t="shared" si="50"/>
        <v/>
      </c>
    </row>
    <row r="92" spans="1:33" x14ac:dyDescent="0.25">
      <c r="A92" s="148"/>
      <c r="B92" s="141"/>
      <c r="C92" s="140"/>
      <c r="D92" s="140"/>
      <c r="E92" s="141"/>
      <c r="F92" s="68"/>
      <c r="I92" s="131" t="str">
        <f t="shared" si="37"/>
        <v/>
      </c>
      <c r="J92" s="153" t="str">
        <f t="shared" si="51"/>
        <v/>
      </c>
      <c r="K92" s="132" t="str">
        <f t="shared" si="52"/>
        <v/>
      </c>
      <c r="L92" s="131" t="str">
        <f t="shared" si="53"/>
        <v/>
      </c>
      <c r="M92" s="21" t="str">
        <f t="shared" si="38"/>
        <v/>
      </c>
      <c r="N92" s="21" t="str">
        <f t="shared" si="39"/>
        <v/>
      </c>
      <c r="O92" s="124" t="s">
        <v>311</v>
      </c>
      <c r="Q92" s="21" t="str">
        <f t="shared" si="40"/>
        <v/>
      </c>
      <c r="R92" s="21" t="str">
        <f t="shared" si="41"/>
        <v/>
      </c>
      <c r="S92" s="20" t="str">
        <f t="shared" si="54"/>
        <v/>
      </c>
      <c r="T92" s="21" t="str">
        <f t="shared" si="42"/>
        <v/>
      </c>
      <c r="U92" s="131" t="str">
        <f t="shared" si="43"/>
        <v/>
      </c>
      <c r="V92" s="156" t="str">
        <f t="shared" si="55"/>
        <v/>
      </c>
      <c r="W92" s="132" t="str">
        <f t="shared" si="44"/>
        <v/>
      </c>
      <c r="X92" s="131" t="str">
        <f t="shared" si="45"/>
        <v/>
      </c>
      <c r="Y92" s="21" t="str">
        <f t="shared" si="56"/>
        <v/>
      </c>
      <c r="Z92" s="21" t="str">
        <f t="shared" si="46"/>
        <v/>
      </c>
      <c r="AA92" s="124" t="s">
        <v>311</v>
      </c>
      <c r="AB92" s="21" t="str">
        <f t="shared" si="47"/>
        <v/>
      </c>
      <c r="AC92" s="20" t="str">
        <f t="shared" si="48"/>
        <v/>
      </c>
      <c r="AD92" s="20" t="str">
        <f t="shared" si="57"/>
        <v/>
      </c>
      <c r="AE92" s="20" t="str">
        <f t="shared" si="58"/>
        <v/>
      </c>
      <c r="AF92" s="20" t="str">
        <f t="shared" si="49"/>
        <v/>
      </c>
      <c r="AG92" s="20" t="str">
        <f t="shared" si="50"/>
        <v/>
      </c>
    </row>
    <row r="93" spans="1:33" x14ac:dyDescent="0.25">
      <c r="A93" s="148"/>
      <c r="B93" s="141"/>
      <c r="C93" s="140"/>
      <c r="D93" s="140"/>
      <c r="E93" s="141"/>
      <c r="F93" s="68"/>
      <c r="I93" s="131" t="str">
        <f t="shared" si="37"/>
        <v/>
      </c>
      <c r="J93" s="153" t="str">
        <f t="shared" si="51"/>
        <v/>
      </c>
      <c r="K93" s="132" t="str">
        <f t="shared" si="52"/>
        <v/>
      </c>
      <c r="L93" s="131" t="str">
        <f t="shared" si="53"/>
        <v/>
      </c>
      <c r="M93" s="21" t="str">
        <f t="shared" si="38"/>
        <v/>
      </c>
      <c r="N93" s="21" t="str">
        <f t="shared" si="39"/>
        <v/>
      </c>
      <c r="O93" s="124" t="s">
        <v>311</v>
      </c>
      <c r="Q93" s="21" t="str">
        <f t="shared" si="40"/>
        <v/>
      </c>
      <c r="R93" s="21" t="str">
        <f t="shared" si="41"/>
        <v/>
      </c>
      <c r="S93" s="20" t="str">
        <f t="shared" si="54"/>
        <v/>
      </c>
      <c r="T93" s="21" t="str">
        <f t="shared" si="42"/>
        <v/>
      </c>
      <c r="U93" s="131" t="str">
        <f t="shared" si="43"/>
        <v/>
      </c>
      <c r="V93" s="156" t="str">
        <f t="shared" si="55"/>
        <v/>
      </c>
      <c r="W93" s="132" t="str">
        <f t="shared" si="44"/>
        <v/>
      </c>
      <c r="X93" s="131" t="str">
        <f t="shared" si="45"/>
        <v/>
      </c>
      <c r="Y93" s="21" t="str">
        <f t="shared" si="56"/>
        <v/>
      </c>
      <c r="Z93" s="21" t="str">
        <f t="shared" si="46"/>
        <v/>
      </c>
      <c r="AA93" s="124" t="s">
        <v>311</v>
      </c>
      <c r="AB93" s="21" t="str">
        <f t="shared" si="47"/>
        <v/>
      </c>
      <c r="AC93" s="20" t="str">
        <f t="shared" si="48"/>
        <v/>
      </c>
      <c r="AD93" s="20" t="str">
        <f t="shared" si="57"/>
        <v/>
      </c>
      <c r="AE93" s="20" t="str">
        <f t="shared" si="58"/>
        <v/>
      </c>
      <c r="AF93" s="20" t="str">
        <f t="shared" si="49"/>
        <v/>
      </c>
      <c r="AG93" s="20" t="str">
        <f t="shared" si="50"/>
        <v/>
      </c>
    </row>
    <row r="94" spans="1:33" x14ac:dyDescent="0.25">
      <c r="A94" s="148"/>
      <c r="B94" s="141"/>
      <c r="C94" s="140"/>
      <c r="D94" s="140"/>
      <c r="E94" s="141"/>
      <c r="F94" s="68"/>
      <c r="I94" s="131" t="str">
        <f t="shared" si="37"/>
        <v/>
      </c>
      <c r="J94" s="153" t="str">
        <f t="shared" si="51"/>
        <v/>
      </c>
      <c r="K94" s="132" t="str">
        <f t="shared" si="52"/>
        <v/>
      </c>
      <c r="L94" s="131" t="str">
        <f t="shared" si="53"/>
        <v/>
      </c>
      <c r="M94" s="21" t="str">
        <f t="shared" si="38"/>
        <v/>
      </c>
      <c r="N94" s="21" t="str">
        <f t="shared" si="39"/>
        <v/>
      </c>
      <c r="O94" s="124" t="s">
        <v>311</v>
      </c>
      <c r="Q94" s="21" t="str">
        <f t="shared" si="40"/>
        <v/>
      </c>
      <c r="R94" s="21" t="str">
        <f t="shared" si="41"/>
        <v/>
      </c>
      <c r="S94" s="20" t="str">
        <f t="shared" si="54"/>
        <v/>
      </c>
      <c r="T94" s="21" t="str">
        <f t="shared" si="42"/>
        <v/>
      </c>
      <c r="U94" s="131" t="str">
        <f t="shared" si="43"/>
        <v/>
      </c>
      <c r="V94" s="156" t="str">
        <f t="shared" si="55"/>
        <v/>
      </c>
      <c r="W94" s="132" t="str">
        <f t="shared" si="44"/>
        <v/>
      </c>
      <c r="X94" s="131" t="str">
        <f t="shared" si="45"/>
        <v/>
      </c>
      <c r="Y94" s="21" t="str">
        <f t="shared" si="56"/>
        <v/>
      </c>
      <c r="Z94" s="21" t="str">
        <f t="shared" si="46"/>
        <v/>
      </c>
      <c r="AA94" s="124" t="s">
        <v>311</v>
      </c>
      <c r="AB94" s="21" t="str">
        <f t="shared" si="47"/>
        <v/>
      </c>
      <c r="AC94" s="20" t="str">
        <f t="shared" si="48"/>
        <v/>
      </c>
      <c r="AD94" s="20" t="str">
        <f t="shared" si="57"/>
        <v/>
      </c>
      <c r="AE94" s="20" t="str">
        <f t="shared" si="58"/>
        <v/>
      </c>
      <c r="AF94" s="20" t="str">
        <f t="shared" si="49"/>
        <v/>
      </c>
      <c r="AG94" s="20" t="str">
        <f t="shared" si="50"/>
        <v/>
      </c>
    </row>
    <row r="95" spans="1:33" x14ac:dyDescent="0.25">
      <c r="A95" s="148"/>
      <c r="B95" s="141"/>
      <c r="C95" s="140"/>
      <c r="D95" s="140"/>
      <c r="E95" s="141"/>
      <c r="F95" s="68"/>
      <c r="I95" s="131" t="str">
        <f t="shared" si="37"/>
        <v/>
      </c>
      <c r="J95" s="153" t="str">
        <f t="shared" si="51"/>
        <v/>
      </c>
      <c r="K95" s="132" t="str">
        <f t="shared" si="52"/>
        <v/>
      </c>
      <c r="L95" s="131" t="str">
        <f t="shared" si="53"/>
        <v/>
      </c>
      <c r="M95" s="21" t="str">
        <f t="shared" si="38"/>
        <v/>
      </c>
      <c r="N95" s="21" t="str">
        <f t="shared" si="39"/>
        <v/>
      </c>
      <c r="O95" s="124" t="s">
        <v>311</v>
      </c>
      <c r="Q95" s="21" t="str">
        <f t="shared" si="40"/>
        <v/>
      </c>
      <c r="R95" s="21" t="str">
        <f t="shared" si="41"/>
        <v/>
      </c>
      <c r="S95" s="20" t="str">
        <f t="shared" si="54"/>
        <v/>
      </c>
      <c r="T95" s="21" t="str">
        <f t="shared" si="42"/>
        <v/>
      </c>
      <c r="U95" s="131" t="str">
        <f t="shared" si="43"/>
        <v/>
      </c>
      <c r="V95" s="156" t="str">
        <f t="shared" si="55"/>
        <v/>
      </c>
      <c r="W95" s="132" t="str">
        <f t="shared" si="44"/>
        <v/>
      </c>
      <c r="X95" s="131" t="str">
        <f t="shared" si="45"/>
        <v/>
      </c>
      <c r="Y95" s="21" t="str">
        <f t="shared" si="56"/>
        <v/>
      </c>
      <c r="Z95" s="21" t="str">
        <f t="shared" si="46"/>
        <v/>
      </c>
      <c r="AA95" s="124" t="s">
        <v>311</v>
      </c>
      <c r="AB95" s="21" t="str">
        <f t="shared" si="47"/>
        <v/>
      </c>
      <c r="AC95" s="20" t="str">
        <f t="shared" si="48"/>
        <v/>
      </c>
      <c r="AD95" s="20" t="str">
        <f t="shared" si="57"/>
        <v/>
      </c>
      <c r="AE95" s="20" t="str">
        <f t="shared" si="58"/>
        <v/>
      </c>
      <c r="AF95" s="20" t="str">
        <f t="shared" si="49"/>
        <v/>
      </c>
      <c r="AG95" s="20" t="str">
        <f t="shared" si="50"/>
        <v/>
      </c>
    </row>
    <row r="96" spans="1:33" x14ac:dyDescent="0.25">
      <c r="A96" s="148"/>
      <c r="B96" s="141"/>
      <c r="C96" s="140"/>
      <c r="D96" s="140"/>
      <c r="E96" s="141"/>
      <c r="F96" s="68"/>
      <c r="I96" s="131" t="str">
        <f t="shared" si="37"/>
        <v/>
      </c>
      <c r="J96" s="153" t="str">
        <f t="shared" si="51"/>
        <v/>
      </c>
      <c r="K96" s="132" t="str">
        <f t="shared" si="52"/>
        <v/>
      </c>
      <c r="L96" s="131" t="str">
        <f t="shared" si="53"/>
        <v/>
      </c>
      <c r="M96" s="21" t="str">
        <f t="shared" si="38"/>
        <v/>
      </c>
      <c r="N96" s="21" t="str">
        <f t="shared" si="39"/>
        <v/>
      </c>
      <c r="O96" s="124" t="s">
        <v>311</v>
      </c>
      <c r="Q96" s="21" t="str">
        <f t="shared" si="40"/>
        <v/>
      </c>
      <c r="R96" s="21" t="str">
        <f t="shared" si="41"/>
        <v/>
      </c>
      <c r="S96" s="20" t="str">
        <f t="shared" si="54"/>
        <v/>
      </c>
      <c r="T96" s="21" t="str">
        <f t="shared" si="42"/>
        <v/>
      </c>
      <c r="U96" s="131" t="str">
        <f t="shared" si="43"/>
        <v/>
      </c>
      <c r="V96" s="156" t="str">
        <f t="shared" si="55"/>
        <v/>
      </c>
      <c r="W96" s="132" t="str">
        <f t="shared" si="44"/>
        <v/>
      </c>
      <c r="X96" s="131" t="str">
        <f t="shared" si="45"/>
        <v/>
      </c>
      <c r="Y96" s="21" t="str">
        <f t="shared" si="56"/>
        <v/>
      </c>
      <c r="Z96" s="21" t="str">
        <f t="shared" si="46"/>
        <v/>
      </c>
      <c r="AA96" s="124" t="s">
        <v>311</v>
      </c>
      <c r="AB96" s="21" t="str">
        <f t="shared" si="47"/>
        <v/>
      </c>
      <c r="AC96" s="20" t="str">
        <f t="shared" si="48"/>
        <v/>
      </c>
      <c r="AD96" s="20" t="str">
        <f t="shared" si="57"/>
        <v/>
      </c>
      <c r="AE96" s="20" t="str">
        <f t="shared" si="58"/>
        <v/>
      </c>
      <c r="AF96" s="20" t="str">
        <f t="shared" si="49"/>
        <v/>
      </c>
      <c r="AG96" s="20" t="str">
        <f t="shared" si="50"/>
        <v/>
      </c>
    </row>
    <row r="97" spans="1:33" x14ac:dyDescent="0.25">
      <c r="A97" s="148"/>
      <c r="B97" s="141"/>
      <c r="C97" s="140"/>
      <c r="D97" s="140"/>
      <c r="E97" s="141"/>
      <c r="F97" s="68"/>
      <c r="I97" s="131" t="str">
        <f t="shared" si="37"/>
        <v/>
      </c>
      <c r="J97" s="153" t="str">
        <f t="shared" si="51"/>
        <v/>
      </c>
      <c r="K97" s="132" t="str">
        <f t="shared" si="52"/>
        <v/>
      </c>
      <c r="L97" s="131" t="str">
        <f t="shared" si="53"/>
        <v/>
      </c>
      <c r="M97" s="21" t="str">
        <f t="shared" si="38"/>
        <v/>
      </c>
      <c r="N97" s="21" t="str">
        <f t="shared" si="39"/>
        <v/>
      </c>
      <c r="O97" s="124" t="s">
        <v>311</v>
      </c>
      <c r="Q97" s="21" t="str">
        <f t="shared" si="40"/>
        <v/>
      </c>
      <c r="R97" s="21" t="str">
        <f t="shared" si="41"/>
        <v/>
      </c>
      <c r="S97" s="20" t="str">
        <f t="shared" si="54"/>
        <v/>
      </c>
      <c r="T97" s="21" t="str">
        <f t="shared" si="42"/>
        <v/>
      </c>
      <c r="U97" s="131" t="str">
        <f t="shared" si="43"/>
        <v/>
      </c>
      <c r="V97" s="156" t="str">
        <f t="shared" si="55"/>
        <v/>
      </c>
      <c r="W97" s="132" t="str">
        <f t="shared" si="44"/>
        <v/>
      </c>
      <c r="X97" s="131" t="str">
        <f t="shared" si="45"/>
        <v/>
      </c>
      <c r="Y97" s="21" t="str">
        <f t="shared" si="56"/>
        <v/>
      </c>
      <c r="Z97" s="21" t="str">
        <f t="shared" si="46"/>
        <v/>
      </c>
      <c r="AA97" s="124" t="s">
        <v>311</v>
      </c>
      <c r="AB97" s="21" t="str">
        <f t="shared" si="47"/>
        <v/>
      </c>
      <c r="AC97" s="20" t="str">
        <f t="shared" si="48"/>
        <v/>
      </c>
      <c r="AD97" s="20" t="str">
        <f t="shared" si="57"/>
        <v/>
      </c>
      <c r="AE97" s="20" t="str">
        <f t="shared" si="58"/>
        <v/>
      </c>
      <c r="AF97" s="20" t="str">
        <f t="shared" si="49"/>
        <v/>
      </c>
      <c r="AG97" s="20" t="str">
        <f t="shared" si="50"/>
        <v/>
      </c>
    </row>
    <row r="98" spans="1:33" x14ac:dyDescent="0.25">
      <c r="A98" s="148"/>
      <c r="B98" s="141"/>
      <c r="C98" s="140"/>
      <c r="D98" s="140"/>
      <c r="E98" s="141"/>
      <c r="F98" s="68"/>
      <c r="I98" s="131" t="str">
        <f t="shared" si="37"/>
        <v/>
      </c>
      <c r="J98" s="153" t="str">
        <f t="shared" si="51"/>
        <v/>
      </c>
      <c r="K98" s="132" t="str">
        <f t="shared" si="52"/>
        <v/>
      </c>
      <c r="L98" s="131" t="str">
        <f t="shared" si="53"/>
        <v/>
      </c>
      <c r="M98" s="21" t="str">
        <f t="shared" si="38"/>
        <v/>
      </c>
      <c r="N98" s="21" t="str">
        <f t="shared" si="39"/>
        <v/>
      </c>
      <c r="O98" s="124" t="s">
        <v>311</v>
      </c>
      <c r="Q98" s="21" t="str">
        <f t="shared" si="40"/>
        <v/>
      </c>
      <c r="R98" s="21" t="str">
        <f t="shared" si="41"/>
        <v/>
      </c>
      <c r="S98" s="20" t="str">
        <f t="shared" si="54"/>
        <v/>
      </c>
      <c r="T98" s="21" t="str">
        <f t="shared" si="42"/>
        <v/>
      </c>
      <c r="U98" s="131" t="str">
        <f t="shared" si="43"/>
        <v/>
      </c>
      <c r="V98" s="156" t="str">
        <f t="shared" si="55"/>
        <v/>
      </c>
      <c r="W98" s="132" t="str">
        <f t="shared" si="44"/>
        <v/>
      </c>
      <c r="X98" s="131" t="str">
        <f t="shared" si="45"/>
        <v/>
      </c>
      <c r="Y98" s="21" t="str">
        <f t="shared" si="56"/>
        <v/>
      </c>
      <c r="Z98" s="21" t="str">
        <f t="shared" si="46"/>
        <v/>
      </c>
      <c r="AA98" s="124" t="s">
        <v>311</v>
      </c>
      <c r="AB98" s="21" t="str">
        <f t="shared" si="47"/>
        <v/>
      </c>
      <c r="AC98" s="20" t="str">
        <f t="shared" si="48"/>
        <v/>
      </c>
      <c r="AD98" s="20" t="str">
        <f t="shared" si="57"/>
        <v/>
      </c>
      <c r="AE98" s="20" t="str">
        <f t="shared" si="58"/>
        <v/>
      </c>
      <c r="AF98" s="20" t="str">
        <f t="shared" si="49"/>
        <v/>
      </c>
      <c r="AG98" s="20" t="str">
        <f t="shared" si="50"/>
        <v/>
      </c>
    </row>
    <row r="99" spans="1:33" x14ac:dyDescent="0.25">
      <c r="A99" s="148"/>
      <c r="B99" s="141"/>
      <c r="C99" s="140"/>
      <c r="D99" s="140"/>
      <c r="E99" s="141"/>
      <c r="F99" s="68"/>
      <c r="I99" s="131" t="str">
        <f t="shared" si="37"/>
        <v/>
      </c>
      <c r="J99" s="153" t="str">
        <f t="shared" si="51"/>
        <v/>
      </c>
      <c r="K99" s="132" t="str">
        <f t="shared" si="52"/>
        <v/>
      </c>
      <c r="L99" s="131" t="str">
        <f t="shared" si="53"/>
        <v/>
      </c>
      <c r="M99" s="21" t="str">
        <f t="shared" si="38"/>
        <v/>
      </c>
      <c r="N99" s="21" t="str">
        <f t="shared" si="39"/>
        <v/>
      </c>
      <c r="O99" s="124" t="s">
        <v>311</v>
      </c>
      <c r="Q99" s="21" t="str">
        <f t="shared" si="40"/>
        <v/>
      </c>
      <c r="R99" s="21" t="str">
        <f t="shared" si="41"/>
        <v/>
      </c>
      <c r="S99" s="20" t="str">
        <f t="shared" si="54"/>
        <v/>
      </c>
      <c r="T99" s="21" t="str">
        <f t="shared" si="42"/>
        <v/>
      </c>
      <c r="U99" s="131" t="str">
        <f t="shared" si="43"/>
        <v/>
      </c>
      <c r="V99" s="156" t="str">
        <f t="shared" si="55"/>
        <v/>
      </c>
      <c r="W99" s="132" t="str">
        <f t="shared" si="44"/>
        <v/>
      </c>
      <c r="X99" s="131" t="str">
        <f t="shared" si="45"/>
        <v/>
      </c>
      <c r="Y99" s="21" t="str">
        <f t="shared" si="56"/>
        <v/>
      </c>
      <c r="Z99" s="21" t="str">
        <f t="shared" si="46"/>
        <v/>
      </c>
      <c r="AA99" s="124" t="s">
        <v>311</v>
      </c>
      <c r="AB99" s="21" t="str">
        <f t="shared" si="47"/>
        <v/>
      </c>
      <c r="AC99" s="20" t="str">
        <f t="shared" si="48"/>
        <v/>
      </c>
      <c r="AD99" s="20" t="str">
        <f t="shared" si="57"/>
        <v/>
      </c>
      <c r="AE99" s="20" t="str">
        <f t="shared" si="58"/>
        <v/>
      </c>
      <c r="AF99" s="20" t="str">
        <f t="shared" si="49"/>
        <v/>
      </c>
      <c r="AG99" s="20" t="str">
        <f t="shared" si="50"/>
        <v/>
      </c>
    </row>
    <row r="100" spans="1:33" x14ac:dyDescent="0.25">
      <c r="A100" s="148"/>
      <c r="B100" s="141"/>
      <c r="C100" s="140"/>
      <c r="D100" s="140"/>
      <c r="E100" s="141"/>
      <c r="F100" s="68"/>
      <c r="I100" s="131" t="str">
        <f t="shared" si="37"/>
        <v/>
      </c>
      <c r="J100" s="153" t="str">
        <f t="shared" si="51"/>
        <v/>
      </c>
      <c r="K100" s="132" t="str">
        <f t="shared" si="52"/>
        <v/>
      </c>
      <c r="L100" s="131" t="str">
        <f t="shared" si="53"/>
        <v/>
      </c>
      <c r="M100" s="21" t="str">
        <f t="shared" si="38"/>
        <v/>
      </c>
      <c r="N100" s="21" t="str">
        <f t="shared" si="39"/>
        <v/>
      </c>
      <c r="O100" s="124" t="s">
        <v>311</v>
      </c>
      <c r="Q100" s="21" t="str">
        <f t="shared" si="40"/>
        <v/>
      </c>
      <c r="R100" s="21" t="str">
        <f t="shared" si="41"/>
        <v/>
      </c>
      <c r="S100" s="20" t="str">
        <f t="shared" si="54"/>
        <v/>
      </c>
      <c r="T100" s="21" t="str">
        <f t="shared" si="42"/>
        <v/>
      </c>
      <c r="U100" s="131" t="str">
        <f t="shared" si="43"/>
        <v/>
      </c>
      <c r="V100" s="156" t="str">
        <f t="shared" si="55"/>
        <v/>
      </c>
      <c r="W100" s="132" t="str">
        <f t="shared" si="44"/>
        <v/>
      </c>
      <c r="X100" s="131" t="str">
        <f t="shared" si="45"/>
        <v/>
      </c>
      <c r="Y100" s="21" t="str">
        <f t="shared" si="56"/>
        <v/>
      </c>
      <c r="Z100" s="21" t="str">
        <f t="shared" si="46"/>
        <v/>
      </c>
      <c r="AA100" s="124" t="s">
        <v>311</v>
      </c>
      <c r="AB100" s="21" t="str">
        <f t="shared" si="47"/>
        <v/>
      </c>
      <c r="AC100" s="20" t="str">
        <f t="shared" si="48"/>
        <v/>
      </c>
      <c r="AD100" s="20" t="str">
        <f t="shared" si="57"/>
        <v/>
      </c>
      <c r="AE100" s="20" t="str">
        <f t="shared" si="58"/>
        <v/>
      </c>
      <c r="AF100" s="20" t="str">
        <f t="shared" si="49"/>
        <v/>
      </c>
      <c r="AG100" s="20" t="str">
        <f t="shared" si="50"/>
        <v/>
      </c>
    </row>
    <row r="101" spans="1:33" x14ac:dyDescent="0.25">
      <c r="A101" s="148"/>
      <c r="B101" s="141"/>
      <c r="C101" s="140"/>
      <c r="D101" s="140"/>
      <c r="E101" s="141"/>
      <c r="F101" s="68"/>
      <c r="I101" s="131" t="str">
        <f t="shared" si="37"/>
        <v/>
      </c>
      <c r="J101" s="153" t="str">
        <f t="shared" si="51"/>
        <v/>
      </c>
      <c r="K101" s="132" t="str">
        <f t="shared" si="52"/>
        <v/>
      </c>
      <c r="L101" s="131" t="str">
        <f t="shared" si="53"/>
        <v/>
      </c>
      <c r="M101" s="21" t="str">
        <f t="shared" si="38"/>
        <v/>
      </c>
      <c r="N101" s="21" t="str">
        <f t="shared" si="39"/>
        <v/>
      </c>
      <c r="O101" s="124" t="s">
        <v>311</v>
      </c>
      <c r="Q101" s="21" t="str">
        <f t="shared" si="40"/>
        <v/>
      </c>
      <c r="R101" s="21" t="str">
        <f t="shared" si="41"/>
        <v/>
      </c>
      <c r="S101" s="20" t="str">
        <f t="shared" si="54"/>
        <v/>
      </c>
      <c r="T101" s="21" t="str">
        <f t="shared" si="42"/>
        <v/>
      </c>
      <c r="U101" s="131" t="str">
        <f t="shared" si="43"/>
        <v/>
      </c>
      <c r="V101" s="156" t="str">
        <f t="shared" si="55"/>
        <v/>
      </c>
      <c r="W101" s="132" t="str">
        <f t="shared" si="44"/>
        <v/>
      </c>
      <c r="X101" s="131" t="str">
        <f t="shared" si="45"/>
        <v/>
      </c>
      <c r="Y101" s="21" t="str">
        <f t="shared" si="56"/>
        <v/>
      </c>
      <c r="Z101" s="21" t="str">
        <f t="shared" si="46"/>
        <v/>
      </c>
      <c r="AA101" s="124" t="s">
        <v>311</v>
      </c>
      <c r="AB101" s="21" t="str">
        <f t="shared" si="47"/>
        <v/>
      </c>
      <c r="AC101" s="20" t="str">
        <f t="shared" si="48"/>
        <v/>
      </c>
      <c r="AD101" s="20" t="str">
        <f t="shared" si="57"/>
        <v/>
      </c>
      <c r="AE101" s="20" t="str">
        <f t="shared" si="58"/>
        <v/>
      </c>
      <c r="AF101" s="20" t="str">
        <f t="shared" si="49"/>
        <v/>
      </c>
      <c r="AG101" s="20" t="str">
        <f t="shared" si="50"/>
        <v/>
      </c>
    </row>
    <row r="102" spans="1:33" x14ac:dyDescent="0.25">
      <c r="A102" s="148"/>
      <c r="B102" s="141"/>
      <c r="C102" s="140"/>
      <c r="D102" s="140"/>
      <c r="E102" s="141"/>
      <c r="F102" s="68"/>
      <c r="I102" s="131" t="str">
        <f t="shared" si="37"/>
        <v/>
      </c>
      <c r="J102" s="153" t="str">
        <f t="shared" si="51"/>
        <v/>
      </c>
      <c r="K102" s="132" t="str">
        <f t="shared" si="52"/>
        <v/>
      </c>
      <c r="L102" s="131" t="str">
        <f t="shared" si="53"/>
        <v/>
      </c>
      <c r="M102" s="21" t="str">
        <f t="shared" si="38"/>
        <v/>
      </c>
      <c r="N102" s="21" t="str">
        <f t="shared" si="39"/>
        <v/>
      </c>
      <c r="O102" s="124" t="s">
        <v>311</v>
      </c>
      <c r="Q102" s="21" t="str">
        <f t="shared" si="40"/>
        <v/>
      </c>
      <c r="R102" s="21" t="str">
        <f t="shared" si="41"/>
        <v/>
      </c>
      <c r="S102" s="20" t="str">
        <f t="shared" si="54"/>
        <v/>
      </c>
      <c r="T102" s="21" t="str">
        <f t="shared" si="42"/>
        <v/>
      </c>
      <c r="U102" s="131" t="str">
        <f t="shared" si="43"/>
        <v/>
      </c>
      <c r="V102" s="156" t="str">
        <f t="shared" si="55"/>
        <v/>
      </c>
      <c r="W102" s="132" t="str">
        <f t="shared" si="44"/>
        <v/>
      </c>
      <c r="X102" s="131" t="str">
        <f t="shared" si="45"/>
        <v/>
      </c>
      <c r="Y102" s="21" t="str">
        <f t="shared" si="56"/>
        <v/>
      </c>
      <c r="Z102" s="21" t="str">
        <f t="shared" si="46"/>
        <v/>
      </c>
      <c r="AA102" s="124" t="s">
        <v>311</v>
      </c>
      <c r="AB102" s="21" t="str">
        <f t="shared" si="47"/>
        <v/>
      </c>
      <c r="AC102" s="20" t="str">
        <f t="shared" si="48"/>
        <v/>
      </c>
      <c r="AD102" s="20" t="str">
        <f t="shared" si="57"/>
        <v/>
      </c>
      <c r="AE102" s="20" t="str">
        <f t="shared" si="58"/>
        <v/>
      </c>
      <c r="AF102" s="20" t="str">
        <f t="shared" si="49"/>
        <v/>
      </c>
      <c r="AG102" s="20" t="str">
        <f t="shared" si="50"/>
        <v/>
      </c>
    </row>
    <row r="103" spans="1:33" x14ac:dyDescent="0.25">
      <c r="A103" s="148"/>
      <c r="B103" s="141"/>
      <c r="C103" s="140"/>
      <c r="D103" s="140"/>
      <c r="E103" s="141"/>
      <c r="F103" s="68"/>
      <c r="I103" s="131" t="str">
        <f t="shared" si="37"/>
        <v/>
      </c>
      <c r="J103" s="153" t="str">
        <f t="shared" si="51"/>
        <v/>
      </c>
      <c r="K103" s="132" t="str">
        <f t="shared" si="52"/>
        <v/>
      </c>
      <c r="L103" s="131" t="str">
        <f t="shared" si="53"/>
        <v/>
      </c>
      <c r="M103" s="21" t="str">
        <f t="shared" si="38"/>
        <v/>
      </c>
      <c r="N103" s="21" t="str">
        <f t="shared" si="39"/>
        <v/>
      </c>
      <c r="O103" s="124" t="s">
        <v>311</v>
      </c>
      <c r="Q103" s="21" t="str">
        <f t="shared" si="40"/>
        <v/>
      </c>
      <c r="R103" s="21" t="str">
        <f t="shared" si="41"/>
        <v/>
      </c>
      <c r="S103" s="20" t="str">
        <f t="shared" si="54"/>
        <v/>
      </c>
      <c r="T103" s="21" t="str">
        <f t="shared" si="42"/>
        <v/>
      </c>
      <c r="U103" s="131" t="str">
        <f t="shared" si="43"/>
        <v/>
      </c>
      <c r="V103" s="156" t="str">
        <f t="shared" si="55"/>
        <v/>
      </c>
      <c r="W103" s="132" t="str">
        <f t="shared" si="44"/>
        <v/>
      </c>
      <c r="X103" s="131" t="str">
        <f t="shared" si="45"/>
        <v/>
      </c>
      <c r="Y103" s="21" t="str">
        <f t="shared" si="56"/>
        <v/>
      </c>
      <c r="Z103" s="21" t="str">
        <f t="shared" si="46"/>
        <v/>
      </c>
      <c r="AA103" s="124" t="s">
        <v>311</v>
      </c>
      <c r="AB103" s="21" t="str">
        <f t="shared" si="47"/>
        <v/>
      </c>
      <c r="AC103" s="20" t="str">
        <f t="shared" si="48"/>
        <v/>
      </c>
      <c r="AD103" s="20" t="str">
        <f t="shared" si="57"/>
        <v/>
      </c>
      <c r="AE103" s="20" t="str">
        <f t="shared" si="58"/>
        <v/>
      </c>
      <c r="AF103" s="20" t="str">
        <f t="shared" si="49"/>
        <v/>
      </c>
      <c r="AG103" s="20" t="str">
        <f t="shared" si="50"/>
        <v/>
      </c>
    </row>
    <row r="104" spans="1:33" x14ac:dyDescent="0.25">
      <c r="A104" s="148"/>
      <c r="B104" s="141"/>
      <c r="C104" s="140"/>
      <c r="D104" s="140"/>
      <c r="E104" s="141"/>
      <c r="F104" s="68"/>
      <c r="I104" s="131" t="str">
        <f t="shared" si="37"/>
        <v/>
      </c>
      <c r="J104" s="153" t="str">
        <f t="shared" si="51"/>
        <v/>
      </c>
      <c r="K104" s="132" t="str">
        <f t="shared" si="52"/>
        <v/>
      </c>
      <c r="L104" s="131" t="str">
        <f t="shared" si="53"/>
        <v/>
      </c>
      <c r="M104" s="21" t="str">
        <f t="shared" si="38"/>
        <v/>
      </c>
      <c r="N104" s="21" t="str">
        <f t="shared" si="39"/>
        <v/>
      </c>
      <c r="O104" s="124" t="s">
        <v>311</v>
      </c>
      <c r="Q104" s="21" t="str">
        <f t="shared" si="40"/>
        <v/>
      </c>
      <c r="R104" s="21" t="str">
        <f t="shared" si="41"/>
        <v/>
      </c>
      <c r="S104" s="20" t="str">
        <f t="shared" si="54"/>
        <v/>
      </c>
      <c r="T104" s="21" t="str">
        <f t="shared" si="42"/>
        <v/>
      </c>
      <c r="U104" s="131" t="str">
        <f t="shared" si="43"/>
        <v/>
      </c>
      <c r="V104" s="156" t="str">
        <f t="shared" si="55"/>
        <v/>
      </c>
      <c r="W104" s="132" t="str">
        <f t="shared" si="44"/>
        <v/>
      </c>
      <c r="X104" s="131" t="str">
        <f t="shared" si="45"/>
        <v/>
      </c>
      <c r="Y104" s="21" t="str">
        <f t="shared" si="56"/>
        <v/>
      </c>
      <c r="Z104" s="21" t="str">
        <f t="shared" si="46"/>
        <v/>
      </c>
      <c r="AA104" s="124" t="s">
        <v>311</v>
      </c>
      <c r="AB104" s="21" t="str">
        <f t="shared" si="47"/>
        <v/>
      </c>
      <c r="AC104" s="20" t="str">
        <f t="shared" si="48"/>
        <v/>
      </c>
      <c r="AD104" s="20" t="str">
        <f t="shared" si="57"/>
        <v/>
      </c>
      <c r="AE104" s="20" t="str">
        <f t="shared" si="58"/>
        <v/>
      </c>
      <c r="AF104" s="20" t="str">
        <f t="shared" si="49"/>
        <v/>
      </c>
      <c r="AG104" s="20" t="str">
        <f t="shared" si="50"/>
        <v/>
      </c>
    </row>
    <row r="105" spans="1:33" x14ac:dyDescent="0.25">
      <c r="A105" s="148"/>
      <c r="B105" s="141"/>
      <c r="C105" s="140"/>
      <c r="D105" s="140"/>
      <c r="E105" s="141"/>
      <c r="F105" s="68"/>
      <c r="I105" s="131" t="str">
        <f t="shared" si="37"/>
        <v/>
      </c>
      <c r="J105" s="153" t="str">
        <f t="shared" si="51"/>
        <v/>
      </c>
      <c r="K105" s="132" t="str">
        <f t="shared" si="52"/>
        <v/>
      </c>
      <c r="L105" s="131" t="str">
        <f t="shared" si="53"/>
        <v/>
      </c>
      <c r="M105" s="21" t="str">
        <f t="shared" si="38"/>
        <v/>
      </c>
      <c r="N105" s="21" t="str">
        <f t="shared" si="39"/>
        <v/>
      </c>
      <c r="O105" s="124" t="s">
        <v>311</v>
      </c>
      <c r="Q105" s="21" t="str">
        <f t="shared" si="40"/>
        <v/>
      </c>
      <c r="R105" s="21" t="str">
        <f t="shared" si="41"/>
        <v/>
      </c>
      <c r="S105" s="20" t="str">
        <f t="shared" si="54"/>
        <v/>
      </c>
      <c r="T105" s="21" t="str">
        <f t="shared" si="42"/>
        <v/>
      </c>
      <c r="U105" s="131" t="str">
        <f t="shared" si="43"/>
        <v/>
      </c>
      <c r="V105" s="156" t="str">
        <f t="shared" si="55"/>
        <v/>
      </c>
      <c r="W105" s="132" t="str">
        <f t="shared" si="44"/>
        <v/>
      </c>
      <c r="X105" s="131" t="str">
        <f t="shared" si="45"/>
        <v/>
      </c>
      <c r="Y105" s="21" t="str">
        <f t="shared" si="56"/>
        <v/>
      </c>
      <c r="Z105" s="21" t="str">
        <f t="shared" si="46"/>
        <v/>
      </c>
      <c r="AA105" s="124" t="s">
        <v>311</v>
      </c>
      <c r="AB105" s="21" t="str">
        <f t="shared" si="47"/>
        <v/>
      </c>
      <c r="AC105" s="20" t="str">
        <f t="shared" si="48"/>
        <v/>
      </c>
      <c r="AD105" s="20" t="str">
        <f t="shared" si="57"/>
        <v/>
      </c>
      <c r="AE105" s="20" t="str">
        <f t="shared" si="58"/>
        <v/>
      </c>
      <c r="AF105" s="20" t="str">
        <f t="shared" si="49"/>
        <v/>
      </c>
      <c r="AG105" s="20" t="str">
        <f t="shared" si="50"/>
        <v/>
      </c>
    </row>
    <row r="106" spans="1:33" x14ac:dyDescent="0.25">
      <c r="A106" s="148"/>
      <c r="B106" s="141"/>
      <c r="C106" s="140"/>
      <c r="D106" s="140"/>
      <c r="E106" s="141"/>
      <c r="F106" s="68"/>
      <c r="I106" s="131" t="str">
        <f t="shared" si="37"/>
        <v/>
      </c>
      <c r="J106" s="153" t="str">
        <f t="shared" si="51"/>
        <v/>
      </c>
      <c r="K106" s="132" t="str">
        <f t="shared" si="52"/>
        <v/>
      </c>
      <c r="L106" s="131" t="str">
        <f t="shared" si="53"/>
        <v/>
      </c>
      <c r="M106" s="21" t="str">
        <f t="shared" si="38"/>
        <v/>
      </c>
      <c r="N106" s="21" t="str">
        <f t="shared" si="39"/>
        <v/>
      </c>
      <c r="O106" s="124" t="s">
        <v>311</v>
      </c>
      <c r="Q106" s="21" t="str">
        <f t="shared" si="40"/>
        <v/>
      </c>
      <c r="R106" s="21" t="str">
        <f t="shared" si="41"/>
        <v/>
      </c>
      <c r="S106" s="20" t="str">
        <f t="shared" si="54"/>
        <v/>
      </c>
      <c r="T106" s="21" t="str">
        <f t="shared" si="42"/>
        <v/>
      </c>
      <c r="U106" s="131" t="str">
        <f t="shared" si="43"/>
        <v/>
      </c>
      <c r="V106" s="156" t="str">
        <f t="shared" si="55"/>
        <v/>
      </c>
      <c r="W106" s="132" t="str">
        <f t="shared" si="44"/>
        <v/>
      </c>
      <c r="X106" s="131" t="str">
        <f t="shared" si="45"/>
        <v/>
      </c>
      <c r="Y106" s="21" t="str">
        <f t="shared" si="56"/>
        <v/>
      </c>
      <c r="Z106" s="21" t="str">
        <f t="shared" si="46"/>
        <v/>
      </c>
      <c r="AA106" s="124" t="s">
        <v>311</v>
      </c>
      <c r="AB106" s="21" t="str">
        <f t="shared" si="47"/>
        <v/>
      </c>
      <c r="AC106" s="20" t="str">
        <f t="shared" si="48"/>
        <v/>
      </c>
      <c r="AD106" s="20" t="str">
        <f t="shared" si="57"/>
        <v/>
      </c>
      <c r="AE106" s="20" t="str">
        <f t="shared" si="58"/>
        <v/>
      </c>
      <c r="AF106" s="20" t="str">
        <f t="shared" si="49"/>
        <v/>
      </c>
      <c r="AG106" s="20" t="str">
        <f t="shared" si="50"/>
        <v/>
      </c>
    </row>
    <row r="107" spans="1:33" x14ac:dyDescent="0.25">
      <c r="A107" s="148"/>
      <c r="B107" s="141"/>
      <c r="C107" s="140"/>
      <c r="D107" s="140"/>
      <c r="E107" s="141"/>
      <c r="F107" s="68"/>
      <c r="I107" s="131" t="str">
        <f t="shared" si="37"/>
        <v/>
      </c>
      <c r="J107" s="153" t="str">
        <f t="shared" si="51"/>
        <v/>
      </c>
      <c r="K107" s="132" t="str">
        <f t="shared" si="52"/>
        <v/>
      </c>
      <c r="L107" s="131" t="str">
        <f t="shared" si="53"/>
        <v/>
      </c>
      <c r="M107" s="21" t="str">
        <f t="shared" si="38"/>
        <v/>
      </c>
      <c r="N107" s="21" t="str">
        <f t="shared" si="39"/>
        <v/>
      </c>
      <c r="O107" s="124" t="s">
        <v>311</v>
      </c>
      <c r="Q107" s="21" t="str">
        <f t="shared" si="40"/>
        <v/>
      </c>
      <c r="R107" s="21" t="str">
        <f t="shared" si="41"/>
        <v/>
      </c>
      <c r="S107" s="20" t="str">
        <f t="shared" si="54"/>
        <v/>
      </c>
      <c r="T107" s="21" t="str">
        <f t="shared" si="42"/>
        <v/>
      </c>
      <c r="U107" s="131" t="str">
        <f t="shared" si="43"/>
        <v/>
      </c>
      <c r="V107" s="156" t="str">
        <f t="shared" si="55"/>
        <v/>
      </c>
      <c r="W107" s="132" t="str">
        <f t="shared" si="44"/>
        <v/>
      </c>
      <c r="X107" s="131" t="str">
        <f t="shared" si="45"/>
        <v/>
      </c>
      <c r="Y107" s="21" t="str">
        <f t="shared" si="56"/>
        <v/>
      </c>
      <c r="Z107" s="21" t="str">
        <f t="shared" si="46"/>
        <v/>
      </c>
      <c r="AA107" s="124" t="s">
        <v>311</v>
      </c>
      <c r="AB107" s="21" t="str">
        <f t="shared" si="47"/>
        <v/>
      </c>
      <c r="AC107" s="20" t="str">
        <f t="shared" si="48"/>
        <v/>
      </c>
      <c r="AD107" s="20" t="str">
        <f t="shared" si="57"/>
        <v/>
      </c>
      <c r="AE107" s="20" t="str">
        <f t="shared" si="58"/>
        <v/>
      </c>
      <c r="AF107" s="20" t="str">
        <f t="shared" si="49"/>
        <v/>
      </c>
      <c r="AG107" s="20" t="str">
        <f t="shared" si="50"/>
        <v/>
      </c>
    </row>
    <row r="108" spans="1:33" x14ac:dyDescent="0.25">
      <c r="A108" s="144"/>
      <c r="B108" s="140"/>
      <c r="C108" s="142"/>
      <c r="D108" s="142"/>
      <c r="E108" s="141"/>
      <c r="F108" s="68"/>
      <c r="I108" s="131" t="str">
        <f t="shared" si="37"/>
        <v/>
      </c>
      <c r="J108" s="153" t="str">
        <f t="shared" si="51"/>
        <v/>
      </c>
      <c r="K108" s="132" t="str">
        <f t="shared" si="52"/>
        <v/>
      </c>
      <c r="L108" s="131" t="str">
        <f t="shared" si="53"/>
        <v/>
      </c>
      <c r="M108" s="21" t="str">
        <f t="shared" ref="M108:M114" si="59">IF(AD108="","",IFERROR(VLOOKUP(J108&amp;L108,$AD$16:$AE$113,2,FALSE),IFERROR(VLOOKUP(J108,$AB$16:$AE$113,4,FALSE) &amp; " - DIFF QTY","NOT IN BOM 1")))</f>
        <v/>
      </c>
      <c r="N108" s="21" t="str">
        <f t="shared" si="39"/>
        <v/>
      </c>
      <c r="O108" s="124" t="s">
        <v>311</v>
      </c>
      <c r="Q108" s="21" t="str">
        <f t="shared" si="40"/>
        <v/>
      </c>
      <c r="R108" s="21" t="str">
        <f t="shared" si="41"/>
        <v/>
      </c>
      <c r="S108" s="20" t="str">
        <f t="shared" si="54"/>
        <v/>
      </c>
      <c r="T108" s="21" t="str">
        <f t="shared" si="42"/>
        <v/>
      </c>
      <c r="U108" s="131" t="str">
        <f t="shared" si="43"/>
        <v/>
      </c>
      <c r="V108" s="156" t="str">
        <f t="shared" si="55"/>
        <v/>
      </c>
      <c r="W108" s="132" t="str">
        <f t="shared" si="44"/>
        <v/>
      </c>
      <c r="X108" s="131" t="str">
        <f t="shared" si="45"/>
        <v/>
      </c>
      <c r="Y108" s="21" t="str">
        <f t="shared" si="56"/>
        <v/>
      </c>
      <c r="Z108" s="21" t="str">
        <f t="shared" si="46"/>
        <v/>
      </c>
      <c r="AA108" s="124" t="s">
        <v>311</v>
      </c>
      <c r="AB108" s="21" t="str">
        <f t="shared" si="47"/>
        <v/>
      </c>
      <c r="AC108" s="20" t="str">
        <f t="shared" si="48"/>
        <v/>
      </c>
      <c r="AD108" s="20" t="str">
        <f t="shared" si="57"/>
        <v/>
      </c>
      <c r="AE108" s="20" t="str">
        <f t="shared" si="58"/>
        <v/>
      </c>
      <c r="AF108" s="20" t="str">
        <f t="shared" si="49"/>
        <v/>
      </c>
      <c r="AG108" s="20" t="str">
        <f t="shared" si="50"/>
        <v/>
      </c>
    </row>
    <row r="109" spans="1:33" x14ac:dyDescent="0.25">
      <c r="A109" s="144"/>
      <c r="B109" s="140"/>
      <c r="C109" s="142"/>
      <c r="D109" s="142"/>
      <c r="E109" s="141"/>
      <c r="F109" s="68"/>
      <c r="I109" s="131" t="str">
        <f t="shared" si="37"/>
        <v/>
      </c>
      <c r="J109" s="153" t="str">
        <f t="shared" si="51"/>
        <v/>
      </c>
      <c r="K109" s="132" t="str">
        <f t="shared" si="52"/>
        <v/>
      </c>
      <c r="L109" s="131" t="str">
        <f t="shared" si="53"/>
        <v/>
      </c>
      <c r="M109" s="21" t="str">
        <f t="shared" si="59"/>
        <v/>
      </c>
      <c r="N109" s="21" t="str">
        <f t="shared" si="39"/>
        <v/>
      </c>
      <c r="O109" s="124" t="s">
        <v>311</v>
      </c>
      <c r="Q109" s="21" t="str">
        <f t="shared" si="40"/>
        <v/>
      </c>
      <c r="R109" s="21" t="str">
        <f t="shared" si="41"/>
        <v/>
      </c>
      <c r="S109" s="20" t="str">
        <f t="shared" si="54"/>
        <v/>
      </c>
      <c r="T109" s="21" t="str">
        <f t="shared" si="42"/>
        <v/>
      </c>
      <c r="U109" s="131" t="str">
        <f t="shared" si="43"/>
        <v/>
      </c>
      <c r="V109" s="156" t="str">
        <f t="shared" si="55"/>
        <v/>
      </c>
      <c r="W109" s="132" t="str">
        <f t="shared" si="44"/>
        <v/>
      </c>
      <c r="X109" s="131" t="str">
        <f t="shared" si="45"/>
        <v/>
      </c>
      <c r="Y109" s="21" t="str">
        <f t="shared" si="56"/>
        <v/>
      </c>
      <c r="Z109" s="21" t="str">
        <f t="shared" si="46"/>
        <v/>
      </c>
      <c r="AA109" s="124" t="s">
        <v>311</v>
      </c>
      <c r="AB109" s="21" t="str">
        <f t="shared" si="47"/>
        <v/>
      </c>
      <c r="AC109" s="20" t="str">
        <f t="shared" si="48"/>
        <v/>
      </c>
      <c r="AD109" s="20" t="str">
        <f t="shared" si="57"/>
        <v/>
      </c>
      <c r="AE109" s="20" t="str">
        <f t="shared" si="58"/>
        <v/>
      </c>
      <c r="AF109" s="20" t="str">
        <f t="shared" si="49"/>
        <v/>
      </c>
      <c r="AG109" s="20" t="str">
        <f t="shared" si="50"/>
        <v/>
      </c>
    </row>
    <row r="110" spans="1:33" x14ac:dyDescent="0.25">
      <c r="A110" s="144"/>
      <c r="B110" s="140"/>
      <c r="C110" s="142"/>
      <c r="D110" s="142"/>
      <c r="E110" s="141"/>
      <c r="F110" s="68"/>
      <c r="I110" s="131" t="str">
        <f t="shared" si="37"/>
        <v/>
      </c>
      <c r="J110" s="153" t="str">
        <f t="shared" si="51"/>
        <v/>
      </c>
      <c r="K110" s="132" t="str">
        <f t="shared" si="52"/>
        <v/>
      </c>
      <c r="L110" s="131" t="str">
        <f t="shared" si="53"/>
        <v/>
      </c>
      <c r="M110" s="21" t="str">
        <f t="shared" si="59"/>
        <v/>
      </c>
      <c r="N110" s="21" t="str">
        <f t="shared" si="39"/>
        <v/>
      </c>
      <c r="O110" s="124" t="s">
        <v>311</v>
      </c>
      <c r="Q110" s="21" t="str">
        <f t="shared" si="40"/>
        <v/>
      </c>
      <c r="R110" s="21" t="str">
        <f t="shared" si="41"/>
        <v/>
      </c>
      <c r="S110" s="20" t="str">
        <f t="shared" si="54"/>
        <v/>
      </c>
      <c r="T110" s="21" t="str">
        <f t="shared" si="42"/>
        <v/>
      </c>
      <c r="U110" s="131" t="str">
        <f t="shared" si="43"/>
        <v/>
      </c>
      <c r="V110" s="156" t="str">
        <f t="shared" si="55"/>
        <v/>
      </c>
      <c r="W110" s="132" t="str">
        <f t="shared" si="44"/>
        <v/>
      </c>
      <c r="X110" s="131" t="str">
        <f t="shared" si="45"/>
        <v/>
      </c>
      <c r="Y110" s="21" t="str">
        <f t="shared" si="56"/>
        <v/>
      </c>
      <c r="Z110" s="21" t="str">
        <f t="shared" si="46"/>
        <v/>
      </c>
      <c r="AA110" s="124" t="s">
        <v>311</v>
      </c>
      <c r="AB110" s="21" t="str">
        <f t="shared" si="47"/>
        <v/>
      </c>
      <c r="AC110" s="20" t="str">
        <f t="shared" si="48"/>
        <v/>
      </c>
      <c r="AD110" s="20" t="str">
        <f t="shared" si="57"/>
        <v/>
      </c>
      <c r="AE110" s="20" t="str">
        <f t="shared" si="58"/>
        <v/>
      </c>
      <c r="AF110" s="20" t="str">
        <f t="shared" si="49"/>
        <v/>
      </c>
      <c r="AG110" s="20" t="str">
        <f t="shared" si="50"/>
        <v/>
      </c>
    </row>
    <row r="111" spans="1:33" x14ac:dyDescent="0.25">
      <c r="A111" s="144"/>
      <c r="B111" s="140"/>
      <c r="C111" s="142"/>
      <c r="D111" s="142"/>
      <c r="E111" s="141"/>
      <c r="F111" s="68"/>
      <c r="I111" s="131" t="str">
        <f t="shared" si="37"/>
        <v/>
      </c>
      <c r="J111" s="153" t="str">
        <f t="shared" si="51"/>
        <v/>
      </c>
      <c r="K111" s="132" t="str">
        <f t="shared" si="52"/>
        <v/>
      </c>
      <c r="L111" s="131" t="str">
        <f t="shared" si="53"/>
        <v/>
      </c>
      <c r="M111" s="21" t="str">
        <f t="shared" si="59"/>
        <v/>
      </c>
      <c r="N111" s="21" t="str">
        <f t="shared" si="39"/>
        <v/>
      </c>
      <c r="O111" s="124" t="s">
        <v>311</v>
      </c>
      <c r="Q111" s="21" t="str">
        <f t="shared" si="40"/>
        <v/>
      </c>
      <c r="R111" s="21" t="str">
        <f t="shared" si="41"/>
        <v/>
      </c>
      <c r="S111" s="20" t="str">
        <f t="shared" si="54"/>
        <v/>
      </c>
      <c r="T111" s="21" t="str">
        <f t="shared" si="42"/>
        <v/>
      </c>
      <c r="U111" s="131" t="str">
        <f t="shared" si="43"/>
        <v/>
      </c>
      <c r="V111" s="156" t="str">
        <f t="shared" si="55"/>
        <v/>
      </c>
      <c r="W111" s="132" t="str">
        <f t="shared" si="44"/>
        <v/>
      </c>
      <c r="X111" s="131" t="str">
        <f t="shared" si="45"/>
        <v/>
      </c>
      <c r="Y111" s="21" t="str">
        <f t="shared" si="56"/>
        <v/>
      </c>
      <c r="Z111" s="21" t="str">
        <f t="shared" si="46"/>
        <v/>
      </c>
      <c r="AA111" s="124" t="s">
        <v>311</v>
      </c>
      <c r="AB111" s="21" t="str">
        <f t="shared" si="47"/>
        <v/>
      </c>
      <c r="AC111" s="20" t="str">
        <f t="shared" si="48"/>
        <v/>
      </c>
      <c r="AD111" s="20" t="str">
        <f t="shared" si="57"/>
        <v/>
      </c>
      <c r="AE111" s="20" t="str">
        <f t="shared" si="58"/>
        <v/>
      </c>
      <c r="AF111" s="20" t="str">
        <f t="shared" si="49"/>
        <v/>
      </c>
      <c r="AG111" s="20" t="str">
        <f t="shared" si="50"/>
        <v/>
      </c>
    </row>
    <row r="112" spans="1:33" x14ac:dyDescent="0.25">
      <c r="A112" s="144"/>
      <c r="B112" s="140"/>
      <c r="C112" s="142"/>
      <c r="D112" s="142"/>
      <c r="E112" s="141"/>
      <c r="F112" s="68"/>
      <c r="I112" s="131" t="str">
        <f t="shared" si="37"/>
        <v/>
      </c>
      <c r="J112" s="153" t="str">
        <f t="shared" si="51"/>
        <v/>
      </c>
      <c r="K112" s="132" t="str">
        <f t="shared" si="52"/>
        <v/>
      </c>
      <c r="L112" s="131" t="str">
        <f t="shared" si="53"/>
        <v/>
      </c>
      <c r="M112" s="21" t="str">
        <f t="shared" si="59"/>
        <v/>
      </c>
      <c r="N112" s="21" t="str">
        <f t="shared" si="39"/>
        <v/>
      </c>
      <c r="O112" s="124" t="s">
        <v>311</v>
      </c>
      <c r="Q112" s="21" t="str">
        <f t="shared" si="40"/>
        <v/>
      </c>
      <c r="R112" s="21" t="str">
        <f t="shared" si="41"/>
        <v/>
      </c>
      <c r="S112" s="20" t="str">
        <f t="shared" si="54"/>
        <v/>
      </c>
      <c r="T112" s="21" t="str">
        <f t="shared" si="42"/>
        <v/>
      </c>
      <c r="U112" s="131" t="str">
        <f t="shared" si="43"/>
        <v/>
      </c>
      <c r="V112" s="156" t="str">
        <f t="shared" si="55"/>
        <v/>
      </c>
      <c r="W112" s="132" t="str">
        <f t="shared" si="44"/>
        <v/>
      </c>
      <c r="X112" s="131" t="str">
        <f t="shared" si="45"/>
        <v/>
      </c>
      <c r="Y112" s="21" t="str">
        <f t="shared" si="56"/>
        <v/>
      </c>
      <c r="Z112" s="21" t="str">
        <f t="shared" si="46"/>
        <v/>
      </c>
      <c r="AA112" s="124" t="s">
        <v>311</v>
      </c>
      <c r="AB112" s="21" t="str">
        <f t="shared" si="47"/>
        <v/>
      </c>
      <c r="AC112" s="20" t="str">
        <f t="shared" si="48"/>
        <v/>
      </c>
      <c r="AD112" s="20" t="str">
        <f t="shared" si="57"/>
        <v/>
      </c>
      <c r="AE112" s="20" t="str">
        <f t="shared" si="58"/>
        <v/>
      </c>
      <c r="AF112" s="20" t="str">
        <f t="shared" si="49"/>
        <v/>
      </c>
      <c r="AG112" s="20" t="str">
        <f t="shared" si="50"/>
        <v/>
      </c>
    </row>
    <row r="113" spans="1:33" x14ac:dyDescent="0.25">
      <c r="A113" s="144"/>
      <c r="B113" s="140"/>
      <c r="C113" s="142"/>
      <c r="D113" s="142"/>
      <c r="E113" s="140"/>
      <c r="F113" s="67"/>
      <c r="I113" s="131" t="str">
        <f t="shared" si="37"/>
        <v/>
      </c>
      <c r="J113" s="153" t="str">
        <f t="shared" si="51"/>
        <v/>
      </c>
      <c r="K113" s="132" t="str">
        <f t="shared" si="52"/>
        <v/>
      </c>
      <c r="L113" s="131" t="str">
        <f t="shared" si="53"/>
        <v/>
      </c>
      <c r="M113" s="21" t="str">
        <f t="shared" si="59"/>
        <v/>
      </c>
      <c r="N113" s="21" t="str">
        <f>IF(M113="","",IF(M113="    ","",$AF$3))</f>
        <v/>
      </c>
      <c r="O113" s="124" t="s">
        <v>311</v>
      </c>
      <c r="Q113" s="21" t="str">
        <f t="shared" si="40"/>
        <v/>
      </c>
      <c r="R113" s="21" t="str">
        <f t="shared" si="41"/>
        <v/>
      </c>
      <c r="S113" s="20" t="str">
        <f t="shared" si="54"/>
        <v/>
      </c>
      <c r="T113" s="21" t="str">
        <f t="shared" si="42"/>
        <v/>
      </c>
      <c r="U113" s="131" t="str">
        <f t="shared" si="43"/>
        <v/>
      </c>
      <c r="V113" s="156" t="str">
        <f t="shared" si="55"/>
        <v/>
      </c>
      <c r="W113" s="132" t="str">
        <f t="shared" si="44"/>
        <v/>
      </c>
      <c r="X113" s="131" t="str">
        <f t="shared" si="45"/>
        <v/>
      </c>
      <c r="Y113" s="21" t="str">
        <f t="shared" si="56"/>
        <v/>
      </c>
      <c r="Z113" s="21" t="str">
        <f>IF(Y113="","",IF(Y113="    ","",$AE$3))</f>
        <v/>
      </c>
      <c r="AA113" s="124" t="s">
        <v>311</v>
      </c>
      <c r="AB113" s="21" t="str">
        <f t="shared" si="47"/>
        <v/>
      </c>
      <c r="AC113" s="20" t="str">
        <f t="shared" si="48"/>
        <v/>
      </c>
      <c r="AD113" s="20" t="str">
        <f t="shared" si="57"/>
        <v/>
      </c>
      <c r="AE113" s="20" t="str">
        <f t="shared" si="58"/>
        <v/>
      </c>
      <c r="AF113" s="20" t="str">
        <f t="shared" si="49"/>
        <v/>
      </c>
      <c r="AG113" s="20" t="str">
        <f t="shared" si="50"/>
        <v/>
      </c>
    </row>
    <row r="114" spans="1:33" x14ac:dyDescent="0.25">
      <c r="A114" s="144"/>
      <c r="B114" s="140"/>
      <c r="C114" s="142"/>
      <c r="D114" s="142"/>
      <c r="E114" s="140"/>
      <c r="F114" s="67"/>
      <c r="I114" s="131" t="str">
        <f t="shared" si="37"/>
        <v/>
      </c>
      <c r="J114" s="153" t="str">
        <f t="shared" si="51"/>
        <v/>
      </c>
      <c r="K114" s="132" t="str">
        <f t="shared" si="52"/>
        <v/>
      </c>
      <c r="L114" s="131" t="str">
        <f t="shared" si="53"/>
        <v/>
      </c>
      <c r="M114" s="21" t="str">
        <f t="shared" si="59"/>
        <v/>
      </c>
      <c r="N114" s="21" t="str">
        <f>IF(M114="","",IF(M114="    ","",$AF$3))</f>
        <v/>
      </c>
      <c r="O114" s="124" t="s">
        <v>311</v>
      </c>
      <c r="Q114" s="21" t="str">
        <f t="shared" si="40"/>
        <v/>
      </c>
      <c r="R114" s="21" t="str">
        <f t="shared" si="41"/>
        <v/>
      </c>
      <c r="S114" s="20" t="str">
        <f t="shared" si="54"/>
        <v/>
      </c>
      <c r="T114" s="21" t="str">
        <f t="shared" si="42"/>
        <v/>
      </c>
      <c r="U114" s="131" t="str">
        <f t="shared" si="43"/>
        <v/>
      </c>
      <c r="V114" s="156" t="str">
        <f t="shared" si="55"/>
        <v/>
      </c>
      <c r="W114" s="132" t="str">
        <f t="shared" si="44"/>
        <v/>
      </c>
      <c r="X114" s="131" t="str">
        <f t="shared" si="45"/>
        <v/>
      </c>
      <c r="Y114" s="21" t="str">
        <f t="shared" si="56"/>
        <v/>
      </c>
      <c r="Z114" s="21" t="str">
        <f>IF(Y114="","",IF(Y114="    ","",$AE$3))</f>
        <v/>
      </c>
      <c r="AA114" s="124" t="s">
        <v>311</v>
      </c>
      <c r="AB114" s="21" t="str">
        <f t="shared" si="47"/>
        <v/>
      </c>
      <c r="AC114" s="20" t="str">
        <f t="shared" si="48"/>
        <v/>
      </c>
      <c r="AD114" s="20" t="str">
        <f t="shared" si="57"/>
        <v/>
      </c>
      <c r="AE114" s="20" t="str">
        <f t="shared" si="58"/>
        <v/>
      </c>
      <c r="AF114" s="20" t="str">
        <f t="shared" si="49"/>
        <v/>
      </c>
      <c r="AG114" s="20" t="str">
        <f t="shared" si="50"/>
        <v/>
      </c>
    </row>
    <row r="115" spans="1:33" x14ac:dyDescent="0.25">
      <c r="A115" s="145"/>
      <c r="B115" s="142"/>
      <c r="C115" s="142"/>
      <c r="D115" s="142"/>
      <c r="E115" s="140"/>
      <c r="F115" s="67"/>
      <c r="I115" s="131" t="str">
        <f t="shared" si="37"/>
        <v/>
      </c>
      <c r="J115" s="153" t="str">
        <f t="shared" si="51"/>
        <v/>
      </c>
      <c r="K115" s="132" t="str">
        <f t="shared" si="52"/>
        <v/>
      </c>
      <c r="L115" s="131" t="str">
        <f t="shared" si="53"/>
        <v/>
      </c>
      <c r="N115" s="21" t="str">
        <f>IF(M115="","",IF(M115="    ","",$AF$3))</f>
        <v/>
      </c>
      <c r="O115" s="124" t="s">
        <v>311</v>
      </c>
      <c r="U115" s="131" t="str">
        <f t="shared" si="43"/>
        <v/>
      </c>
      <c r="V115" s="156" t="str">
        <f t="shared" si="55"/>
        <v/>
      </c>
      <c r="W115" s="132" t="str">
        <f t="shared" si="44"/>
        <v/>
      </c>
      <c r="X115" s="131" t="str">
        <f t="shared" si="45"/>
        <v/>
      </c>
      <c r="Y115" s="21" t="str">
        <f t="shared" si="56"/>
        <v/>
      </c>
      <c r="Z115" s="21" t="str">
        <f>IF(Y115="","",IF(Y115="    ","",$AE$3))</f>
        <v/>
      </c>
      <c r="AA115" s="124" t="s">
        <v>311</v>
      </c>
      <c r="AB115" s="21" t="str">
        <f t="shared" si="47"/>
        <v/>
      </c>
      <c r="AC115" s="20" t="str">
        <f t="shared" si="48"/>
        <v/>
      </c>
      <c r="AD115" s="20" t="str">
        <f t="shared" si="57"/>
        <v/>
      </c>
      <c r="AE115" s="20" t="str">
        <f t="shared" si="58"/>
        <v/>
      </c>
      <c r="AF115" s="20" t="str">
        <f t="shared" si="49"/>
        <v/>
      </c>
      <c r="AG115" s="20" t="str">
        <f t="shared" si="50"/>
        <v/>
      </c>
    </row>
    <row r="116" spans="1:33" x14ac:dyDescent="0.25">
      <c r="A116" s="69"/>
      <c r="B116" s="142"/>
      <c r="C116" s="142"/>
      <c r="D116" s="142"/>
      <c r="E116" s="140"/>
      <c r="F116" s="67"/>
      <c r="I116" s="131" t="str">
        <f t="shared" si="37"/>
        <v/>
      </c>
      <c r="J116" s="153" t="str">
        <f t="shared" si="51"/>
        <v/>
      </c>
      <c r="K116" s="132" t="str">
        <f>IF(B116="","",B116)</f>
        <v/>
      </c>
      <c r="L116" s="131" t="str">
        <f>IF(A116="","",MID(A116,37,6))</f>
        <v/>
      </c>
      <c r="O116" s="124" t="s">
        <v>311</v>
      </c>
      <c r="U116" s="131"/>
      <c r="V116" s="132"/>
      <c r="W116" s="132"/>
      <c r="X116" s="131"/>
      <c r="AA116" s="124" t="s">
        <v>311</v>
      </c>
      <c r="AF116" s="20" t="str">
        <f>IF(A116="","",MID(A116,5,25))</f>
        <v/>
      </c>
      <c r="AG116" s="20" t="str">
        <f>IF(E121="","",MID(E121,5,25))</f>
        <v/>
      </c>
    </row>
    <row r="117" spans="1:33" x14ac:dyDescent="0.25">
      <c r="A117" s="69"/>
      <c r="B117" s="142"/>
      <c r="C117" s="142"/>
      <c r="D117" s="142"/>
      <c r="E117" s="140"/>
      <c r="F117" s="67"/>
      <c r="I117" s="131"/>
      <c r="J117" s="132"/>
      <c r="K117" s="132"/>
      <c r="L117" s="131"/>
      <c r="O117" s="124" t="s">
        <v>311</v>
      </c>
      <c r="U117" s="131"/>
      <c r="V117" s="132"/>
      <c r="W117" s="132"/>
      <c r="X117" s="131"/>
      <c r="AA117" s="124" t="s">
        <v>311</v>
      </c>
    </row>
    <row r="118" spans="1:33" x14ac:dyDescent="0.25">
      <c r="A118" s="69"/>
      <c r="B118" s="142"/>
      <c r="C118" s="142"/>
      <c r="D118" s="142"/>
      <c r="E118" s="140"/>
      <c r="F118" s="67"/>
      <c r="I118" s="131"/>
      <c r="J118" s="132"/>
      <c r="K118" s="132"/>
      <c r="L118" s="131"/>
      <c r="O118" s="124" t="s">
        <v>311</v>
      </c>
      <c r="U118" s="131"/>
      <c r="V118" s="132"/>
      <c r="W118" s="132"/>
      <c r="X118" s="131"/>
      <c r="AA118" s="124" t="s">
        <v>311</v>
      </c>
    </row>
    <row r="119" spans="1:33" x14ac:dyDescent="0.25">
      <c r="A119" s="69"/>
      <c r="B119" s="142"/>
      <c r="C119" s="142"/>
      <c r="D119" s="142"/>
      <c r="E119" s="140"/>
      <c r="F119" s="67"/>
      <c r="I119" s="131"/>
      <c r="J119" s="132"/>
      <c r="K119" s="132"/>
      <c r="L119" s="131"/>
      <c r="O119" s="124" t="s">
        <v>311</v>
      </c>
      <c r="U119" s="131"/>
      <c r="V119" s="132"/>
      <c r="W119" s="132"/>
      <c r="X119" s="131"/>
      <c r="AA119" s="124" t="s">
        <v>311</v>
      </c>
    </row>
    <row r="120" spans="1:33" x14ac:dyDescent="0.25">
      <c r="A120" s="69"/>
      <c r="B120" s="142"/>
      <c r="C120" s="142"/>
      <c r="D120" s="142"/>
      <c r="E120" s="142"/>
      <c r="F120" s="69"/>
      <c r="I120" s="131"/>
      <c r="J120" s="132"/>
      <c r="K120" s="132"/>
      <c r="L120" s="131"/>
      <c r="O120" s="124" t="s">
        <v>311</v>
      </c>
      <c r="U120" s="131"/>
      <c r="V120" s="132"/>
      <c r="W120" s="132"/>
      <c r="X120" s="131"/>
      <c r="AA120" s="124" t="s">
        <v>311</v>
      </c>
    </row>
    <row r="121" spans="1:33" x14ac:dyDescent="0.25">
      <c r="A121" s="69"/>
      <c r="B121" s="142"/>
      <c r="C121" s="142"/>
      <c r="D121" s="142"/>
      <c r="E121" s="142"/>
      <c r="F121" s="69"/>
      <c r="I121" s="131"/>
      <c r="J121" s="131"/>
      <c r="K121" s="131"/>
      <c r="L121" s="131"/>
      <c r="O121" s="124" t="s">
        <v>311</v>
      </c>
      <c r="U121" s="131"/>
      <c r="V121" s="131"/>
      <c r="W121" s="131"/>
      <c r="X121" s="131"/>
      <c r="AA121" s="124" t="s">
        <v>311</v>
      </c>
    </row>
    <row r="122" spans="1:33" x14ac:dyDescent="0.25">
      <c r="A122" s="69"/>
      <c r="B122" s="142"/>
      <c r="C122" s="142"/>
      <c r="D122" s="142"/>
      <c r="E122" s="142"/>
      <c r="F122" s="69"/>
      <c r="I122" s="131"/>
      <c r="J122" s="131"/>
      <c r="K122" s="131"/>
      <c r="L122" s="131"/>
      <c r="O122" s="124" t="s">
        <v>311</v>
      </c>
      <c r="U122" s="131"/>
      <c r="V122" s="131"/>
      <c r="W122" s="131"/>
      <c r="X122" s="131"/>
      <c r="AA122" s="124" t="s">
        <v>311</v>
      </c>
    </row>
    <row r="123" spans="1:33" x14ac:dyDescent="0.25">
      <c r="A123" s="69"/>
      <c r="B123" s="142"/>
      <c r="C123" s="142"/>
      <c r="D123" s="142"/>
      <c r="E123" s="142"/>
      <c r="F123" s="69"/>
      <c r="I123" s="131"/>
      <c r="J123" s="131"/>
      <c r="K123" s="131"/>
      <c r="L123" s="131"/>
      <c r="O123" s="124" t="s">
        <v>311</v>
      </c>
      <c r="U123" s="131"/>
      <c r="V123" s="131"/>
      <c r="W123" s="131"/>
      <c r="X123" s="131"/>
      <c r="AA123" s="124" t="s">
        <v>311</v>
      </c>
    </row>
    <row r="124" spans="1:33" x14ac:dyDescent="0.25">
      <c r="A124" s="69"/>
      <c r="B124" s="142"/>
      <c r="C124" s="142"/>
      <c r="D124" s="142"/>
      <c r="E124" s="142"/>
      <c r="F124" s="69"/>
      <c r="I124" s="131"/>
      <c r="J124" s="131"/>
      <c r="K124" s="131"/>
      <c r="L124" s="131"/>
      <c r="O124" s="124" t="s">
        <v>311</v>
      </c>
      <c r="U124" s="131"/>
      <c r="V124" s="131"/>
      <c r="W124" s="131"/>
      <c r="X124" s="131"/>
      <c r="AA124" s="124" t="s">
        <v>311</v>
      </c>
    </row>
    <row r="125" spans="1:33" x14ac:dyDescent="0.25">
      <c r="A125" s="69"/>
      <c r="B125" s="142"/>
      <c r="C125" s="142"/>
      <c r="D125" s="142"/>
      <c r="E125" s="142"/>
      <c r="F125" s="69"/>
      <c r="I125" s="131"/>
      <c r="J125" s="131"/>
      <c r="K125" s="131"/>
      <c r="L125" s="131"/>
      <c r="O125" s="124" t="s">
        <v>311</v>
      </c>
      <c r="U125" s="131"/>
      <c r="V125" s="131"/>
      <c r="W125" s="131"/>
      <c r="X125" s="131"/>
      <c r="AA125" s="124" t="s">
        <v>311</v>
      </c>
    </row>
    <row r="126" spans="1:33" x14ac:dyDescent="0.25">
      <c r="A126" s="69"/>
      <c r="B126" s="142"/>
      <c r="C126" s="142"/>
      <c r="D126" s="142"/>
      <c r="E126" s="142"/>
      <c r="F126" s="69"/>
      <c r="I126" s="131"/>
      <c r="J126" s="131"/>
      <c r="K126" s="131"/>
      <c r="L126" s="131"/>
      <c r="O126" s="124" t="s">
        <v>311</v>
      </c>
      <c r="U126" s="131"/>
      <c r="V126" s="131"/>
      <c r="W126" s="131"/>
      <c r="X126" s="131"/>
      <c r="AA126" s="124" t="s">
        <v>311</v>
      </c>
    </row>
    <row r="127" spans="1:33" x14ac:dyDescent="0.25">
      <c r="A127" s="69"/>
      <c r="B127" s="142"/>
      <c r="C127" s="142"/>
      <c r="D127" s="142"/>
      <c r="E127" s="142"/>
      <c r="F127" s="69"/>
      <c r="I127" s="131"/>
      <c r="J127" s="131"/>
      <c r="K127" s="131"/>
      <c r="L127" s="131"/>
      <c r="O127" s="124" t="s">
        <v>311</v>
      </c>
      <c r="U127" s="131"/>
      <c r="V127" s="131"/>
      <c r="W127" s="131"/>
      <c r="X127" s="131"/>
      <c r="AA127" s="124" t="s">
        <v>311</v>
      </c>
    </row>
    <row r="128" spans="1:33" x14ac:dyDescent="0.25">
      <c r="A128" s="69"/>
      <c r="B128" s="142"/>
      <c r="C128" s="142"/>
      <c r="D128" s="142"/>
      <c r="E128" s="142"/>
      <c r="F128" s="69"/>
      <c r="I128" s="131"/>
      <c r="J128" s="131"/>
      <c r="K128" s="131"/>
      <c r="L128" s="131"/>
      <c r="O128" s="124" t="s">
        <v>311</v>
      </c>
      <c r="U128" s="131"/>
      <c r="V128" s="131"/>
      <c r="W128" s="131"/>
      <c r="X128" s="131"/>
      <c r="AA128" s="124" t="s">
        <v>311</v>
      </c>
    </row>
    <row r="129" spans="1:27" x14ac:dyDescent="0.25">
      <c r="A129" s="69"/>
      <c r="B129" s="142"/>
      <c r="C129" s="142"/>
      <c r="D129" s="142"/>
      <c r="E129" s="142"/>
      <c r="F129" s="69"/>
      <c r="I129" s="131"/>
      <c r="J129" s="131"/>
      <c r="K129" s="131"/>
      <c r="L129" s="131"/>
      <c r="O129" s="124" t="s">
        <v>311</v>
      </c>
      <c r="U129" s="131"/>
      <c r="V129" s="131"/>
      <c r="W129" s="131"/>
      <c r="X129" s="131"/>
      <c r="AA129" s="124" t="s">
        <v>311</v>
      </c>
    </row>
    <row r="130" spans="1:27" x14ac:dyDescent="0.25">
      <c r="A130" s="69"/>
      <c r="B130" s="142"/>
      <c r="C130" s="142"/>
      <c r="D130" s="142"/>
      <c r="E130" s="142"/>
      <c r="F130" s="69"/>
      <c r="I130" s="131"/>
      <c r="J130" s="131"/>
      <c r="K130" s="131"/>
      <c r="L130" s="131"/>
      <c r="O130" s="124" t="s">
        <v>311</v>
      </c>
      <c r="U130" s="131"/>
      <c r="V130" s="131"/>
      <c r="W130" s="131"/>
      <c r="X130" s="131"/>
      <c r="AA130" s="124" t="s">
        <v>311</v>
      </c>
    </row>
    <row r="131" spans="1:27" x14ac:dyDescent="0.25">
      <c r="A131" s="69"/>
      <c r="B131" s="142"/>
      <c r="C131" s="142"/>
      <c r="D131" s="142"/>
      <c r="E131" s="142"/>
      <c r="F131" s="69"/>
      <c r="I131" s="131"/>
      <c r="J131" s="131"/>
      <c r="K131" s="131"/>
      <c r="L131" s="131"/>
      <c r="O131" s="124" t="s">
        <v>311</v>
      </c>
      <c r="U131" s="131"/>
      <c r="V131" s="131"/>
      <c r="W131" s="131"/>
      <c r="X131" s="131"/>
      <c r="AA131" s="124" t="s">
        <v>311</v>
      </c>
    </row>
    <row r="132" spans="1:27" x14ac:dyDescent="0.25">
      <c r="A132" s="69"/>
      <c r="B132" s="142"/>
      <c r="C132" s="142"/>
      <c r="D132" s="142"/>
      <c r="E132" s="142"/>
      <c r="F132" s="69"/>
      <c r="I132" s="131"/>
      <c r="J132" s="131"/>
      <c r="K132" s="131"/>
      <c r="L132" s="131"/>
      <c r="O132" s="124" t="s">
        <v>311</v>
      </c>
      <c r="U132" s="131"/>
      <c r="V132" s="131"/>
      <c r="W132" s="131"/>
      <c r="X132" s="131"/>
      <c r="AA132" s="124" t="s">
        <v>311</v>
      </c>
    </row>
    <row r="133" spans="1:27" x14ac:dyDescent="0.25">
      <c r="A133" s="69"/>
      <c r="B133" s="142"/>
      <c r="C133" s="142"/>
      <c r="D133" s="142"/>
      <c r="E133" s="142"/>
      <c r="F133" s="69"/>
      <c r="I133" s="131"/>
      <c r="J133" s="131"/>
      <c r="K133" s="131"/>
      <c r="L133" s="131"/>
      <c r="O133" s="124" t="s">
        <v>311</v>
      </c>
      <c r="U133" s="131"/>
      <c r="V133" s="131"/>
      <c r="W133" s="131"/>
      <c r="X133" s="131"/>
      <c r="AA133" s="124" t="s">
        <v>311</v>
      </c>
    </row>
    <row r="134" spans="1:27" x14ac:dyDescent="0.25">
      <c r="A134" s="69"/>
      <c r="B134" s="142"/>
      <c r="C134" s="142"/>
      <c r="D134" s="142"/>
      <c r="E134" s="142"/>
      <c r="F134" s="69"/>
      <c r="I134" s="131"/>
      <c r="J134" s="131"/>
      <c r="K134" s="131"/>
      <c r="L134" s="131"/>
      <c r="O134" s="124" t="s">
        <v>311</v>
      </c>
      <c r="U134" s="131"/>
      <c r="V134" s="131"/>
      <c r="W134" s="131"/>
      <c r="X134" s="131"/>
      <c r="AA134" s="124" t="s">
        <v>311</v>
      </c>
    </row>
    <row r="135" spans="1:27" x14ac:dyDescent="0.25">
      <c r="A135" s="69"/>
      <c r="B135" s="142"/>
      <c r="C135" s="142"/>
      <c r="D135" s="142"/>
      <c r="E135" s="142"/>
      <c r="F135" s="69"/>
      <c r="I135" s="131"/>
      <c r="J135" s="131"/>
      <c r="K135" s="131"/>
      <c r="L135" s="131"/>
      <c r="O135" s="124" t="s">
        <v>311</v>
      </c>
      <c r="U135" s="131"/>
      <c r="V135" s="131"/>
      <c r="W135" s="131"/>
      <c r="X135" s="131"/>
      <c r="AA135" s="124" t="s">
        <v>311</v>
      </c>
    </row>
    <row r="136" spans="1:27" x14ac:dyDescent="0.25">
      <c r="A136" s="69"/>
      <c r="B136" s="142"/>
      <c r="C136" s="142"/>
      <c r="D136" s="142"/>
      <c r="E136" s="142"/>
      <c r="F136" s="69"/>
      <c r="I136" s="131"/>
      <c r="J136" s="131"/>
      <c r="K136" s="131"/>
      <c r="L136" s="131"/>
      <c r="O136" s="124" t="s">
        <v>311</v>
      </c>
      <c r="U136" s="131"/>
      <c r="V136" s="131"/>
      <c r="W136" s="131"/>
      <c r="X136" s="131"/>
      <c r="AA136" s="124" t="s">
        <v>311</v>
      </c>
    </row>
    <row r="137" spans="1:27" x14ac:dyDescent="0.25">
      <c r="A137" s="69"/>
      <c r="B137" s="142"/>
      <c r="C137" s="142"/>
      <c r="D137" s="142"/>
      <c r="E137" s="142"/>
      <c r="F137" s="69"/>
      <c r="I137" s="131"/>
      <c r="J137" s="131"/>
      <c r="K137" s="131"/>
      <c r="L137" s="131"/>
      <c r="O137" s="124" t="s">
        <v>311</v>
      </c>
      <c r="U137" s="131"/>
      <c r="V137" s="131"/>
      <c r="W137" s="131"/>
      <c r="X137" s="131"/>
      <c r="AA137" s="124" t="s">
        <v>311</v>
      </c>
    </row>
    <row r="138" spans="1:27" x14ac:dyDescent="0.25">
      <c r="A138" s="69"/>
      <c r="B138" s="142"/>
      <c r="C138" s="142"/>
      <c r="D138" s="142"/>
      <c r="E138" s="142"/>
      <c r="F138" s="69"/>
      <c r="I138" s="131"/>
      <c r="J138" s="131"/>
      <c r="K138" s="131"/>
      <c r="L138" s="131"/>
      <c r="O138" s="124" t="s">
        <v>311</v>
      </c>
      <c r="U138" s="131"/>
      <c r="V138" s="131"/>
      <c r="W138" s="131"/>
      <c r="X138" s="131"/>
      <c r="AA138" s="124" t="s">
        <v>311</v>
      </c>
    </row>
    <row r="139" spans="1:27" x14ac:dyDescent="0.25">
      <c r="A139" s="69"/>
      <c r="B139" s="142"/>
      <c r="C139" s="142"/>
      <c r="D139" s="142"/>
      <c r="E139" s="142"/>
      <c r="F139" s="69"/>
      <c r="I139" s="131"/>
      <c r="J139" s="131"/>
      <c r="K139" s="131"/>
      <c r="L139" s="131"/>
      <c r="O139" s="124" t="s">
        <v>311</v>
      </c>
      <c r="U139" s="131"/>
      <c r="V139" s="131"/>
      <c r="W139" s="131"/>
      <c r="X139" s="131"/>
      <c r="AA139" s="124" t="s">
        <v>311</v>
      </c>
    </row>
    <row r="140" spans="1:27" x14ac:dyDescent="0.25">
      <c r="A140" s="69"/>
      <c r="B140" s="142"/>
      <c r="C140" s="142"/>
      <c r="D140" s="142"/>
      <c r="E140" s="142"/>
      <c r="F140" s="69"/>
      <c r="I140" s="131"/>
      <c r="J140" s="131"/>
      <c r="K140" s="131"/>
      <c r="L140" s="131"/>
      <c r="O140" s="124" t="s">
        <v>311</v>
      </c>
      <c r="U140" s="131"/>
      <c r="V140" s="131"/>
      <c r="W140" s="131"/>
      <c r="X140" s="131"/>
      <c r="AA140" s="124" t="s">
        <v>311</v>
      </c>
    </row>
    <row r="141" spans="1:27" x14ac:dyDescent="0.25">
      <c r="A141" s="69"/>
      <c r="B141" s="142"/>
      <c r="C141" s="142"/>
      <c r="D141" s="142"/>
      <c r="E141" s="142"/>
      <c r="F141" s="69"/>
      <c r="I141" s="131"/>
      <c r="J141" s="131"/>
      <c r="K141" s="131"/>
      <c r="L141" s="131"/>
      <c r="O141" s="124" t="s">
        <v>311</v>
      </c>
      <c r="U141" s="131"/>
      <c r="V141" s="131"/>
      <c r="W141" s="131"/>
      <c r="X141" s="131"/>
      <c r="AA141" s="124" t="s">
        <v>311</v>
      </c>
    </row>
    <row r="142" spans="1:27" x14ac:dyDescent="0.25">
      <c r="A142" s="69"/>
      <c r="B142" s="142"/>
      <c r="C142" s="142"/>
      <c r="D142" s="142"/>
      <c r="E142" s="142"/>
      <c r="F142" s="69"/>
      <c r="I142" s="131"/>
      <c r="J142" s="131"/>
      <c r="K142" s="131"/>
      <c r="L142" s="131"/>
      <c r="O142" s="124" t="s">
        <v>311</v>
      </c>
      <c r="U142" s="131"/>
      <c r="V142" s="131"/>
      <c r="W142" s="131"/>
      <c r="X142" s="131"/>
      <c r="AA142" s="124" t="s">
        <v>311</v>
      </c>
    </row>
    <row r="143" spans="1:27" x14ac:dyDescent="0.25">
      <c r="A143" s="69"/>
      <c r="B143" s="142"/>
      <c r="C143" s="142"/>
      <c r="D143" s="142"/>
      <c r="E143" s="142"/>
      <c r="F143" s="69"/>
      <c r="I143" s="131"/>
      <c r="J143" s="131"/>
      <c r="K143" s="131"/>
      <c r="L143" s="131"/>
      <c r="O143" s="124" t="s">
        <v>311</v>
      </c>
      <c r="U143" s="131"/>
      <c r="V143" s="131"/>
      <c r="W143" s="131"/>
      <c r="X143" s="131"/>
      <c r="AA143" s="124" t="s">
        <v>311</v>
      </c>
    </row>
    <row r="144" spans="1:27" x14ac:dyDescent="0.25">
      <c r="A144" s="69"/>
      <c r="B144" s="142"/>
      <c r="C144" s="142"/>
      <c r="D144" s="142"/>
      <c r="E144" s="142"/>
      <c r="F144" s="69"/>
      <c r="I144" s="131"/>
      <c r="J144" s="131"/>
      <c r="K144" s="131"/>
      <c r="L144" s="131"/>
      <c r="O144" s="124" t="s">
        <v>311</v>
      </c>
      <c r="U144" s="131"/>
      <c r="V144" s="131"/>
      <c r="W144" s="131"/>
      <c r="X144" s="131"/>
      <c r="AA144" s="124" t="s">
        <v>311</v>
      </c>
    </row>
    <row r="145" spans="1:27" x14ac:dyDescent="0.25">
      <c r="A145" s="69"/>
      <c r="B145" s="142"/>
      <c r="C145" s="142"/>
      <c r="D145" s="142"/>
      <c r="E145" s="142"/>
      <c r="F145" s="69"/>
      <c r="I145" s="131"/>
      <c r="J145" s="131"/>
      <c r="K145" s="131"/>
      <c r="L145" s="131"/>
      <c r="O145" s="124" t="s">
        <v>311</v>
      </c>
      <c r="U145" s="131"/>
      <c r="V145" s="131"/>
      <c r="W145" s="131"/>
      <c r="X145" s="131"/>
      <c r="AA145" s="124" t="s">
        <v>311</v>
      </c>
    </row>
    <row r="146" spans="1:27" x14ac:dyDescent="0.25">
      <c r="A146" s="69"/>
      <c r="B146" s="142"/>
      <c r="C146" s="142"/>
      <c r="D146" s="142"/>
      <c r="E146" s="142"/>
      <c r="F146" s="69"/>
      <c r="I146" s="131"/>
      <c r="J146" s="131"/>
      <c r="K146" s="131"/>
      <c r="L146" s="131"/>
      <c r="O146" s="124" t="s">
        <v>311</v>
      </c>
      <c r="U146" s="131"/>
      <c r="V146" s="131"/>
      <c r="W146" s="131"/>
      <c r="X146" s="131"/>
      <c r="AA146" s="124" t="s">
        <v>311</v>
      </c>
    </row>
    <row r="147" spans="1:27" x14ac:dyDescent="0.25">
      <c r="B147" s="137"/>
      <c r="C147" s="137"/>
      <c r="D147" s="137"/>
      <c r="E147" s="142"/>
      <c r="F147" s="69"/>
      <c r="I147" s="131"/>
      <c r="J147" s="131"/>
      <c r="K147" s="131"/>
      <c r="L147" s="131"/>
      <c r="O147" s="124" t="s">
        <v>311</v>
      </c>
      <c r="U147" s="131"/>
      <c r="V147" s="131"/>
      <c r="W147" s="131"/>
      <c r="X147" s="131"/>
      <c r="AA147" s="124" t="s">
        <v>311</v>
      </c>
    </row>
    <row r="148" spans="1:27" x14ac:dyDescent="0.25">
      <c r="B148" s="137"/>
      <c r="C148" s="137"/>
      <c r="D148" s="137"/>
      <c r="E148" s="142"/>
      <c r="F148" s="69"/>
      <c r="I148" s="131"/>
      <c r="J148" s="131"/>
      <c r="K148" s="131"/>
      <c r="L148" s="131"/>
      <c r="O148" s="124" t="s">
        <v>311</v>
      </c>
      <c r="U148" s="131"/>
      <c r="V148" s="131"/>
      <c r="W148" s="131"/>
      <c r="X148" s="131"/>
      <c r="AA148" s="124" t="s">
        <v>311</v>
      </c>
    </row>
    <row r="149" spans="1:27" x14ac:dyDescent="0.25">
      <c r="B149" s="137"/>
      <c r="C149" s="137"/>
      <c r="D149" s="137"/>
      <c r="E149" s="142"/>
      <c r="F149" s="69"/>
      <c r="I149" s="131"/>
      <c r="J149" s="131"/>
      <c r="K149" s="131"/>
      <c r="L149" s="131"/>
      <c r="O149" s="124" t="s">
        <v>311</v>
      </c>
      <c r="U149" s="131"/>
      <c r="V149" s="131"/>
      <c r="W149" s="131"/>
      <c r="X149" s="131"/>
      <c r="AA149" s="124" t="s">
        <v>311</v>
      </c>
    </row>
    <row r="150" spans="1:27" x14ac:dyDescent="0.25">
      <c r="B150" s="137"/>
      <c r="C150" s="137"/>
      <c r="D150" s="137"/>
      <c r="E150" s="142"/>
      <c r="F150" s="69"/>
      <c r="I150" s="131"/>
      <c r="J150" s="131"/>
      <c r="K150" s="131"/>
      <c r="L150" s="131"/>
      <c r="O150" s="124" t="s">
        <v>311</v>
      </c>
      <c r="U150" s="131"/>
      <c r="V150" s="131"/>
      <c r="W150" s="131"/>
      <c r="X150" s="131"/>
      <c r="AA150" s="124" t="s">
        <v>311</v>
      </c>
    </row>
    <row r="151" spans="1:27" x14ac:dyDescent="0.25">
      <c r="B151" s="137"/>
      <c r="C151" s="137"/>
      <c r="D151" s="137"/>
      <c r="E151" s="142"/>
      <c r="F151" s="69"/>
      <c r="I151" s="131"/>
      <c r="J151" s="131"/>
      <c r="K151" s="131"/>
      <c r="L151" s="131"/>
      <c r="O151" s="124" t="s">
        <v>311</v>
      </c>
      <c r="U151" s="131"/>
      <c r="V151" s="131"/>
      <c r="W151" s="131"/>
      <c r="X151" s="131"/>
      <c r="AA151" s="124" t="s">
        <v>311</v>
      </c>
    </row>
    <row r="152" spans="1:27" x14ac:dyDescent="0.25">
      <c r="B152" s="137"/>
      <c r="C152" s="137"/>
      <c r="D152" s="137"/>
      <c r="E152" s="137"/>
      <c r="I152" s="131"/>
      <c r="J152" s="131"/>
      <c r="K152" s="131"/>
      <c r="L152" s="131"/>
      <c r="O152" s="124" t="s">
        <v>311</v>
      </c>
      <c r="U152" s="131"/>
      <c r="V152" s="131"/>
      <c r="W152" s="131"/>
      <c r="X152" s="131"/>
      <c r="AA152" s="124" t="s">
        <v>311</v>
      </c>
    </row>
    <row r="153" spans="1:27" x14ac:dyDescent="0.25">
      <c r="B153" s="137"/>
      <c r="C153" s="137"/>
      <c r="D153" s="137"/>
      <c r="E153" s="137"/>
      <c r="I153" s="131"/>
      <c r="J153" s="131"/>
      <c r="K153" s="131"/>
      <c r="L153" s="131"/>
      <c r="O153" s="124" t="s">
        <v>311</v>
      </c>
      <c r="U153" s="131"/>
      <c r="V153" s="131"/>
      <c r="W153" s="131"/>
      <c r="X153" s="131"/>
      <c r="AA153" s="124" t="s">
        <v>311</v>
      </c>
    </row>
    <row r="154" spans="1:27" x14ac:dyDescent="0.25">
      <c r="B154" s="137"/>
      <c r="C154" s="137"/>
      <c r="D154" s="137"/>
      <c r="E154" s="137"/>
      <c r="I154" s="131"/>
      <c r="J154" s="131"/>
      <c r="K154" s="131"/>
      <c r="L154" s="131"/>
      <c r="O154" s="124" t="s">
        <v>311</v>
      </c>
      <c r="U154" s="131"/>
      <c r="V154" s="131"/>
      <c r="W154" s="131"/>
      <c r="X154" s="131"/>
      <c r="AA154" s="124" t="s">
        <v>311</v>
      </c>
    </row>
    <row r="155" spans="1:27" x14ac:dyDescent="0.25">
      <c r="B155" s="137"/>
      <c r="C155" s="137"/>
      <c r="D155" s="137"/>
      <c r="E155" s="137"/>
      <c r="I155" s="131"/>
      <c r="J155" s="131"/>
      <c r="K155" s="131"/>
      <c r="L155" s="131"/>
      <c r="O155" s="124" t="s">
        <v>311</v>
      </c>
      <c r="U155" s="131"/>
      <c r="V155" s="131"/>
      <c r="W155" s="131"/>
      <c r="X155" s="131"/>
      <c r="AA155" s="124" t="s">
        <v>311</v>
      </c>
    </row>
    <row r="156" spans="1:27" x14ac:dyDescent="0.25">
      <c r="B156" s="137"/>
      <c r="C156" s="137"/>
      <c r="D156" s="137"/>
      <c r="E156" s="137"/>
      <c r="I156" s="131"/>
      <c r="J156" s="131"/>
      <c r="K156" s="131"/>
      <c r="L156" s="131"/>
      <c r="O156" s="124" t="s">
        <v>311</v>
      </c>
      <c r="U156" s="131"/>
      <c r="V156" s="131"/>
      <c r="W156" s="131"/>
      <c r="X156" s="131"/>
      <c r="AA156" s="124" t="s">
        <v>311</v>
      </c>
    </row>
    <row r="157" spans="1:27" x14ac:dyDescent="0.25">
      <c r="B157" s="137"/>
      <c r="C157" s="137"/>
      <c r="D157" s="137"/>
      <c r="E157" s="137"/>
      <c r="I157" s="131"/>
      <c r="J157" s="131"/>
      <c r="K157" s="131"/>
      <c r="L157" s="131"/>
      <c r="O157" s="124" t="s">
        <v>311</v>
      </c>
      <c r="U157" s="131"/>
      <c r="V157" s="131"/>
      <c r="W157" s="131"/>
      <c r="X157" s="131"/>
      <c r="AA157" s="124" t="s">
        <v>311</v>
      </c>
    </row>
    <row r="158" spans="1:27" x14ac:dyDescent="0.25">
      <c r="B158" s="137"/>
      <c r="C158" s="137"/>
      <c r="D158" s="137"/>
      <c r="E158" s="137"/>
      <c r="I158" s="131"/>
      <c r="J158" s="131"/>
      <c r="K158" s="131"/>
      <c r="L158" s="131"/>
      <c r="O158" s="124" t="s">
        <v>311</v>
      </c>
      <c r="U158" s="131"/>
      <c r="V158" s="131"/>
      <c r="W158" s="131"/>
      <c r="X158" s="131"/>
      <c r="AA158" s="124" t="s">
        <v>311</v>
      </c>
    </row>
    <row r="159" spans="1:27" x14ac:dyDescent="0.25">
      <c r="B159" s="137"/>
      <c r="C159" s="137"/>
      <c r="D159" s="137"/>
      <c r="E159" s="137"/>
      <c r="I159" s="131"/>
      <c r="J159" s="131"/>
      <c r="K159" s="131"/>
      <c r="L159" s="131"/>
      <c r="O159" s="124" t="s">
        <v>311</v>
      </c>
      <c r="U159" s="131"/>
      <c r="V159" s="131"/>
      <c r="W159" s="131"/>
      <c r="X159" s="131"/>
      <c r="AA159" s="124" t="s">
        <v>311</v>
      </c>
    </row>
    <row r="160" spans="1:27" x14ac:dyDescent="0.25">
      <c r="B160" s="137"/>
      <c r="C160" s="137"/>
      <c r="D160" s="137"/>
      <c r="E160" s="137"/>
      <c r="I160" s="131"/>
      <c r="J160" s="131"/>
      <c r="K160" s="131"/>
      <c r="L160" s="131"/>
      <c r="O160" s="124" t="s">
        <v>311</v>
      </c>
      <c r="U160" s="131"/>
      <c r="V160" s="131"/>
      <c r="W160" s="131"/>
      <c r="X160" s="131"/>
      <c r="AA160" s="124" t="s">
        <v>311</v>
      </c>
    </row>
    <row r="161" spans="2:27" x14ac:dyDescent="0.25">
      <c r="B161" s="137"/>
      <c r="C161" s="137"/>
      <c r="D161" s="137"/>
      <c r="E161" s="137"/>
      <c r="I161" s="131"/>
      <c r="J161" s="131"/>
      <c r="K161" s="131"/>
      <c r="L161" s="131"/>
      <c r="O161" s="124" t="s">
        <v>311</v>
      </c>
      <c r="U161" s="131"/>
      <c r="V161" s="131"/>
      <c r="W161" s="131"/>
      <c r="X161" s="131"/>
      <c r="AA161" s="124" t="s">
        <v>311</v>
      </c>
    </row>
    <row r="162" spans="2:27" x14ac:dyDescent="0.25">
      <c r="B162" s="137"/>
      <c r="C162" s="137"/>
      <c r="D162" s="137"/>
      <c r="E162" s="137"/>
      <c r="I162" s="131"/>
      <c r="J162" s="131"/>
      <c r="K162" s="131"/>
      <c r="L162" s="131"/>
      <c r="O162" s="124" t="s">
        <v>311</v>
      </c>
      <c r="U162" s="131"/>
      <c r="V162" s="131"/>
      <c r="W162" s="131"/>
      <c r="X162" s="131"/>
      <c r="AA162" s="124" t="s">
        <v>311</v>
      </c>
    </row>
    <row r="163" spans="2:27" x14ac:dyDescent="0.25">
      <c r="B163" s="137"/>
      <c r="C163" s="137"/>
      <c r="D163" s="137"/>
      <c r="E163" s="137"/>
      <c r="I163" s="131"/>
      <c r="J163" s="131"/>
      <c r="K163" s="131"/>
      <c r="L163" s="131"/>
      <c r="O163" s="124" t="s">
        <v>311</v>
      </c>
      <c r="U163" s="131"/>
      <c r="V163" s="131"/>
      <c r="W163" s="131"/>
      <c r="X163" s="131"/>
      <c r="AA163" s="124" t="s">
        <v>311</v>
      </c>
    </row>
    <row r="164" spans="2:27" x14ac:dyDescent="0.25">
      <c r="B164" s="137"/>
      <c r="C164" s="137"/>
      <c r="D164" s="137"/>
      <c r="E164" s="137"/>
      <c r="I164" s="131"/>
      <c r="J164" s="131"/>
      <c r="K164" s="131"/>
      <c r="L164" s="131"/>
      <c r="O164" s="124" t="s">
        <v>311</v>
      </c>
      <c r="U164" s="131"/>
      <c r="V164" s="131"/>
      <c r="W164" s="131"/>
      <c r="X164" s="131"/>
      <c r="AA164" s="124" t="s">
        <v>311</v>
      </c>
    </row>
    <row r="165" spans="2:27" x14ac:dyDescent="0.25">
      <c r="B165" s="137"/>
      <c r="C165" s="137"/>
      <c r="D165" s="137"/>
      <c r="E165" s="137"/>
      <c r="I165" s="131"/>
      <c r="J165" s="131"/>
      <c r="K165" s="131"/>
      <c r="L165" s="131"/>
      <c r="O165" s="124" t="s">
        <v>311</v>
      </c>
      <c r="U165" s="131"/>
      <c r="V165" s="131"/>
      <c r="W165" s="131"/>
      <c r="X165" s="131"/>
      <c r="AA165" s="124" t="s">
        <v>311</v>
      </c>
    </row>
    <row r="166" spans="2:27" x14ac:dyDescent="0.25">
      <c r="B166" s="137"/>
      <c r="C166" s="137"/>
      <c r="D166" s="137"/>
      <c r="E166" s="137"/>
      <c r="I166" s="131"/>
      <c r="J166" s="131"/>
      <c r="K166" s="131"/>
      <c r="L166" s="131"/>
      <c r="O166" s="124" t="s">
        <v>311</v>
      </c>
      <c r="U166" s="131"/>
      <c r="V166" s="131"/>
      <c r="W166" s="131"/>
      <c r="X166" s="131"/>
      <c r="AA166" s="124" t="s">
        <v>311</v>
      </c>
    </row>
    <row r="167" spans="2:27" x14ac:dyDescent="0.25">
      <c r="B167" s="137"/>
      <c r="C167" s="137"/>
      <c r="D167" s="137"/>
      <c r="E167" s="137"/>
      <c r="I167" s="131"/>
      <c r="J167" s="131"/>
      <c r="K167" s="131"/>
      <c r="L167" s="131"/>
      <c r="O167" s="124" t="s">
        <v>311</v>
      </c>
      <c r="U167" s="131"/>
      <c r="V167" s="131"/>
      <c r="W167" s="131"/>
      <c r="X167" s="131"/>
      <c r="AA167" s="124" t="s">
        <v>311</v>
      </c>
    </row>
    <row r="168" spans="2:27" x14ac:dyDescent="0.25">
      <c r="B168" s="137"/>
      <c r="C168" s="137"/>
      <c r="D168" s="137"/>
      <c r="E168" s="137"/>
      <c r="I168" s="131"/>
      <c r="J168" s="131"/>
      <c r="K168" s="131"/>
      <c r="L168" s="131"/>
      <c r="O168" s="124" t="s">
        <v>311</v>
      </c>
      <c r="U168" s="131"/>
      <c r="V168" s="131"/>
      <c r="W168" s="131"/>
      <c r="X168" s="131"/>
      <c r="AA168" s="124" t="s">
        <v>311</v>
      </c>
    </row>
    <row r="169" spans="2:27" x14ac:dyDescent="0.25">
      <c r="B169" s="137"/>
      <c r="C169" s="137"/>
      <c r="D169" s="137"/>
      <c r="E169" s="137"/>
      <c r="I169" s="131"/>
      <c r="J169" s="131"/>
      <c r="K169" s="131"/>
      <c r="L169" s="131"/>
      <c r="O169" s="124" t="s">
        <v>311</v>
      </c>
      <c r="U169" s="131"/>
      <c r="V169" s="131"/>
      <c r="W169" s="131"/>
      <c r="X169" s="131"/>
      <c r="AA169" s="124" t="s">
        <v>311</v>
      </c>
    </row>
    <row r="170" spans="2:27" x14ac:dyDescent="0.25">
      <c r="B170" s="137"/>
      <c r="C170" s="137"/>
      <c r="D170" s="137"/>
      <c r="E170" s="137"/>
      <c r="I170" s="131"/>
      <c r="J170" s="131"/>
      <c r="K170" s="131"/>
      <c r="L170" s="131"/>
      <c r="O170" s="124" t="s">
        <v>311</v>
      </c>
      <c r="U170" s="131"/>
      <c r="V170" s="131"/>
      <c r="W170" s="131"/>
      <c r="X170" s="131"/>
      <c r="AA170" s="124" t="s">
        <v>311</v>
      </c>
    </row>
    <row r="171" spans="2:27" x14ac:dyDescent="0.25">
      <c r="B171" s="137"/>
      <c r="C171" s="137"/>
      <c r="D171" s="137"/>
      <c r="E171" s="137"/>
      <c r="I171" s="131"/>
      <c r="J171" s="131"/>
      <c r="K171" s="131"/>
      <c r="L171" s="131"/>
      <c r="O171" s="124" t="s">
        <v>311</v>
      </c>
      <c r="U171" s="131"/>
      <c r="V171" s="131"/>
      <c r="W171" s="131"/>
      <c r="X171" s="131"/>
      <c r="AA171" s="124" t="s">
        <v>311</v>
      </c>
    </row>
    <row r="172" spans="2:27" x14ac:dyDescent="0.25">
      <c r="B172" s="137"/>
      <c r="C172" s="137"/>
      <c r="D172" s="137"/>
      <c r="E172" s="137"/>
      <c r="I172" s="131"/>
      <c r="J172" s="131"/>
      <c r="K172" s="131"/>
      <c r="L172" s="131"/>
      <c r="O172" s="124" t="s">
        <v>311</v>
      </c>
      <c r="U172" s="131"/>
      <c r="V172" s="131"/>
      <c r="W172" s="131"/>
      <c r="X172" s="131"/>
      <c r="AA172" s="124" t="s">
        <v>311</v>
      </c>
    </row>
    <row r="173" spans="2:27" x14ac:dyDescent="0.25">
      <c r="B173" s="137"/>
      <c r="C173" s="137"/>
      <c r="D173" s="137"/>
      <c r="E173" s="137"/>
      <c r="I173" s="131"/>
      <c r="J173" s="131"/>
      <c r="K173" s="131"/>
      <c r="L173" s="131"/>
      <c r="O173" s="124" t="s">
        <v>311</v>
      </c>
      <c r="U173" s="131"/>
      <c r="V173" s="131"/>
      <c r="W173" s="131"/>
      <c r="X173" s="131"/>
      <c r="AA173" s="124" t="s">
        <v>311</v>
      </c>
    </row>
    <row r="174" spans="2:27" x14ac:dyDescent="0.25">
      <c r="B174" s="137"/>
      <c r="C174" s="137"/>
      <c r="D174" s="137"/>
      <c r="E174" s="137"/>
      <c r="I174" s="131"/>
      <c r="J174" s="131"/>
      <c r="K174" s="131"/>
      <c r="L174" s="131"/>
      <c r="O174" s="124" t="s">
        <v>311</v>
      </c>
      <c r="U174" s="131"/>
      <c r="V174" s="131"/>
      <c r="W174" s="131"/>
      <c r="X174" s="131"/>
      <c r="AA174" s="124" t="s">
        <v>311</v>
      </c>
    </row>
    <row r="175" spans="2:27" x14ac:dyDescent="0.25">
      <c r="B175" s="137"/>
      <c r="C175" s="137"/>
      <c r="D175" s="137"/>
      <c r="E175" s="137"/>
      <c r="I175" s="131"/>
      <c r="J175" s="131"/>
      <c r="K175" s="131"/>
      <c r="L175" s="131"/>
      <c r="O175" s="124" t="s">
        <v>311</v>
      </c>
      <c r="U175" s="131"/>
      <c r="V175" s="131"/>
      <c r="W175" s="131"/>
      <c r="X175" s="131"/>
      <c r="AA175" s="124" t="s">
        <v>311</v>
      </c>
    </row>
    <row r="176" spans="2:27" x14ac:dyDescent="0.25">
      <c r="B176" s="137"/>
      <c r="C176" s="137"/>
      <c r="D176" s="137"/>
      <c r="E176" s="137"/>
      <c r="I176" s="131"/>
      <c r="J176" s="131"/>
      <c r="K176" s="131"/>
      <c r="L176" s="131"/>
      <c r="O176" s="124" t="s">
        <v>311</v>
      </c>
      <c r="U176" s="131"/>
      <c r="V176" s="131"/>
      <c r="W176" s="131"/>
      <c r="X176" s="131"/>
      <c r="AA176" s="124" t="s">
        <v>311</v>
      </c>
    </row>
    <row r="177" spans="2:27" x14ac:dyDescent="0.25">
      <c r="B177" s="137"/>
      <c r="C177" s="137"/>
      <c r="D177" s="137"/>
      <c r="E177" s="137"/>
      <c r="I177" s="131"/>
      <c r="J177" s="131"/>
      <c r="K177" s="131"/>
      <c r="L177" s="131"/>
      <c r="O177" s="124" t="s">
        <v>311</v>
      </c>
      <c r="U177" s="131"/>
      <c r="V177" s="131"/>
      <c r="W177" s="131"/>
      <c r="X177" s="131"/>
      <c r="AA177" s="124" t="s">
        <v>311</v>
      </c>
    </row>
    <row r="178" spans="2:27" x14ac:dyDescent="0.25">
      <c r="B178" s="137"/>
      <c r="C178" s="137"/>
      <c r="D178" s="137"/>
      <c r="E178" s="137"/>
      <c r="I178" s="131"/>
      <c r="J178" s="131"/>
      <c r="K178" s="131"/>
      <c r="L178" s="131"/>
      <c r="O178" s="124" t="s">
        <v>311</v>
      </c>
      <c r="U178" s="131"/>
      <c r="V178" s="131"/>
      <c r="W178" s="131"/>
      <c r="X178" s="131"/>
      <c r="AA178" s="124" t="s">
        <v>311</v>
      </c>
    </row>
    <row r="179" spans="2:27" x14ac:dyDescent="0.25">
      <c r="B179" s="137"/>
      <c r="C179" s="137"/>
      <c r="D179" s="137"/>
      <c r="E179" s="137"/>
      <c r="I179" s="131"/>
      <c r="J179" s="131"/>
      <c r="K179" s="131"/>
      <c r="L179" s="131"/>
      <c r="O179" s="124" t="s">
        <v>311</v>
      </c>
      <c r="U179" s="131"/>
      <c r="V179" s="131"/>
      <c r="W179" s="131"/>
      <c r="X179" s="131"/>
      <c r="AA179" s="124" t="s">
        <v>311</v>
      </c>
    </row>
    <row r="180" spans="2:27" x14ac:dyDescent="0.25">
      <c r="B180" s="137"/>
      <c r="C180" s="137"/>
      <c r="D180" s="137"/>
      <c r="E180" s="137"/>
      <c r="I180" s="131"/>
      <c r="J180" s="131"/>
      <c r="K180" s="131"/>
      <c r="L180" s="131"/>
      <c r="O180" s="124" t="s">
        <v>311</v>
      </c>
      <c r="U180" s="131"/>
      <c r="V180" s="131"/>
      <c r="W180" s="131"/>
      <c r="X180" s="131"/>
      <c r="AA180" s="124" t="s">
        <v>311</v>
      </c>
    </row>
    <row r="181" spans="2:27" x14ac:dyDescent="0.25">
      <c r="B181" s="137"/>
      <c r="C181" s="137"/>
      <c r="D181" s="137"/>
      <c r="E181" s="137"/>
      <c r="I181" s="131"/>
      <c r="J181" s="131"/>
      <c r="K181" s="131"/>
      <c r="L181" s="131"/>
      <c r="O181" s="124" t="s">
        <v>311</v>
      </c>
      <c r="U181" s="131"/>
      <c r="V181" s="131"/>
      <c r="W181" s="131"/>
      <c r="X181" s="131"/>
      <c r="AA181" s="124" t="s">
        <v>311</v>
      </c>
    </row>
    <row r="182" spans="2:27" x14ac:dyDescent="0.25">
      <c r="B182" s="137"/>
      <c r="C182" s="137"/>
      <c r="D182" s="137"/>
      <c r="E182" s="137"/>
      <c r="I182" s="131"/>
      <c r="J182" s="131"/>
      <c r="K182" s="131"/>
      <c r="L182" s="131"/>
      <c r="O182" s="124" t="s">
        <v>311</v>
      </c>
      <c r="U182" s="131"/>
      <c r="V182" s="131"/>
      <c r="W182" s="131"/>
      <c r="X182" s="131"/>
      <c r="AA182" s="124" t="s">
        <v>311</v>
      </c>
    </row>
    <row r="183" spans="2:27" x14ac:dyDescent="0.25">
      <c r="B183" s="137"/>
      <c r="C183" s="137"/>
      <c r="D183" s="137"/>
      <c r="E183" s="137"/>
      <c r="I183" s="131"/>
      <c r="J183" s="131"/>
      <c r="K183" s="131"/>
      <c r="L183" s="131"/>
      <c r="O183" s="124" t="s">
        <v>311</v>
      </c>
      <c r="U183" s="131"/>
      <c r="V183" s="131"/>
      <c r="W183" s="131"/>
      <c r="X183" s="131"/>
      <c r="AA183" s="124" t="s">
        <v>311</v>
      </c>
    </row>
    <row r="184" spans="2:27" x14ac:dyDescent="0.25">
      <c r="B184" s="137"/>
      <c r="C184" s="137"/>
      <c r="D184" s="137"/>
      <c r="E184" s="137"/>
      <c r="I184" s="131"/>
      <c r="J184" s="131"/>
      <c r="K184" s="131"/>
      <c r="L184" s="131"/>
      <c r="O184" s="124" t="s">
        <v>311</v>
      </c>
      <c r="U184" s="131"/>
      <c r="V184" s="131"/>
      <c r="W184" s="131"/>
      <c r="X184" s="131"/>
      <c r="AA184" s="124" t="s">
        <v>311</v>
      </c>
    </row>
    <row r="185" spans="2:27" x14ac:dyDescent="0.25">
      <c r="B185" s="137"/>
      <c r="C185" s="137"/>
      <c r="D185" s="137"/>
      <c r="E185" s="137"/>
      <c r="I185" s="131"/>
      <c r="J185" s="131"/>
      <c r="K185" s="131"/>
      <c r="L185" s="131"/>
      <c r="O185" s="124" t="s">
        <v>311</v>
      </c>
      <c r="U185" s="131"/>
      <c r="V185" s="131"/>
      <c r="W185" s="131"/>
      <c r="X185" s="131"/>
      <c r="AA185" s="124" t="s">
        <v>311</v>
      </c>
    </row>
    <row r="186" spans="2:27" x14ac:dyDescent="0.25">
      <c r="B186" s="137"/>
      <c r="C186" s="137"/>
      <c r="D186" s="137"/>
      <c r="E186" s="137"/>
      <c r="I186" s="131"/>
      <c r="J186" s="131"/>
      <c r="K186" s="131"/>
      <c r="L186" s="131"/>
      <c r="O186" s="124" t="s">
        <v>311</v>
      </c>
      <c r="U186" s="131"/>
      <c r="V186" s="131"/>
      <c r="W186" s="131"/>
      <c r="X186" s="131"/>
      <c r="AA186" s="124" t="s">
        <v>311</v>
      </c>
    </row>
    <row r="187" spans="2:27" x14ac:dyDescent="0.25">
      <c r="B187" s="137"/>
      <c r="C187" s="137"/>
      <c r="D187" s="137"/>
      <c r="E187" s="137"/>
      <c r="I187" s="131"/>
      <c r="J187" s="131"/>
      <c r="K187" s="131"/>
      <c r="L187" s="131"/>
      <c r="O187" s="124" t="s">
        <v>311</v>
      </c>
      <c r="U187" s="131"/>
      <c r="V187" s="131"/>
      <c r="W187" s="131"/>
      <c r="X187" s="131"/>
      <c r="AA187" s="124" t="s">
        <v>311</v>
      </c>
    </row>
    <row r="188" spans="2:27" x14ac:dyDescent="0.25">
      <c r="B188" s="137"/>
      <c r="C188" s="137"/>
      <c r="D188" s="137"/>
      <c r="E188" s="137"/>
      <c r="I188" s="131"/>
      <c r="J188" s="131"/>
      <c r="K188" s="131"/>
      <c r="L188" s="131"/>
      <c r="O188" s="124" t="s">
        <v>311</v>
      </c>
      <c r="U188" s="131"/>
      <c r="V188" s="131"/>
      <c r="W188" s="131"/>
      <c r="X188" s="131"/>
      <c r="AA188" s="124" t="s">
        <v>311</v>
      </c>
    </row>
    <row r="189" spans="2:27" x14ac:dyDescent="0.25">
      <c r="B189" s="137"/>
      <c r="C189" s="137"/>
      <c r="D189" s="137"/>
      <c r="E189" s="137"/>
      <c r="I189" s="131"/>
      <c r="J189" s="131"/>
      <c r="K189" s="131"/>
      <c r="L189" s="131"/>
      <c r="O189" s="124" t="s">
        <v>311</v>
      </c>
      <c r="U189" s="131"/>
      <c r="V189" s="131"/>
      <c r="W189" s="131"/>
      <c r="X189" s="131"/>
      <c r="AA189" s="124" t="s">
        <v>311</v>
      </c>
    </row>
    <row r="190" spans="2:27" x14ac:dyDescent="0.25">
      <c r="B190" s="137"/>
      <c r="C190" s="137"/>
      <c r="D190" s="137"/>
      <c r="E190" s="137"/>
      <c r="I190" s="131"/>
      <c r="J190" s="131"/>
      <c r="K190" s="131"/>
      <c r="L190" s="131"/>
      <c r="O190" s="124" t="s">
        <v>311</v>
      </c>
      <c r="U190" s="131"/>
      <c r="V190" s="131"/>
      <c r="W190" s="131"/>
      <c r="X190" s="131"/>
      <c r="AA190" s="124" t="s">
        <v>311</v>
      </c>
    </row>
    <row r="191" spans="2:27" x14ac:dyDescent="0.25">
      <c r="B191" s="137"/>
      <c r="C191" s="137"/>
      <c r="D191" s="137"/>
      <c r="E191" s="137"/>
      <c r="I191" s="131"/>
      <c r="J191" s="131"/>
      <c r="K191" s="131"/>
      <c r="L191" s="131"/>
      <c r="O191" s="124" t="s">
        <v>311</v>
      </c>
      <c r="U191" s="131"/>
      <c r="V191" s="131"/>
      <c r="W191" s="131"/>
      <c r="X191" s="131"/>
      <c r="AA191" s="124" t="s">
        <v>311</v>
      </c>
    </row>
    <row r="192" spans="2:27" x14ac:dyDescent="0.25">
      <c r="B192" s="137"/>
      <c r="C192" s="137"/>
      <c r="D192" s="137"/>
      <c r="E192" s="137"/>
      <c r="I192" s="131"/>
      <c r="J192" s="131"/>
      <c r="K192" s="131"/>
      <c r="L192" s="131"/>
      <c r="O192" s="124" t="s">
        <v>311</v>
      </c>
      <c r="U192" s="131"/>
      <c r="V192" s="131"/>
      <c r="W192" s="131"/>
      <c r="X192" s="131"/>
      <c r="AA192" s="124" t="s">
        <v>311</v>
      </c>
    </row>
    <row r="193" spans="2:27" x14ac:dyDescent="0.25">
      <c r="B193" s="137"/>
      <c r="C193" s="137"/>
      <c r="D193" s="137"/>
      <c r="E193" s="137"/>
      <c r="I193" s="131"/>
      <c r="J193" s="131"/>
      <c r="K193" s="131"/>
      <c r="L193" s="131"/>
      <c r="O193" s="124" t="s">
        <v>311</v>
      </c>
      <c r="U193" s="131"/>
      <c r="V193" s="131"/>
      <c r="W193" s="131"/>
      <c r="X193" s="131"/>
      <c r="AA193" s="124" t="s">
        <v>311</v>
      </c>
    </row>
    <row r="194" spans="2:27" x14ac:dyDescent="0.25">
      <c r="B194" s="137"/>
      <c r="C194" s="137"/>
      <c r="D194" s="137"/>
      <c r="E194" s="137"/>
      <c r="I194" s="131"/>
      <c r="J194" s="131"/>
      <c r="K194" s="131"/>
      <c r="L194" s="131"/>
      <c r="O194" s="124" t="s">
        <v>311</v>
      </c>
      <c r="U194" s="131"/>
      <c r="V194" s="131"/>
      <c r="W194" s="131"/>
      <c r="X194" s="131"/>
      <c r="AA194" s="124" t="s">
        <v>311</v>
      </c>
    </row>
    <row r="195" spans="2:27" x14ac:dyDescent="0.25">
      <c r="B195" s="137"/>
      <c r="C195" s="137"/>
      <c r="D195" s="137"/>
      <c r="E195" s="137"/>
      <c r="I195" s="131"/>
      <c r="J195" s="131"/>
      <c r="K195" s="131"/>
      <c r="L195" s="131"/>
      <c r="O195" s="124" t="s">
        <v>311</v>
      </c>
      <c r="U195" s="131"/>
      <c r="V195" s="131"/>
      <c r="W195" s="131"/>
      <c r="X195" s="131"/>
      <c r="AA195" s="124" t="s">
        <v>311</v>
      </c>
    </row>
    <row r="196" spans="2:27" x14ac:dyDescent="0.25">
      <c r="B196" s="137"/>
      <c r="C196" s="137"/>
      <c r="D196" s="137"/>
      <c r="E196" s="137"/>
      <c r="I196" s="131"/>
      <c r="J196" s="131"/>
      <c r="K196" s="131"/>
      <c r="L196" s="131"/>
      <c r="O196" s="124" t="s">
        <v>311</v>
      </c>
      <c r="U196" s="131"/>
      <c r="V196" s="131"/>
      <c r="W196" s="131"/>
      <c r="X196" s="131"/>
      <c r="AA196" s="124" t="s">
        <v>311</v>
      </c>
    </row>
    <row r="197" spans="2:27" x14ac:dyDescent="0.25">
      <c r="B197" s="137"/>
      <c r="C197" s="137"/>
      <c r="D197" s="137"/>
      <c r="E197" s="137"/>
      <c r="I197" s="131"/>
      <c r="J197" s="131"/>
      <c r="K197" s="131"/>
      <c r="L197" s="131"/>
      <c r="O197" s="124" t="s">
        <v>311</v>
      </c>
      <c r="U197" s="131"/>
      <c r="V197" s="131"/>
      <c r="W197" s="131"/>
      <c r="X197" s="131"/>
      <c r="AA197" s="124" t="s">
        <v>311</v>
      </c>
    </row>
    <row r="198" spans="2:27" x14ac:dyDescent="0.25">
      <c r="B198" s="137"/>
      <c r="C198" s="137"/>
      <c r="D198" s="137"/>
      <c r="E198" s="137"/>
      <c r="I198" s="131"/>
      <c r="J198" s="131"/>
      <c r="K198" s="131"/>
      <c r="L198" s="131"/>
      <c r="O198" s="124" t="s">
        <v>311</v>
      </c>
      <c r="U198" s="131"/>
      <c r="V198" s="131"/>
      <c r="W198" s="131"/>
      <c r="X198" s="131"/>
      <c r="AA198" s="124" t="s">
        <v>311</v>
      </c>
    </row>
    <row r="199" spans="2:27" x14ac:dyDescent="0.25">
      <c r="B199" s="137"/>
      <c r="C199" s="137"/>
      <c r="D199" s="137"/>
      <c r="E199" s="137"/>
      <c r="I199" s="131"/>
      <c r="J199" s="131"/>
      <c r="K199" s="131"/>
      <c r="L199" s="131"/>
      <c r="O199" s="124" t="s">
        <v>311</v>
      </c>
      <c r="U199" s="131"/>
      <c r="V199" s="131"/>
      <c r="W199" s="131"/>
      <c r="X199" s="131"/>
      <c r="AA199" s="124" t="s">
        <v>311</v>
      </c>
    </row>
    <row r="200" spans="2:27" x14ac:dyDescent="0.25">
      <c r="B200" s="137"/>
      <c r="C200" s="137"/>
      <c r="D200" s="137"/>
      <c r="E200" s="137"/>
      <c r="I200" s="131"/>
      <c r="J200" s="131"/>
      <c r="K200" s="131"/>
      <c r="L200" s="131"/>
      <c r="U200" s="131"/>
      <c r="V200" s="131"/>
      <c r="W200" s="131"/>
      <c r="X200" s="131"/>
      <c r="AA200" s="124" t="s">
        <v>311</v>
      </c>
    </row>
    <row r="201" spans="2:27" x14ac:dyDescent="0.25">
      <c r="B201" s="137"/>
      <c r="C201" s="137"/>
      <c r="D201" s="137"/>
      <c r="E201" s="137"/>
      <c r="I201" s="131"/>
      <c r="J201" s="131"/>
      <c r="K201" s="131"/>
      <c r="L201" s="131"/>
      <c r="U201" s="131"/>
      <c r="V201" s="131"/>
      <c r="W201" s="131"/>
      <c r="X201" s="131"/>
      <c r="AA201" s="124" t="s">
        <v>311</v>
      </c>
    </row>
    <row r="202" spans="2:27" x14ac:dyDescent="0.25">
      <c r="B202" s="137"/>
      <c r="C202" s="137"/>
      <c r="D202" s="137"/>
      <c r="E202" s="137"/>
      <c r="I202" s="131"/>
      <c r="J202" s="131"/>
      <c r="K202" s="131"/>
      <c r="L202" s="131"/>
      <c r="U202" s="131"/>
      <c r="V202" s="131"/>
      <c r="W202" s="131"/>
      <c r="X202" s="131"/>
      <c r="AA202" s="124" t="s">
        <v>311</v>
      </c>
    </row>
    <row r="203" spans="2:27" x14ac:dyDescent="0.25">
      <c r="B203" s="137"/>
      <c r="C203" s="137"/>
      <c r="D203" s="137"/>
      <c r="E203" s="137"/>
      <c r="I203" s="131"/>
      <c r="J203" s="131"/>
      <c r="K203" s="131"/>
      <c r="L203" s="131"/>
      <c r="U203" s="131"/>
      <c r="V203" s="131"/>
      <c r="W203" s="131"/>
      <c r="X203" s="131"/>
      <c r="AA203" s="124" t="s">
        <v>311</v>
      </c>
    </row>
    <row r="204" spans="2:27" x14ac:dyDescent="0.25">
      <c r="B204" s="137"/>
      <c r="C204" s="137"/>
      <c r="D204" s="137"/>
      <c r="E204" s="137"/>
      <c r="I204" s="131"/>
      <c r="J204" s="131"/>
      <c r="K204" s="131"/>
      <c r="L204" s="131"/>
      <c r="U204" s="131"/>
      <c r="V204" s="131"/>
      <c r="W204" s="131"/>
      <c r="X204" s="131"/>
      <c r="AA204" s="124" t="s">
        <v>311</v>
      </c>
    </row>
    <row r="205" spans="2:27" x14ac:dyDescent="0.25">
      <c r="B205" s="137"/>
      <c r="C205" s="137"/>
      <c r="D205" s="137"/>
      <c r="E205" s="137"/>
      <c r="I205" s="131"/>
      <c r="J205" s="131"/>
      <c r="K205" s="131"/>
      <c r="L205" s="131"/>
      <c r="U205" s="131"/>
      <c r="V205" s="131"/>
      <c r="W205" s="131"/>
      <c r="X205" s="131"/>
      <c r="AA205" s="124" t="s">
        <v>311</v>
      </c>
    </row>
    <row r="206" spans="2:27" x14ac:dyDescent="0.25">
      <c r="B206" s="137"/>
      <c r="C206" s="137"/>
      <c r="D206" s="137"/>
      <c r="E206" s="137"/>
      <c r="I206" s="131"/>
      <c r="J206" s="131"/>
      <c r="K206" s="131"/>
      <c r="L206" s="131"/>
      <c r="U206" s="131"/>
      <c r="V206" s="131"/>
      <c r="W206" s="131"/>
      <c r="X206" s="131"/>
      <c r="AA206" s="124" t="s">
        <v>311</v>
      </c>
    </row>
    <row r="207" spans="2:27" x14ac:dyDescent="0.25">
      <c r="B207" s="137"/>
      <c r="C207" s="137"/>
      <c r="D207" s="137"/>
      <c r="E207" s="137"/>
      <c r="I207" s="131"/>
      <c r="J207" s="131"/>
      <c r="K207" s="131"/>
      <c r="L207" s="131"/>
      <c r="U207" s="131"/>
      <c r="V207" s="131"/>
      <c r="W207" s="131"/>
      <c r="X207" s="131"/>
      <c r="AA207" s="124" t="s">
        <v>311</v>
      </c>
    </row>
    <row r="208" spans="2:27" x14ac:dyDescent="0.25">
      <c r="B208" s="137"/>
      <c r="C208" s="137"/>
      <c r="D208" s="137"/>
      <c r="E208" s="137"/>
      <c r="I208" s="131"/>
      <c r="J208" s="131"/>
      <c r="K208" s="131"/>
      <c r="L208" s="131"/>
      <c r="U208" s="131"/>
      <c r="V208" s="131"/>
      <c r="W208" s="131"/>
      <c r="X208" s="131"/>
      <c r="AA208" s="124" t="s">
        <v>311</v>
      </c>
    </row>
    <row r="209" spans="2:27" x14ac:dyDescent="0.25">
      <c r="B209" s="137"/>
      <c r="C209" s="137"/>
      <c r="D209" s="137"/>
      <c r="E209" s="137"/>
      <c r="I209" s="131"/>
      <c r="J209" s="131"/>
      <c r="K209" s="131"/>
      <c r="L209" s="131"/>
      <c r="U209" s="131"/>
      <c r="V209" s="131"/>
      <c r="W209" s="131"/>
      <c r="X209" s="131"/>
      <c r="AA209" s="124" t="s">
        <v>311</v>
      </c>
    </row>
    <row r="210" spans="2:27" x14ac:dyDescent="0.25">
      <c r="B210" s="137"/>
      <c r="C210" s="137"/>
      <c r="D210" s="137"/>
      <c r="E210" s="137"/>
      <c r="I210" s="131"/>
      <c r="J210" s="131"/>
      <c r="K210" s="131"/>
      <c r="L210" s="131"/>
      <c r="U210" s="131"/>
      <c r="V210" s="131"/>
      <c r="W210" s="131"/>
      <c r="X210" s="131"/>
      <c r="AA210" s="124" t="s">
        <v>311</v>
      </c>
    </row>
    <row r="211" spans="2:27" x14ac:dyDescent="0.25">
      <c r="B211" s="137"/>
      <c r="C211" s="137"/>
      <c r="D211" s="137"/>
      <c r="E211" s="137"/>
      <c r="I211" s="131"/>
      <c r="J211" s="131"/>
      <c r="K211" s="131"/>
      <c r="L211" s="131"/>
      <c r="U211" s="131"/>
      <c r="V211" s="131"/>
      <c r="W211" s="131"/>
      <c r="X211" s="131"/>
      <c r="AA211" s="124" t="s">
        <v>311</v>
      </c>
    </row>
    <row r="212" spans="2:27" x14ac:dyDescent="0.25">
      <c r="B212" s="137"/>
      <c r="C212" s="137"/>
      <c r="D212" s="137"/>
      <c r="E212" s="137"/>
      <c r="I212" s="131"/>
      <c r="J212" s="131"/>
      <c r="K212" s="131"/>
      <c r="L212" s="131"/>
      <c r="U212" s="131"/>
      <c r="V212" s="131"/>
      <c r="W212" s="131"/>
      <c r="X212" s="131"/>
      <c r="AA212" s="124" t="s">
        <v>311</v>
      </c>
    </row>
    <row r="213" spans="2:27" x14ac:dyDescent="0.25">
      <c r="B213" s="137"/>
      <c r="C213" s="137"/>
      <c r="D213" s="137"/>
      <c r="E213" s="137"/>
      <c r="I213" s="131"/>
      <c r="J213" s="131"/>
      <c r="K213" s="131"/>
      <c r="L213" s="131"/>
      <c r="U213" s="131"/>
      <c r="V213" s="131"/>
      <c r="W213" s="131"/>
      <c r="X213" s="131"/>
      <c r="AA213" s="124" t="s">
        <v>311</v>
      </c>
    </row>
    <row r="214" spans="2:27" x14ac:dyDescent="0.25">
      <c r="B214" s="137"/>
      <c r="C214" s="137"/>
      <c r="D214" s="137"/>
      <c r="E214" s="137"/>
      <c r="I214" s="131"/>
      <c r="J214" s="131"/>
      <c r="K214" s="131"/>
      <c r="L214" s="131"/>
      <c r="U214" s="131"/>
      <c r="V214" s="131"/>
      <c r="W214" s="131"/>
      <c r="X214" s="131"/>
      <c r="AA214" s="124" t="s">
        <v>311</v>
      </c>
    </row>
    <row r="215" spans="2:27" x14ac:dyDescent="0.25">
      <c r="B215" s="137"/>
      <c r="C215" s="137"/>
      <c r="D215" s="137"/>
      <c r="E215" s="137"/>
      <c r="I215" s="131"/>
      <c r="J215" s="131"/>
      <c r="K215" s="131"/>
      <c r="L215" s="131"/>
      <c r="U215" s="131"/>
      <c r="V215" s="131"/>
      <c r="W215" s="131"/>
      <c r="X215" s="131"/>
      <c r="AA215" s="124" t="s">
        <v>311</v>
      </c>
    </row>
    <row r="216" spans="2:27" x14ac:dyDescent="0.25">
      <c r="B216" s="137"/>
      <c r="C216" s="137"/>
      <c r="D216" s="137"/>
      <c r="E216" s="137"/>
      <c r="I216" s="131"/>
      <c r="J216" s="131"/>
      <c r="K216" s="131"/>
      <c r="L216" s="131"/>
      <c r="U216" s="131"/>
      <c r="V216" s="131"/>
      <c r="W216" s="131"/>
      <c r="X216" s="131"/>
      <c r="AA216" s="124" t="s">
        <v>311</v>
      </c>
    </row>
    <row r="217" spans="2:27" x14ac:dyDescent="0.25">
      <c r="B217" s="137"/>
      <c r="C217" s="137"/>
      <c r="D217" s="137"/>
      <c r="E217" s="137"/>
      <c r="I217" s="131"/>
      <c r="J217" s="131"/>
      <c r="K217" s="131"/>
      <c r="L217" s="131"/>
      <c r="U217" s="131"/>
      <c r="V217" s="131"/>
      <c r="W217" s="131"/>
      <c r="X217" s="131"/>
      <c r="AA217" s="124" t="s">
        <v>311</v>
      </c>
    </row>
    <row r="218" spans="2:27" x14ac:dyDescent="0.25">
      <c r="B218" s="137"/>
      <c r="C218" s="137"/>
      <c r="D218" s="137"/>
      <c r="E218" s="137"/>
      <c r="I218" s="131"/>
      <c r="J218" s="131"/>
      <c r="K218" s="131"/>
      <c r="L218" s="131"/>
      <c r="U218" s="131"/>
      <c r="V218" s="131"/>
      <c r="W218" s="131"/>
      <c r="X218" s="131"/>
      <c r="AA218" s="124" t="s">
        <v>311</v>
      </c>
    </row>
    <row r="219" spans="2:27" x14ac:dyDescent="0.25">
      <c r="B219" s="137"/>
      <c r="C219" s="137"/>
      <c r="D219" s="137"/>
      <c r="E219" s="137"/>
      <c r="I219" s="131"/>
      <c r="J219" s="131"/>
      <c r="K219" s="131"/>
      <c r="L219" s="131"/>
      <c r="U219" s="131"/>
      <c r="V219" s="131"/>
      <c r="W219" s="131"/>
      <c r="X219" s="131"/>
      <c r="AA219" s="124" t="s">
        <v>311</v>
      </c>
    </row>
    <row r="220" spans="2:27" x14ac:dyDescent="0.25">
      <c r="B220" s="137"/>
      <c r="C220" s="137"/>
      <c r="D220" s="137"/>
      <c r="E220" s="137"/>
      <c r="I220" s="131"/>
      <c r="J220" s="131"/>
      <c r="K220" s="131"/>
      <c r="L220" s="131"/>
      <c r="U220" s="131"/>
      <c r="V220" s="131"/>
      <c r="W220" s="131"/>
      <c r="X220" s="131"/>
      <c r="AA220" s="124" t="s">
        <v>311</v>
      </c>
    </row>
    <row r="221" spans="2:27" x14ac:dyDescent="0.25">
      <c r="B221" s="137"/>
      <c r="C221" s="137"/>
      <c r="D221" s="137"/>
      <c r="E221" s="137"/>
      <c r="I221" s="131"/>
      <c r="J221" s="131"/>
      <c r="K221" s="131"/>
      <c r="L221" s="131"/>
      <c r="U221" s="131"/>
      <c r="V221" s="131"/>
      <c r="W221" s="131"/>
      <c r="X221" s="131"/>
      <c r="AA221" s="124" t="s">
        <v>311</v>
      </c>
    </row>
    <row r="222" spans="2:27" x14ac:dyDescent="0.25">
      <c r="B222" s="137"/>
      <c r="C222" s="137"/>
      <c r="D222" s="137"/>
      <c r="E222" s="137"/>
      <c r="I222" s="131"/>
      <c r="J222" s="131"/>
      <c r="K222" s="131"/>
      <c r="L222" s="131"/>
      <c r="U222" s="131"/>
      <c r="V222" s="131"/>
      <c r="W222" s="131"/>
      <c r="X222" s="131"/>
    </row>
    <row r="223" spans="2:27" x14ac:dyDescent="0.25">
      <c r="B223" s="137"/>
      <c r="C223" s="137"/>
      <c r="D223" s="137"/>
      <c r="E223" s="137"/>
      <c r="I223" s="131"/>
      <c r="J223" s="131"/>
      <c r="K223" s="131"/>
      <c r="L223" s="131"/>
      <c r="U223" s="131"/>
      <c r="V223" s="131"/>
      <c r="W223" s="131"/>
      <c r="X223" s="131"/>
    </row>
    <row r="224" spans="2:27" x14ac:dyDescent="0.25">
      <c r="B224" s="137"/>
      <c r="C224" s="137"/>
      <c r="D224" s="137"/>
      <c r="E224" s="137"/>
      <c r="I224" s="131"/>
      <c r="J224" s="131"/>
      <c r="K224" s="131"/>
      <c r="L224" s="131"/>
      <c r="U224" s="131"/>
      <c r="V224" s="131"/>
      <c r="W224" s="131"/>
      <c r="X224" s="131"/>
    </row>
    <row r="225" spans="1:24" x14ac:dyDescent="0.25">
      <c r="B225" s="137"/>
      <c r="C225" s="137"/>
      <c r="D225" s="137"/>
      <c r="E225" s="137"/>
      <c r="I225" s="131"/>
      <c r="J225" s="131"/>
      <c r="K225" s="131"/>
      <c r="L225" s="131"/>
      <c r="U225" s="131"/>
      <c r="V225" s="131"/>
      <c r="W225" s="131"/>
      <c r="X225" s="131"/>
    </row>
    <row r="226" spans="1:24" x14ac:dyDescent="0.25">
      <c r="B226" s="137"/>
      <c r="C226" s="137"/>
      <c r="D226" s="137"/>
      <c r="E226" s="137"/>
      <c r="I226" s="131"/>
      <c r="J226" s="131"/>
      <c r="K226" s="131"/>
      <c r="L226" s="131"/>
      <c r="U226" s="131"/>
      <c r="V226" s="131"/>
      <c r="W226" s="131"/>
      <c r="X226" s="131"/>
    </row>
    <row r="227" spans="1:24" x14ac:dyDescent="0.25">
      <c r="B227" s="137"/>
      <c r="C227" s="137"/>
      <c r="D227" s="137"/>
      <c r="E227" s="137"/>
      <c r="I227" s="131"/>
      <c r="J227" s="131"/>
      <c r="K227" s="131"/>
      <c r="L227" s="131"/>
      <c r="U227" s="131"/>
      <c r="V227" s="131"/>
      <c r="W227" s="131"/>
      <c r="X227" s="131"/>
    </row>
    <row r="228" spans="1:24" x14ac:dyDescent="0.25">
      <c r="B228" s="137"/>
      <c r="C228" s="137"/>
      <c r="D228" s="137"/>
      <c r="E228" s="137"/>
      <c r="I228" s="131"/>
      <c r="J228" s="131"/>
      <c r="K228" s="131"/>
      <c r="L228" s="131"/>
      <c r="U228" s="131"/>
      <c r="V228" s="131"/>
      <c r="W228" s="131"/>
      <c r="X228" s="131"/>
    </row>
    <row r="229" spans="1:24" x14ac:dyDescent="0.25">
      <c r="A229" s="12" t="s">
        <v>11</v>
      </c>
      <c r="B229" s="137"/>
      <c r="C229" s="137"/>
      <c r="D229" s="137"/>
      <c r="E229" s="137"/>
      <c r="I229" s="131"/>
      <c r="J229" s="131"/>
      <c r="K229" s="131"/>
      <c r="L229" s="131"/>
      <c r="U229" s="131"/>
      <c r="V229" s="131"/>
      <c r="W229" s="131"/>
      <c r="X229" s="131"/>
    </row>
    <row r="230" spans="1:24" x14ac:dyDescent="0.25">
      <c r="A230" s="12" t="s">
        <v>11</v>
      </c>
      <c r="B230" s="137"/>
      <c r="C230" s="137"/>
      <c r="D230" s="137"/>
      <c r="E230" s="137"/>
      <c r="I230" s="131"/>
      <c r="J230" s="131"/>
      <c r="K230" s="131"/>
      <c r="L230" s="131"/>
      <c r="U230" s="131"/>
      <c r="V230" s="131"/>
      <c r="W230" s="131"/>
      <c r="X230" s="131"/>
    </row>
    <row r="231" spans="1:24" x14ac:dyDescent="0.25">
      <c r="A231" s="12" t="s">
        <v>11</v>
      </c>
      <c r="B231" s="137"/>
      <c r="C231" s="137"/>
      <c r="D231" s="137"/>
      <c r="E231" s="137"/>
      <c r="I231" s="131"/>
      <c r="J231" s="131"/>
      <c r="K231" s="131"/>
      <c r="L231" s="131"/>
      <c r="U231" s="131"/>
      <c r="V231" s="131"/>
      <c r="W231" s="131"/>
      <c r="X231" s="131"/>
    </row>
    <row r="232" spans="1:24" x14ac:dyDescent="0.25">
      <c r="A232" s="12" t="s">
        <v>11</v>
      </c>
      <c r="B232" s="137"/>
      <c r="C232" s="137"/>
      <c r="D232" s="137"/>
      <c r="E232" s="137"/>
      <c r="I232" s="131"/>
      <c r="J232" s="131"/>
      <c r="K232" s="131"/>
      <c r="L232" s="131"/>
      <c r="U232" s="131"/>
      <c r="V232" s="131"/>
      <c r="W232" s="131"/>
      <c r="X232" s="131"/>
    </row>
    <row r="233" spans="1:24" x14ac:dyDescent="0.25">
      <c r="A233" s="12" t="s">
        <v>11</v>
      </c>
      <c r="B233" s="137"/>
      <c r="C233" s="137"/>
      <c r="D233" s="137"/>
      <c r="E233" s="137"/>
      <c r="I233" s="131"/>
      <c r="J233" s="131"/>
      <c r="K233" s="131"/>
      <c r="L233" s="131"/>
      <c r="U233" s="131"/>
      <c r="V233" s="131"/>
      <c r="W233" s="131"/>
      <c r="X233" s="131"/>
    </row>
    <row r="234" spans="1:24" x14ac:dyDescent="0.25">
      <c r="A234" s="12" t="s">
        <v>11</v>
      </c>
      <c r="B234" s="137"/>
      <c r="C234" s="137"/>
      <c r="D234" s="137"/>
      <c r="E234" s="137"/>
      <c r="I234" s="131"/>
      <c r="J234" s="131"/>
      <c r="K234" s="131"/>
      <c r="L234" s="131"/>
      <c r="U234" s="131"/>
      <c r="V234" s="131"/>
      <c r="W234" s="131"/>
      <c r="X234" s="131"/>
    </row>
    <row r="235" spans="1:24" x14ac:dyDescent="0.25">
      <c r="A235" s="12" t="s">
        <v>11</v>
      </c>
      <c r="B235" s="137"/>
      <c r="C235" s="137"/>
      <c r="D235" s="137"/>
      <c r="E235" s="137"/>
      <c r="I235" s="131"/>
      <c r="J235" s="131"/>
      <c r="K235" s="131"/>
      <c r="L235" s="131"/>
      <c r="U235" s="131"/>
      <c r="V235" s="131"/>
      <c r="W235" s="131"/>
      <c r="X235" s="131"/>
    </row>
    <row r="236" spans="1:24" x14ac:dyDescent="0.25">
      <c r="A236" s="12" t="s">
        <v>11</v>
      </c>
      <c r="B236" s="137"/>
      <c r="C236" s="137"/>
      <c r="D236" s="137"/>
      <c r="E236" s="137"/>
      <c r="I236" s="131"/>
      <c r="J236" s="131"/>
      <c r="K236" s="131"/>
      <c r="L236" s="131"/>
      <c r="U236" s="131"/>
      <c r="V236" s="131"/>
      <c r="W236" s="131"/>
      <c r="X236" s="131"/>
    </row>
    <row r="237" spans="1:24" x14ac:dyDescent="0.25">
      <c r="A237" s="12" t="s">
        <v>11</v>
      </c>
      <c r="B237" s="137"/>
      <c r="C237" s="137"/>
      <c r="D237" s="137"/>
      <c r="E237" s="137"/>
      <c r="I237" s="131"/>
      <c r="J237" s="131"/>
      <c r="K237" s="131"/>
      <c r="L237" s="131"/>
      <c r="U237" s="131"/>
      <c r="V237" s="131"/>
      <c r="W237" s="131"/>
      <c r="X237" s="131"/>
    </row>
    <row r="238" spans="1:24" x14ac:dyDescent="0.25">
      <c r="A238" s="12" t="s">
        <v>11</v>
      </c>
      <c r="B238" s="137"/>
      <c r="C238" s="137"/>
      <c r="D238" s="137"/>
      <c r="E238" s="137"/>
      <c r="I238" s="131"/>
      <c r="J238" s="131"/>
      <c r="K238" s="131"/>
      <c r="L238" s="131"/>
      <c r="U238" s="131"/>
      <c r="V238" s="131"/>
      <c r="W238" s="131"/>
      <c r="X238" s="131"/>
    </row>
    <row r="239" spans="1:24" x14ac:dyDescent="0.25">
      <c r="B239" s="137"/>
      <c r="C239" s="137"/>
      <c r="D239" s="137"/>
      <c r="E239" s="137"/>
      <c r="I239" s="131"/>
      <c r="J239" s="131"/>
      <c r="K239" s="131"/>
      <c r="L239" s="131"/>
      <c r="U239" s="131"/>
      <c r="V239" s="131"/>
      <c r="W239" s="131"/>
      <c r="X239" s="131"/>
    </row>
    <row r="240" spans="1:24" x14ac:dyDescent="0.25">
      <c r="B240" s="137"/>
      <c r="C240" s="137"/>
      <c r="D240" s="137"/>
      <c r="E240" s="137"/>
      <c r="I240" s="131"/>
      <c r="J240" s="131"/>
      <c r="K240" s="131"/>
      <c r="L240" s="131"/>
      <c r="U240" s="131"/>
      <c r="V240" s="131"/>
      <c r="W240" s="131"/>
      <c r="X240" s="131"/>
    </row>
    <row r="241" spans="2:24" x14ac:dyDescent="0.25">
      <c r="B241" s="137"/>
      <c r="C241" s="137"/>
      <c r="D241" s="137"/>
      <c r="E241" s="137"/>
      <c r="I241" s="131"/>
      <c r="J241" s="131"/>
      <c r="K241" s="131"/>
      <c r="L241" s="131"/>
      <c r="U241" s="131"/>
      <c r="V241" s="131"/>
      <c r="W241" s="131"/>
      <c r="X241" s="131"/>
    </row>
    <row r="242" spans="2:24" x14ac:dyDescent="0.25">
      <c r="B242" s="137"/>
      <c r="C242" s="137"/>
      <c r="D242" s="137"/>
      <c r="E242" s="137"/>
      <c r="I242" s="131"/>
      <c r="J242" s="131"/>
      <c r="K242" s="131"/>
      <c r="L242" s="131"/>
      <c r="U242" s="131"/>
      <c r="V242" s="131"/>
      <c r="W242" s="131"/>
      <c r="X242" s="131"/>
    </row>
    <row r="243" spans="2:24" x14ac:dyDescent="0.25">
      <c r="B243" s="137"/>
      <c r="C243" s="137"/>
      <c r="D243" s="137"/>
      <c r="E243" s="137"/>
      <c r="I243" s="131"/>
      <c r="J243" s="131"/>
      <c r="K243" s="131"/>
      <c r="L243" s="131"/>
      <c r="U243" s="131"/>
      <c r="V243" s="131"/>
      <c r="W243" s="131"/>
      <c r="X243" s="131"/>
    </row>
    <row r="244" spans="2:24" x14ac:dyDescent="0.25">
      <c r="B244" s="137"/>
      <c r="C244" s="137"/>
      <c r="D244" s="137"/>
      <c r="E244" s="137"/>
      <c r="I244" s="131"/>
      <c r="J244" s="131"/>
      <c r="K244" s="131"/>
      <c r="L244" s="131"/>
      <c r="U244" s="131"/>
      <c r="V244" s="131"/>
      <c r="W244" s="131"/>
      <c r="X244" s="131"/>
    </row>
    <row r="245" spans="2:24" x14ac:dyDescent="0.25">
      <c r="B245" s="137"/>
      <c r="C245" s="137"/>
      <c r="D245" s="137"/>
      <c r="E245" s="137"/>
      <c r="I245" s="131"/>
      <c r="J245" s="131"/>
      <c r="K245" s="131"/>
      <c r="L245" s="131"/>
      <c r="U245" s="131"/>
      <c r="V245" s="131"/>
      <c r="W245" s="131"/>
      <c r="X245" s="131"/>
    </row>
    <row r="246" spans="2:24" x14ac:dyDescent="0.25">
      <c r="B246" s="137"/>
      <c r="C246" s="137"/>
      <c r="D246" s="137"/>
      <c r="E246" s="137"/>
      <c r="I246" s="131"/>
      <c r="J246" s="131"/>
      <c r="K246" s="131"/>
      <c r="L246" s="131"/>
      <c r="U246" s="131"/>
      <c r="V246" s="131"/>
      <c r="W246" s="131"/>
      <c r="X246" s="131"/>
    </row>
    <row r="247" spans="2:24" x14ac:dyDescent="0.25">
      <c r="B247" s="137"/>
      <c r="C247" s="137"/>
      <c r="D247" s="137"/>
      <c r="E247" s="137"/>
      <c r="I247" s="131"/>
      <c r="J247" s="131"/>
      <c r="K247" s="131"/>
      <c r="L247" s="131"/>
      <c r="U247" s="131"/>
      <c r="V247" s="131"/>
      <c r="W247" s="131"/>
      <c r="X247" s="131"/>
    </row>
    <row r="248" spans="2:24" x14ac:dyDescent="0.25">
      <c r="B248" s="137"/>
      <c r="C248" s="137"/>
      <c r="D248" s="137"/>
      <c r="E248" s="137"/>
      <c r="I248" s="131"/>
      <c r="J248" s="131"/>
      <c r="K248" s="131"/>
      <c r="L248" s="131"/>
      <c r="U248" s="131"/>
      <c r="V248" s="131"/>
      <c r="W248" s="131"/>
      <c r="X248" s="131"/>
    </row>
    <row r="249" spans="2:24" x14ac:dyDescent="0.25">
      <c r="B249" s="137"/>
      <c r="C249" s="137"/>
      <c r="D249" s="137"/>
      <c r="E249" s="137"/>
      <c r="I249" s="131"/>
      <c r="J249" s="131"/>
      <c r="K249" s="131"/>
      <c r="L249" s="131"/>
      <c r="U249" s="131"/>
      <c r="V249" s="131"/>
      <c r="W249" s="131"/>
      <c r="X249" s="131"/>
    </row>
    <row r="250" spans="2:24" x14ac:dyDescent="0.25">
      <c r="B250" s="137"/>
      <c r="C250" s="137"/>
      <c r="D250" s="137"/>
      <c r="E250" s="137"/>
      <c r="I250" s="131"/>
      <c r="J250" s="131"/>
      <c r="K250" s="131"/>
      <c r="L250" s="131"/>
      <c r="U250" s="131"/>
      <c r="V250" s="131"/>
      <c r="W250" s="131"/>
      <c r="X250" s="131"/>
    </row>
    <row r="251" spans="2:24" x14ac:dyDescent="0.25">
      <c r="B251" s="137"/>
      <c r="C251" s="137"/>
      <c r="D251" s="137"/>
      <c r="E251" s="137"/>
      <c r="I251" s="131"/>
      <c r="J251" s="131"/>
      <c r="K251" s="131"/>
      <c r="L251" s="131"/>
      <c r="U251" s="131"/>
      <c r="V251" s="131"/>
      <c r="W251" s="131"/>
      <c r="X251" s="131"/>
    </row>
    <row r="252" spans="2:24" x14ac:dyDescent="0.25">
      <c r="B252" s="137"/>
      <c r="C252" s="137"/>
      <c r="D252" s="137"/>
      <c r="E252" s="137"/>
      <c r="I252" s="131"/>
      <c r="J252" s="131"/>
      <c r="K252" s="131"/>
      <c r="L252" s="131"/>
      <c r="U252" s="131"/>
      <c r="V252" s="131"/>
      <c r="W252" s="131"/>
      <c r="X252" s="131"/>
    </row>
    <row r="253" spans="2:24" x14ac:dyDescent="0.25">
      <c r="B253" s="137"/>
      <c r="C253" s="137"/>
      <c r="D253" s="137"/>
      <c r="E253" s="137"/>
      <c r="I253" s="131"/>
      <c r="J253" s="131"/>
      <c r="K253" s="131"/>
      <c r="L253" s="131"/>
      <c r="U253" s="131"/>
      <c r="V253" s="131"/>
      <c r="W253" s="131"/>
      <c r="X253" s="131"/>
    </row>
    <row r="254" spans="2:24" x14ac:dyDescent="0.25">
      <c r="B254" s="137"/>
      <c r="C254" s="137"/>
      <c r="D254" s="137"/>
      <c r="E254" s="137"/>
      <c r="I254" s="131"/>
      <c r="J254" s="131"/>
      <c r="K254" s="131"/>
      <c r="L254" s="131"/>
      <c r="U254" s="131"/>
      <c r="V254" s="131"/>
      <c r="W254" s="131"/>
      <c r="X254" s="131"/>
    </row>
    <row r="255" spans="2:24" x14ac:dyDescent="0.25">
      <c r="B255" s="137"/>
      <c r="C255" s="137"/>
      <c r="D255" s="137"/>
      <c r="E255" s="137"/>
      <c r="I255" s="131"/>
      <c r="J255" s="131"/>
      <c r="K255" s="131"/>
      <c r="L255" s="131"/>
      <c r="U255" s="131"/>
      <c r="V255" s="131"/>
      <c r="W255" s="131"/>
      <c r="X255" s="131"/>
    </row>
    <row r="256" spans="2:24" x14ac:dyDescent="0.25">
      <c r="B256" s="137"/>
      <c r="C256" s="137"/>
      <c r="D256" s="137"/>
      <c r="E256" s="137"/>
      <c r="I256" s="131"/>
      <c r="J256" s="131"/>
      <c r="K256" s="131"/>
      <c r="L256" s="131"/>
      <c r="U256" s="131"/>
      <c r="V256" s="131"/>
      <c r="W256" s="131"/>
      <c r="X256" s="131"/>
    </row>
    <row r="257" spans="2:24" x14ac:dyDescent="0.25">
      <c r="B257" s="137"/>
      <c r="C257" s="137"/>
      <c r="D257" s="137"/>
      <c r="E257" s="137"/>
      <c r="I257" s="131"/>
      <c r="J257" s="131"/>
      <c r="K257" s="131"/>
      <c r="L257" s="131"/>
      <c r="U257" s="131"/>
      <c r="V257" s="131"/>
      <c r="W257" s="131"/>
      <c r="X257" s="131"/>
    </row>
    <row r="258" spans="2:24" x14ac:dyDescent="0.25">
      <c r="B258" s="137"/>
      <c r="C258" s="137"/>
      <c r="D258" s="137"/>
      <c r="E258" s="137"/>
      <c r="I258" s="131"/>
      <c r="J258" s="131"/>
      <c r="K258" s="131"/>
      <c r="L258" s="131"/>
      <c r="U258" s="131"/>
      <c r="V258" s="131"/>
      <c r="W258" s="131"/>
      <c r="X258" s="131"/>
    </row>
    <row r="259" spans="2:24" x14ac:dyDescent="0.25">
      <c r="B259" s="137"/>
      <c r="C259" s="137"/>
      <c r="D259" s="137"/>
      <c r="E259" s="137"/>
      <c r="I259" s="131"/>
      <c r="J259" s="131"/>
      <c r="K259" s="131"/>
      <c r="L259" s="131"/>
      <c r="U259" s="131"/>
      <c r="V259" s="131"/>
      <c r="W259" s="131"/>
      <c r="X259" s="131"/>
    </row>
    <row r="260" spans="2:24" x14ac:dyDescent="0.25">
      <c r="B260" s="137"/>
      <c r="C260" s="137"/>
      <c r="D260" s="137"/>
      <c r="E260" s="137"/>
      <c r="I260" s="131"/>
      <c r="J260" s="131"/>
      <c r="K260" s="131"/>
      <c r="L260" s="131"/>
      <c r="U260" s="131"/>
      <c r="V260" s="131"/>
      <c r="W260" s="131"/>
      <c r="X260" s="131"/>
    </row>
    <row r="261" spans="2:24" x14ac:dyDescent="0.25">
      <c r="B261" s="137"/>
      <c r="C261" s="137"/>
      <c r="D261" s="137"/>
      <c r="E261" s="137"/>
      <c r="I261" s="131"/>
      <c r="J261" s="131"/>
      <c r="K261" s="131"/>
      <c r="L261" s="131"/>
      <c r="U261" s="131"/>
      <c r="V261" s="131"/>
      <c r="W261" s="131"/>
      <c r="X261" s="131"/>
    </row>
    <row r="262" spans="2:24" x14ac:dyDescent="0.25">
      <c r="B262" s="137"/>
      <c r="C262" s="137"/>
      <c r="D262" s="137"/>
      <c r="E262" s="137"/>
      <c r="I262" s="131"/>
      <c r="J262" s="131"/>
      <c r="K262" s="131"/>
      <c r="L262" s="131"/>
      <c r="U262" s="131"/>
      <c r="V262" s="131"/>
      <c r="W262" s="131"/>
      <c r="X262" s="131"/>
    </row>
    <row r="263" spans="2:24" x14ac:dyDescent="0.25">
      <c r="B263" s="137"/>
      <c r="C263" s="137"/>
      <c r="D263" s="137"/>
      <c r="E263" s="137"/>
      <c r="I263" s="131"/>
      <c r="J263" s="131"/>
      <c r="K263" s="131"/>
      <c r="L263" s="131"/>
      <c r="U263" s="131"/>
      <c r="V263" s="131"/>
      <c r="W263" s="131"/>
      <c r="X263" s="131"/>
    </row>
    <row r="264" spans="2:24" x14ac:dyDescent="0.25">
      <c r="B264" s="137"/>
      <c r="C264" s="137"/>
      <c r="D264" s="137"/>
      <c r="E264" s="137"/>
      <c r="I264" s="131"/>
      <c r="J264" s="131"/>
      <c r="K264" s="131"/>
      <c r="L264" s="131"/>
      <c r="U264" s="131"/>
      <c r="V264" s="131"/>
      <c r="W264" s="131"/>
      <c r="X264" s="131"/>
    </row>
    <row r="265" spans="2:24" x14ac:dyDescent="0.25">
      <c r="B265" s="137"/>
      <c r="C265" s="137"/>
      <c r="D265" s="137"/>
      <c r="E265" s="137"/>
      <c r="I265" s="131"/>
      <c r="J265" s="131"/>
      <c r="K265" s="131"/>
      <c r="L265" s="131"/>
      <c r="U265" s="131"/>
      <c r="V265" s="131"/>
      <c r="W265" s="131"/>
      <c r="X265" s="131"/>
    </row>
    <row r="266" spans="2:24" x14ac:dyDescent="0.25">
      <c r="B266" s="137"/>
      <c r="C266" s="137"/>
      <c r="D266" s="137"/>
      <c r="E266" s="137"/>
      <c r="I266" s="131"/>
      <c r="J266" s="131"/>
      <c r="K266" s="131"/>
      <c r="L266" s="131"/>
      <c r="U266" s="131"/>
      <c r="V266" s="131"/>
      <c r="W266" s="131"/>
      <c r="X266" s="131"/>
    </row>
    <row r="267" spans="2:24" x14ac:dyDescent="0.25">
      <c r="B267" s="137"/>
      <c r="C267" s="137"/>
      <c r="D267" s="137"/>
      <c r="E267" s="137"/>
      <c r="I267" s="131"/>
      <c r="J267" s="131"/>
      <c r="K267" s="131"/>
      <c r="L267" s="131"/>
      <c r="U267" s="131"/>
      <c r="V267" s="131"/>
      <c r="W267" s="131"/>
      <c r="X267" s="131"/>
    </row>
    <row r="268" spans="2:24" x14ac:dyDescent="0.25">
      <c r="B268" s="137"/>
      <c r="C268" s="137"/>
      <c r="D268" s="137"/>
      <c r="E268" s="137"/>
      <c r="I268" s="131"/>
      <c r="J268" s="131"/>
      <c r="K268" s="131"/>
      <c r="L268" s="131"/>
      <c r="U268" s="131"/>
      <c r="V268" s="131"/>
      <c r="W268" s="131"/>
      <c r="X268" s="131"/>
    </row>
    <row r="269" spans="2:24" x14ac:dyDescent="0.25">
      <c r="B269" s="137"/>
      <c r="C269" s="137"/>
      <c r="D269" s="137"/>
      <c r="E269" s="137"/>
      <c r="I269" s="131"/>
      <c r="J269" s="131"/>
      <c r="K269" s="131"/>
      <c r="L269" s="131"/>
      <c r="U269" s="131"/>
      <c r="V269" s="131"/>
      <c r="W269" s="131"/>
      <c r="X269" s="131"/>
    </row>
    <row r="270" spans="2:24" x14ac:dyDescent="0.25">
      <c r="B270" s="137"/>
      <c r="C270" s="137"/>
      <c r="D270" s="137"/>
      <c r="E270" s="137"/>
      <c r="I270" s="131"/>
      <c r="J270" s="131"/>
      <c r="K270" s="131"/>
      <c r="L270" s="131"/>
      <c r="U270" s="131"/>
      <c r="V270" s="131"/>
      <c r="W270" s="131"/>
      <c r="X270" s="131"/>
    </row>
    <row r="271" spans="2:24" x14ac:dyDescent="0.25">
      <c r="B271" s="137"/>
      <c r="C271" s="137"/>
      <c r="D271" s="137"/>
      <c r="E271" s="137"/>
      <c r="I271" s="131"/>
      <c r="J271" s="131"/>
      <c r="K271" s="131"/>
      <c r="L271" s="131"/>
      <c r="U271" s="131"/>
      <c r="V271" s="131"/>
      <c r="W271" s="131"/>
      <c r="X271" s="131"/>
    </row>
    <row r="272" spans="2:24" x14ac:dyDescent="0.25">
      <c r="B272" s="137"/>
      <c r="C272" s="137"/>
      <c r="D272" s="137"/>
      <c r="E272" s="137"/>
      <c r="I272" s="131"/>
      <c r="J272" s="131"/>
      <c r="K272" s="131"/>
      <c r="L272" s="131"/>
      <c r="U272" s="131"/>
      <c r="V272" s="131"/>
      <c r="W272" s="131"/>
      <c r="X272" s="131"/>
    </row>
    <row r="273" spans="2:24" x14ac:dyDescent="0.25">
      <c r="B273" s="137"/>
      <c r="C273" s="137"/>
      <c r="D273" s="137"/>
      <c r="E273" s="137"/>
      <c r="I273" s="131"/>
      <c r="J273" s="131"/>
      <c r="K273" s="131"/>
      <c r="L273" s="131"/>
      <c r="U273" s="131"/>
      <c r="V273" s="131"/>
      <c r="W273" s="131"/>
      <c r="X273" s="131"/>
    </row>
    <row r="274" spans="2:24" x14ac:dyDescent="0.25">
      <c r="B274" s="137"/>
      <c r="C274" s="137"/>
      <c r="D274" s="137"/>
      <c r="E274" s="137"/>
      <c r="I274" s="131"/>
      <c r="J274" s="131"/>
      <c r="K274" s="131"/>
      <c r="L274" s="131"/>
      <c r="U274" s="131"/>
      <c r="V274" s="131"/>
      <c r="W274" s="131"/>
      <c r="X274" s="131"/>
    </row>
    <row r="275" spans="2:24" x14ac:dyDescent="0.25">
      <c r="B275" s="137"/>
      <c r="C275" s="137"/>
      <c r="D275" s="137"/>
      <c r="E275" s="137"/>
      <c r="I275" s="131"/>
      <c r="J275" s="131"/>
      <c r="K275" s="131"/>
      <c r="L275" s="131"/>
      <c r="U275" s="131"/>
      <c r="V275" s="131"/>
      <c r="W275" s="131"/>
      <c r="X275" s="131"/>
    </row>
    <row r="276" spans="2:24" x14ac:dyDescent="0.25">
      <c r="B276" s="137"/>
      <c r="C276" s="137"/>
      <c r="D276" s="137"/>
      <c r="E276" s="137"/>
      <c r="I276" s="131"/>
      <c r="J276" s="131"/>
      <c r="K276" s="131"/>
      <c r="L276" s="131"/>
      <c r="U276" s="131"/>
      <c r="V276" s="131"/>
      <c r="W276" s="131"/>
      <c r="X276" s="131"/>
    </row>
    <row r="277" spans="2:24" x14ac:dyDescent="0.25">
      <c r="B277" s="137"/>
      <c r="C277" s="137"/>
      <c r="D277" s="137"/>
      <c r="E277" s="137"/>
      <c r="I277" s="131"/>
      <c r="J277" s="131"/>
      <c r="K277" s="131"/>
      <c r="L277" s="131"/>
      <c r="U277" s="131"/>
      <c r="V277" s="131"/>
      <c r="W277" s="131"/>
      <c r="X277" s="131"/>
    </row>
    <row r="278" spans="2:24" x14ac:dyDescent="0.25">
      <c r="B278" s="137"/>
      <c r="C278" s="137"/>
      <c r="D278" s="137"/>
      <c r="E278" s="137"/>
      <c r="I278" s="131"/>
      <c r="J278" s="131"/>
      <c r="K278" s="131"/>
      <c r="L278" s="131"/>
      <c r="U278" s="131"/>
      <c r="V278" s="131"/>
      <c r="W278" s="131"/>
      <c r="X278" s="131"/>
    </row>
    <row r="279" spans="2:24" x14ac:dyDescent="0.25">
      <c r="B279" s="137"/>
      <c r="C279" s="137"/>
      <c r="D279" s="137"/>
      <c r="E279" s="137"/>
      <c r="I279" s="131"/>
      <c r="J279" s="131"/>
      <c r="K279" s="131"/>
      <c r="L279" s="131"/>
      <c r="U279" s="131"/>
      <c r="V279" s="131"/>
      <c r="W279" s="131"/>
      <c r="X279" s="131"/>
    </row>
    <row r="280" spans="2:24" x14ac:dyDescent="0.25">
      <c r="B280" s="137"/>
      <c r="C280" s="137"/>
      <c r="D280" s="137"/>
      <c r="E280" s="137"/>
      <c r="I280" s="131"/>
      <c r="J280" s="131"/>
      <c r="K280" s="131"/>
      <c r="L280" s="131"/>
      <c r="U280" s="131"/>
      <c r="V280" s="131"/>
      <c r="W280" s="131"/>
      <c r="X280" s="131"/>
    </row>
    <row r="281" spans="2:24" x14ac:dyDescent="0.25">
      <c r="B281" s="137"/>
      <c r="C281" s="137"/>
      <c r="D281" s="137"/>
      <c r="E281" s="137"/>
      <c r="I281" s="131"/>
      <c r="J281" s="131"/>
      <c r="K281" s="131"/>
      <c r="L281" s="131"/>
      <c r="U281" s="131"/>
      <c r="V281" s="131"/>
      <c r="W281" s="131"/>
      <c r="X281" s="131"/>
    </row>
    <row r="282" spans="2:24" x14ac:dyDescent="0.25">
      <c r="B282" s="137"/>
      <c r="C282" s="137"/>
      <c r="D282" s="137"/>
      <c r="E282" s="137"/>
      <c r="I282" s="131"/>
      <c r="J282" s="131"/>
      <c r="K282" s="131"/>
      <c r="L282" s="131"/>
      <c r="U282" s="131"/>
      <c r="V282" s="131"/>
      <c r="W282" s="131"/>
      <c r="X282" s="131"/>
    </row>
    <row r="283" spans="2:24" x14ac:dyDescent="0.25">
      <c r="B283" s="137"/>
      <c r="C283" s="137"/>
      <c r="D283" s="137"/>
      <c r="E283" s="137"/>
      <c r="I283" s="131"/>
      <c r="J283" s="131"/>
      <c r="K283" s="131"/>
      <c r="L283" s="131"/>
      <c r="U283" s="131"/>
      <c r="V283" s="131"/>
      <c r="W283" s="131"/>
      <c r="X283" s="131"/>
    </row>
    <row r="284" spans="2:24" x14ac:dyDescent="0.25">
      <c r="B284" s="137"/>
      <c r="C284" s="137"/>
      <c r="D284" s="137"/>
      <c r="E284" s="137"/>
      <c r="I284" s="131"/>
      <c r="J284" s="131"/>
      <c r="K284" s="131"/>
      <c r="L284" s="131"/>
      <c r="U284" s="131"/>
      <c r="V284" s="131"/>
      <c r="W284" s="131"/>
      <c r="X284" s="131"/>
    </row>
    <row r="285" spans="2:24" x14ac:dyDescent="0.25">
      <c r="B285" s="137"/>
      <c r="C285" s="137"/>
      <c r="D285" s="137"/>
      <c r="E285" s="137"/>
      <c r="I285" s="131"/>
      <c r="J285" s="131"/>
      <c r="K285" s="131"/>
      <c r="L285" s="131"/>
      <c r="U285" s="131"/>
      <c r="V285" s="131"/>
      <c r="W285" s="131"/>
      <c r="X285" s="131"/>
    </row>
    <row r="286" spans="2:24" x14ac:dyDescent="0.25">
      <c r="B286" s="137"/>
      <c r="C286" s="137"/>
      <c r="D286" s="137"/>
      <c r="E286" s="137"/>
      <c r="I286" s="131"/>
      <c r="J286" s="131"/>
      <c r="K286" s="131"/>
      <c r="L286" s="131"/>
      <c r="U286" s="131"/>
      <c r="V286" s="131"/>
      <c r="W286" s="131"/>
      <c r="X286" s="131"/>
    </row>
    <row r="287" spans="2:24" x14ac:dyDescent="0.25">
      <c r="B287" s="137"/>
      <c r="C287" s="137"/>
      <c r="D287" s="137"/>
      <c r="E287" s="137"/>
      <c r="I287" s="131"/>
      <c r="J287" s="131"/>
      <c r="K287" s="131"/>
      <c r="L287" s="131"/>
      <c r="U287" s="131"/>
      <c r="V287" s="131"/>
      <c r="W287" s="131"/>
      <c r="X287" s="131"/>
    </row>
    <row r="288" spans="2:24" x14ac:dyDescent="0.25">
      <c r="B288" s="137"/>
      <c r="C288" s="137"/>
      <c r="D288" s="137"/>
      <c r="E288" s="137"/>
      <c r="I288" s="131"/>
      <c r="J288" s="131"/>
      <c r="K288" s="131"/>
      <c r="L288" s="131"/>
      <c r="U288" s="131"/>
      <c r="V288" s="131"/>
      <c r="W288" s="131"/>
      <c r="X288" s="131"/>
    </row>
    <row r="289" spans="2:24" x14ac:dyDescent="0.25">
      <c r="B289" s="137"/>
      <c r="C289" s="137"/>
      <c r="D289" s="137"/>
      <c r="E289" s="137"/>
      <c r="I289" s="131"/>
      <c r="J289" s="131"/>
      <c r="K289" s="131"/>
      <c r="L289" s="131"/>
      <c r="U289" s="131"/>
      <c r="V289" s="131"/>
      <c r="W289" s="131"/>
      <c r="X289" s="131"/>
    </row>
    <row r="290" spans="2:24" x14ac:dyDescent="0.25">
      <c r="B290" s="137"/>
      <c r="C290" s="137"/>
      <c r="D290" s="137"/>
      <c r="E290" s="137"/>
      <c r="I290" s="131"/>
      <c r="J290" s="131"/>
      <c r="K290" s="131"/>
      <c r="L290" s="131"/>
      <c r="U290" s="131"/>
      <c r="V290" s="131"/>
      <c r="W290" s="131"/>
      <c r="X290" s="131"/>
    </row>
    <row r="291" spans="2:24" x14ac:dyDescent="0.25">
      <c r="B291" s="137"/>
      <c r="C291" s="137"/>
      <c r="D291" s="137"/>
      <c r="E291" s="137"/>
      <c r="I291" s="131"/>
      <c r="J291" s="131"/>
      <c r="K291" s="131"/>
      <c r="L291" s="131"/>
      <c r="U291" s="131"/>
      <c r="V291" s="131"/>
      <c r="W291" s="131"/>
      <c r="X291" s="131"/>
    </row>
    <row r="292" spans="2:24" x14ac:dyDescent="0.25">
      <c r="B292" s="137"/>
      <c r="C292" s="137"/>
      <c r="D292" s="137"/>
      <c r="E292" s="137"/>
      <c r="I292" s="131"/>
      <c r="J292" s="131"/>
      <c r="K292" s="131"/>
      <c r="L292" s="131"/>
      <c r="U292" s="131"/>
      <c r="V292" s="131"/>
      <c r="W292" s="131"/>
      <c r="X292" s="131"/>
    </row>
    <row r="293" spans="2:24" x14ac:dyDescent="0.25">
      <c r="B293" s="137"/>
      <c r="C293" s="137"/>
      <c r="D293" s="137"/>
      <c r="E293" s="137"/>
      <c r="I293" s="131"/>
      <c r="J293" s="131"/>
      <c r="K293" s="131"/>
      <c r="L293" s="131"/>
      <c r="U293" s="131"/>
      <c r="V293" s="131"/>
      <c r="W293" s="131"/>
      <c r="X293" s="131"/>
    </row>
    <row r="294" spans="2:24" x14ac:dyDescent="0.25">
      <c r="B294" s="137"/>
      <c r="C294" s="137"/>
      <c r="D294" s="137"/>
      <c r="E294" s="137"/>
      <c r="I294" s="131"/>
      <c r="J294" s="131"/>
      <c r="K294" s="131"/>
      <c r="L294" s="131"/>
      <c r="U294" s="131"/>
      <c r="V294" s="131"/>
      <c r="W294" s="131"/>
      <c r="X294" s="131"/>
    </row>
    <row r="295" spans="2:24" x14ac:dyDescent="0.25">
      <c r="B295" s="137"/>
      <c r="C295" s="137"/>
      <c r="D295" s="137"/>
      <c r="E295" s="137"/>
      <c r="I295" s="131"/>
      <c r="J295" s="131"/>
      <c r="K295" s="131"/>
      <c r="L295" s="131"/>
      <c r="U295" s="131"/>
      <c r="V295" s="131"/>
      <c r="W295" s="131"/>
      <c r="X295" s="131"/>
    </row>
    <row r="296" spans="2:24" x14ac:dyDescent="0.25">
      <c r="B296" s="137"/>
      <c r="C296" s="137"/>
      <c r="D296" s="137"/>
      <c r="E296" s="137"/>
      <c r="I296" s="131"/>
      <c r="J296" s="131"/>
      <c r="K296" s="131"/>
      <c r="L296" s="131"/>
      <c r="U296" s="131"/>
      <c r="V296" s="131"/>
      <c r="W296" s="131"/>
      <c r="X296" s="131"/>
    </row>
    <row r="297" spans="2:24" x14ac:dyDescent="0.25">
      <c r="B297" s="137"/>
      <c r="C297" s="137"/>
      <c r="D297" s="137"/>
      <c r="E297" s="137"/>
      <c r="I297" s="131"/>
      <c r="J297" s="131"/>
      <c r="K297" s="131"/>
      <c r="L297" s="131"/>
      <c r="U297" s="131"/>
      <c r="V297" s="131"/>
      <c r="W297" s="131"/>
      <c r="X297" s="131"/>
    </row>
    <row r="298" spans="2:24" x14ac:dyDescent="0.25">
      <c r="B298" s="137"/>
      <c r="C298" s="137"/>
      <c r="D298" s="137"/>
      <c r="E298" s="137"/>
      <c r="I298" s="131"/>
      <c r="J298" s="131"/>
      <c r="K298" s="131"/>
      <c r="L298" s="131"/>
      <c r="U298" s="131"/>
      <c r="V298" s="131"/>
      <c r="W298" s="131"/>
      <c r="X298" s="131"/>
    </row>
    <row r="299" spans="2:24" x14ac:dyDescent="0.25">
      <c r="B299" s="137"/>
      <c r="C299" s="137"/>
      <c r="D299" s="137"/>
      <c r="E299" s="137"/>
      <c r="I299" s="131"/>
      <c r="J299" s="131"/>
      <c r="K299" s="131"/>
      <c r="L299" s="131"/>
      <c r="U299" s="131"/>
      <c r="V299" s="131"/>
      <c r="W299" s="131"/>
      <c r="X299" s="131"/>
    </row>
    <row r="300" spans="2:24" x14ac:dyDescent="0.25">
      <c r="B300" s="137"/>
      <c r="C300" s="137"/>
      <c r="D300" s="137"/>
      <c r="E300" s="137"/>
      <c r="I300" s="131"/>
      <c r="J300" s="131"/>
      <c r="K300" s="131"/>
      <c r="L300" s="131"/>
      <c r="U300" s="131"/>
      <c r="V300" s="131"/>
      <c r="W300" s="131"/>
      <c r="X300" s="131"/>
    </row>
    <row r="301" spans="2:24" x14ac:dyDescent="0.25">
      <c r="B301" s="137"/>
      <c r="C301" s="137"/>
      <c r="D301" s="137"/>
      <c r="E301" s="137"/>
      <c r="I301" s="131"/>
      <c r="J301" s="131"/>
      <c r="K301" s="131"/>
      <c r="L301" s="131"/>
      <c r="U301" s="131"/>
      <c r="V301" s="131"/>
      <c r="W301" s="131"/>
      <c r="X301" s="131"/>
    </row>
    <row r="302" spans="2:24" x14ac:dyDescent="0.25">
      <c r="B302" s="137"/>
      <c r="C302" s="137"/>
      <c r="D302" s="137"/>
      <c r="E302" s="137"/>
      <c r="I302" s="131"/>
      <c r="J302" s="131"/>
      <c r="K302" s="131"/>
      <c r="L302" s="131"/>
      <c r="U302" s="131"/>
      <c r="V302" s="131"/>
      <c r="W302" s="131"/>
      <c r="X302" s="131"/>
    </row>
    <row r="303" spans="2:24" x14ac:dyDescent="0.25">
      <c r="B303" s="137"/>
      <c r="C303" s="137"/>
      <c r="D303" s="137"/>
      <c r="E303" s="137"/>
      <c r="I303" s="131"/>
      <c r="J303" s="131"/>
      <c r="K303" s="131"/>
      <c r="L303" s="131"/>
      <c r="U303" s="131"/>
      <c r="V303" s="131"/>
      <c r="W303" s="131"/>
      <c r="X303" s="131"/>
    </row>
    <row r="304" spans="2:24" x14ac:dyDescent="0.25">
      <c r="B304" s="137"/>
      <c r="C304" s="137"/>
      <c r="D304" s="137"/>
      <c r="E304" s="137"/>
      <c r="I304" s="131"/>
      <c r="J304" s="131"/>
      <c r="K304" s="131"/>
      <c r="L304" s="131"/>
      <c r="U304" s="131"/>
      <c r="V304" s="131"/>
      <c r="W304" s="131"/>
      <c r="X304" s="131"/>
    </row>
    <row r="305" spans="2:24" x14ac:dyDescent="0.25">
      <c r="B305" s="137"/>
      <c r="C305" s="137"/>
      <c r="D305" s="137"/>
      <c r="E305" s="137"/>
      <c r="I305" s="131"/>
      <c r="J305" s="131"/>
      <c r="K305" s="131"/>
      <c r="L305" s="131"/>
      <c r="U305" s="131"/>
      <c r="V305" s="131"/>
      <c r="W305" s="131"/>
      <c r="X305" s="131"/>
    </row>
    <row r="306" spans="2:24" x14ac:dyDescent="0.25">
      <c r="B306" s="137"/>
      <c r="C306" s="137"/>
      <c r="D306" s="137"/>
      <c r="E306" s="137"/>
      <c r="I306" s="131"/>
      <c r="J306" s="131"/>
      <c r="K306" s="131"/>
      <c r="L306" s="131"/>
      <c r="U306" s="131"/>
      <c r="V306" s="131"/>
      <c r="W306" s="131"/>
      <c r="X306" s="131"/>
    </row>
    <row r="307" spans="2:24" x14ac:dyDescent="0.25">
      <c r="B307" s="137"/>
      <c r="C307" s="137"/>
      <c r="D307" s="137"/>
      <c r="E307" s="137"/>
      <c r="I307" s="131"/>
      <c r="J307" s="131"/>
      <c r="K307" s="131"/>
      <c r="L307" s="131"/>
      <c r="U307" s="131"/>
      <c r="V307" s="131"/>
      <c r="W307" s="131"/>
      <c r="X307" s="131"/>
    </row>
    <row r="308" spans="2:24" x14ac:dyDescent="0.25">
      <c r="B308" s="137"/>
      <c r="C308" s="137"/>
      <c r="D308" s="137"/>
      <c r="E308" s="137"/>
      <c r="I308" s="131"/>
      <c r="J308" s="131"/>
      <c r="K308" s="131"/>
      <c r="L308" s="131"/>
      <c r="U308" s="131"/>
      <c r="V308" s="131"/>
      <c r="W308" s="131"/>
      <c r="X308" s="131"/>
    </row>
    <row r="309" spans="2:24" x14ac:dyDescent="0.25">
      <c r="B309" s="137"/>
      <c r="C309" s="137"/>
      <c r="D309" s="137"/>
      <c r="E309" s="137"/>
      <c r="I309" s="131"/>
      <c r="J309" s="131"/>
      <c r="K309" s="131"/>
      <c r="L309" s="131"/>
      <c r="U309" s="131"/>
      <c r="V309" s="131"/>
      <c r="W309" s="131"/>
      <c r="X309" s="131"/>
    </row>
    <row r="310" spans="2:24" x14ac:dyDescent="0.25">
      <c r="B310" s="137"/>
      <c r="C310" s="137"/>
      <c r="D310" s="137"/>
      <c r="E310" s="137"/>
      <c r="I310" s="131"/>
      <c r="J310" s="131"/>
      <c r="K310" s="131"/>
      <c r="L310" s="131"/>
      <c r="U310" s="131"/>
      <c r="V310" s="131"/>
      <c r="W310" s="131"/>
      <c r="X310" s="131"/>
    </row>
    <row r="311" spans="2:24" x14ac:dyDescent="0.25">
      <c r="B311" s="137"/>
      <c r="C311" s="137"/>
      <c r="D311" s="137"/>
      <c r="E311" s="137"/>
      <c r="I311" s="131"/>
      <c r="J311" s="131"/>
      <c r="K311" s="131"/>
      <c r="L311" s="131"/>
      <c r="U311" s="131"/>
      <c r="V311" s="131"/>
      <c r="W311" s="131"/>
      <c r="X311" s="131"/>
    </row>
    <row r="312" spans="2:24" x14ac:dyDescent="0.25">
      <c r="B312" s="137"/>
      <c r="C312" s="137"/>
      <c r="D312" s="137"/>
      <c r="E312" s="137"/>
      <c r="I312" s="131"/>
      <c r="J312" s="131"/>
      <c r="K312" s="131"/>
      <c r="L312" s="131"/>
      <c r="U312" s="131"/>
      <c r="V312" s="131"/>
      <c r="W312" s="131"/>
      <c r="X312" s="131"/>
    </row>
    <row r="313" spans="2:24" x14ac:dyDescent="0.25">
      <c r="B313" s="137"/>
      <c r="C313" s="137"/>
      <c r="D313" s="137"/>
      <c r="E313" s="137"/>
      <c r="I313" s="131"/>
      <c r="J313" s="131"/>
      <c r="K313" s="131"/>
      <c r="L313" s="131"/>
      <c r="U313" s="131"/>
      <c r="V313" s="131"/>
      <c r="W313" s="131"/>
      <c r="X313" s="131"/>
    </row>
    <row r="314" spans="2:24" x14ac:dyDescent="0.25">
      <c r="B314" s="137"/>
      <c r="C314" s="137"/>
      <c r="D314" s="137"/>
      <c r="E314" s="137"/>
      <c r="I314" s="131"/>
      <c r="J314" s="131"/>
      <c r="K314" s="131"/>
      <c r="L314" s="131"/>
      <c r="U314" s="131"/>
      <c r="V314" s="131"/>
      <c r="W314" s="131"/>
      <c r="X314" s="131"/>
    </row>
    <row r="315" spans="2:24" x14ac:dyDescent="0.25">
      <c r="B315" s="137"/>
      <c r="C315" s="137"/>
      <c r="D315" s="137"/>
      <c r="E315" s="137"/>
      <c r="I315" s="131"/>
      <c r="J315" s="131"/>
      <c r="K315" s="131"/>
      <c r="L315" s="131"/>
      <c r="U315" s="131"/>
      <c r="V315" s="131"/>
      <c r="W315" s="131"/>
      <c r="X315" s="131"/>
    </row>
    <row r="316" spans="2:24" x14ac:dyDescent="0.25">
      <c r="B316" s="137"/>
      <c r="C316" s="137"/>
      <c r="D316" s="137"/>
      <c r="E316" s="137"/>
      <c r="I316" s="131"/>
      <c r="J316" s="131"/>
      <c r="K316" s="131"/>
      <c r="L316" s="131"/>
      <c r="U316" s="131"/>
      <c r="V316" s="131"/>
      <c r="W316" s="131"/>
      <c r="X316" s="131"/>
    </row>
    <row r="317" spans="2:24" x14ac:dyDescent="0.25">
      <c r="B317" s="137"/>
      <c r="C317" s="137"/>
      <c r="D317" s="137"/>
      <c r="E317" s="137"/>
      <c r="I317" s="131"/>
      <c r="J317" s="131"/>
      <c r="K317" s="131"/>
      <c r="L317" s="131"/>
      <c r="U317" s="131"/>
      <c r="V317" s="131"/>
      <c r="W317" s="131"/>
      <c r="X317" s="131"/>
    </row>
    <row r="318" spans="2:24" x14ac:dyDescent="0.25">
      <c r="B318" s="137"/>
      <c r="C318" s="137"/>
      <c r="D318" s="137"/>
      <c r="E318" s="137"/>
      <c r="I318" s="131"/>
      <c r="J318" s="131"/>
      <c r="K318" s="131"/>
      <c r="L318" s="131"/>
      <c r="U318" s="131"/>
      <c r="V318" s="131"/>
      <c r="W318" s="131"/>
      <c r="X318" s="131"/>
    </row>
    <row r="319" spans="2:24" x14ac:dyDescent="0.25">
      <c r="B319" s="137"/>
      <c r="C319" s="137"/>
      <c r="D319" s="137"/>
      <c r="E319" s="137"/>
      <c r="I319" s="131"/>
      <c r="J319" s="131"/>
      <c r="K319" s="131"/>
      <c r="L319" s="131"/>
      <c r="U319" s="131"/>
      <c r="V319" s="131"/>
      <c r="W319" s="131"/>
      <c r="X319" s="131"/>
    </row>
    <row r="320" spans="2:24" x14ac:dyDescent="0.25">
      <c r="B320" s="137"/>
      <c r="C320" s="137"/>
      <c r="D320" s="137"/>
      <c r="E320" s="137"/>
      <c r="I320" s="131"/>
      <c r="J320" s="131"/>
      <c r="K320" s="131"/>
      <c r="L320" s="131"/>
      <c r="U320" s="131"/>
      <c r="V320" s="131"/>
      <c r="W320" s="131"/>
      <c r="X320" s="131"/>
    </row>
    <row r="321" spans="2:24" x14ac:dyDescent="0.25">
      <c r="B321" s="137"/>
      <c r="C321" s="137"/>
      <c r="D321" s="137"/>
      <c r="E321" s="137"/>
      <c r="I321" s="131"/>
      <c r="J321" s="131"/>
      <c r="K321" s="131"/>
      <c r="L321" s="131"/>
      <c r="U321" s="131"/>
      <c r="V321" s="131"/>
      <c r="W321" s="131"/>
      <c r="X321" s="131"/>
    </row>
    <row r="322" spans="2:24" x14ac:dyDescent="0.25">
      <c r="B322" s="137"/>
      <c r="C322" s="137"/>
      <c r="D322" s="137"/>
      <c r="E322" s="137"/>
      <c r="I322" s="131"/>
      <c r="J322" s="131"/>
      <c r="K322" s="131"/>
      <c r="L322" s="131"/>
      <c r="U322" s="131"/>
      <c r="V322" s="131"/>
      <c r="W322" s="131"/>
      <c r="X322" s="131"/>
    </row>
    <row r="323" spans="2:24" x14ac:dyDescent="0.25">
      <c r="B323" s="137"/>
      <c r="C323" s="137"/>
      <c r="D323" s="137"/>
      <c r="E323" s="137"/>
      <c r="I323" s="131"/>
      <c r="J323" s="131"/>
      <c r="K323" s="131"/>
      <c r="L323" s="131"/>
      <c r="U323" s="131"/>
      <c r="V323" s="131"/>
      <c r="W323" s="131"/>
      <c r="X323" s="131"/>
    </row>
    <row r="324" spans="2:24" x14ac:dyDescent="0.25">
      <c r="B324" s="137"/>
      <c r="C324" s="137"/>
      <c r="D324" s="137"/>
      <c r="E324" s="137"/>
      <c r="I324" s="131"/>
      <c r="J324" s="131"/>
      <c r="K324" s="131"/>
      <c r="L324" s="131"/>
      <c r="U324" s="131"/>
      <c r="V324" s="131"/>
      <c r="W324" s="131"/>
      <c r="X324" s="131"/>
    </row>
    <row r="325" spans="2:24" x14ac:dyDescent="0.25">
      <c r="B325" s="137"/>
      <c r="C325" s="137"/>
      <c r="D325" s="137"/>
      <c r="E325" s="137"/>
      <c r="I325" s="131"/>
      <c r="J325" s="131"/>
      <c r="K325" s="131"/>
      <c r="L325" s="131"/>
      <c r="U325" s="131"/>
      <c r="V325" s="131"/>
      <c r="W325" s="131"/>
      <c r="X325" s="131"/>
    </row>
    <row r="326" spans="2:24" x14ac:dyDescent="0.25">
      <c r="B326" s="137"/>
      <c r="C326" s="137"/>
      <c r="D326" s="137"/>
      <c r="E326" s="137"/>
      <c r="I326" s="131"/>
      <c r="J326" s="131"/>
      <c r="K326" s="131"/>
      <c r="L326" s="131"/>
      <c r="U326" s="131"/>
      <c r="V326" s="131"/>
      <c r="W326" s="131"/>
      <c r="X326" s="131"/>
    </row>
    <row r="327" spans="2:24" x14ac:dyDescent="0.25">
      <c r="B327" s="137"/>
      <c r="C327" s="137"/>
      <c r="D327" s="137"/>
      <c r="E327" s="137"/>
      <c r="I327" s="131"/>
      <c r="J327" s="131"/>
      <c r="K327" s="131"/>
      <c r="L327" s="131"/>
      <c r="U327" s="131"/>
      <c r="V327" s="131"/>
      <c r="W327" s="131"/>
      <c r="X327" s="131"/>
    </row>
    <row r="328" spans="2:24" x14ac:dyDescent="0.25">
      <c r="B328" s="137"/>
      <c r="C328" s="137"/>
      <c r="D328" s="137"/>
      <c r="E328" s="137"/>
      <c r="I328" s="131"/>
      <c r="J328" s="131"/>
      <c r="K328" s="131"/>
      <c r="L328" s="131"/>
      <c r="U328" s="131"/>
      <c r="V328" s="131"/>
      <c r="W328" s="131"/>
      <c r="X328" s="131"/>
    </row>
    <row r="329" spans="2:24" x14ac:dyDescent="0.25">
      <c r="B329" s="137"/>
      <c r="C329" s="137"/>
      <c r="D329" s="137"/>
      <c r="E329" s="137"/>
      <c r="I329" s="131"/>
      <c r="J329" s="131"/>
      <c r="K329" s="131"/>
      <c r="L329" s="131"/>
      <c r="U329" s="131"/>
      <c r="V329" s="131"/>
      <c r="W329" s="131"/>
      <c r="X329" s="131"/>
    </row>
    <row r="330" spans="2:24" x14ac:dyDescent="0.25">
      <c r="B330" s="137"/>
      <c r="C330" s="137"/>
      <c r="D330" s="137"/>
      <c r="E330" s="137"/>
      <c r="I330" s="131"/>
      <c r="J330" s="131"/>
      <c r="K330" s="131"/>
      <c r="L330" s="131"/>
      <c r="U330" s="131"/>
      <c r="V330" s="131"/>
      <c r="W330" s="131"/>
      <c r="X330" s="131"/>
    </row>
    <row r="331" spans="2:24" x14ac:dyDescent="0.25">
      <c r="B331" s="137"/>
      <c r="C331" s="137"/>
      <c r="D331" s="137"/>
      <c r="E331" s="137"/>
      <c r="I331" s="131"/>
      <c r="J331" s="131"/>
      <c r="K331" s="131"/>
      <c r="L331" s="131"/>
      <c r="U331" s="131"/>
      <c r="V331" s="131"/>
      <c r="W331" s="131"/>
      <c r="X331" s="131"/>
    </row>
    <row r="332" spans="2:24" x14ac:dyDescent="0.25">
      <c r="B332" s="137"/>
      <c r="C332" s="137"/>
      <c r="D332" s="137"/>
      <c r="E332" s="137"/>
      <c r="I332" s="131"/>
      <c r="J332" s="131"/>
      <c r="K332" s="131"/>
      <c r="L332" s="131"/>
      <c r="U332" s="131"/>
      <c r="V332" s="131"/>
      <c r="W332" s="131"/>
      <c r="X332" s="131"/>
    </row>
    <row r="333" spans="2:24" x14ac:dyDescent="0.25">
      <c r="B333" s="137"/>
      <c r="C333" s="137"/>
      <c r="D333" s="137"/>
      <c r="E333" s="137"/>
      <c r="I333" s="131"/>
      <c r="J333" s="131"/>
      <c r="K333" s="131"/>
      <c r="L333" s="131"/>
      <c r="U333" s="131"/>
      <c r="V333" s="131"/>
      <c r="W333" s="131"/>
      <c r="X333" s="131"/>
    </row>
    <row r="334" spans="2:24" x14ac:dyDescent="0.25">
      <c r="B334" s="137"/>
      <c r="C334" s="137"/>
      <c r="D334" s="137"/>
      <c r="E334" s="137"/>
      <c r="I334" s="131"/>
      <c r="J334" s="131"/>
      <c r="K334" s="131"/>
      <c r="L334" s="131"/>
      <c r="U334" s="131"/>
      <c r="V334" s="131"/>
      <c r="W334" s="131"/>
      <c r="X334" s="131"/>
    </row>
    <row r="335" spans="2:24" x14ac:dyDescent="0.25">
      <c r="B335" s="137"/>
      <c r="C335" s="137"/>
      <c r="D335" s="137"/>
      <c r="E335" s="137"/>
      <c r="I335" s="131"/>
      <c r="J335" s="131"/>
      <c r="K335" s="131"/>
      <c r="L335" s="131"/>
      <c r="U335" s="131"/>
      <c r="V335" s="131"/>
      <c r="W335" s="131"/>
      <c r="X335" s="131"/>
    </row>
    <row r="336" spans="2:24" x14ac:dyDescent="0.25">
      <c r="B336" s="137"/>
      <c r="C336" s="137"/>
      <c r="D336" s="137"/>
      <c r="E336" s="137"/>
      <c r="I336" s="131"/>
      <c r="J336" s="131"/>
      <c r="K336" s="131"/>
      <c r="L336" s="131"/>
      <c r="U336" s="131"/>
      <c r="V336" s="131"/>
      <c r="W336" s="131"/>
      <c r="X336" s="131"/>
    </row>
    <row r="337" spans="2:24" x14ac:dyDescent="0.25">
      <c r="B337" s="137"/>
      <c r="C337" s="137"/>
      <c r="D337" s="137"/>
      <c r="E337" s="137"/>
      <c r="I337" s="131"/>
      <c r="J337" s="131"/>
      <c r="K337" s="131"/>
      <c r="L337" s="131"/>
      <c r="U337" s="131"/>
      <c r="V337" s="131"/>
      <c r="W337" s="131"/>
      <c r="X337" s="131"/>
    </row>
    <row r="338" spans="2:24" x14ac:dyDescent="0.25">
      <c r="B338" s="137"/>
      <c r="C338" s="137"/>
      <c r="D338" s="137"/>
      <c r="E338" s="137"/>
      <c r="I338" s="131"/>
      <c r="J338" s="131"/>
      <c r="K338" s="131"/>
      <c r="L338" s="131"/>
      <c r="U338" s="131"/>
      <c r="V338" s="131"/>
      <c r="W338" s="131"/>
      <c r="X338" s="131"/>
    </row>
    <row r="339" spans="2:24" x14ac:dyDescent="0.25">
      <c r="B339" s="137"/>
      <c r="C339" s="137"/>
      <c r="D339" s="137"/>
      <c r="E339" s="137"/>
      <c r="I339" s="131"/>
      <c r="J339" s="131"/>
      <c r="K339" s="131"/>
      <c r="L339" s="131"/>
      <c r="U339" s="131"/>
      <c r="V339" s="131"/>
      <c r="W339" s="131"/>
      <c r="X339" s="131"/>
    </row>
    <row r="340" spans="2:24" x14ac:dyDescent="0.25">
      <c r="B340" s="137"/>
      <c r="C340" s="137"/>
      <c r="D340" s="137"/>
      <c r="E340" s="137"/>
      <c r="I340" s="131"/>
      <c r="J340" s="131"/>
      <c r="K340" s="131"/>
      <c r="L340" s="131"/>
      <c r="U340" s="131"/>
      <c r="V340" s="131"/>
      <c r="W340" s="131"/>
      <c r="X340" s="131"/>
    </row>
    <row r="341" spans="2:24" x14ac:dyDescent="0.25">
      <c r="B341" s="137"/>
      <c r="C341" s="137"/>
      <c r="D341" s="137"/>
      <c r="E341" s="137"/>
      <c r="I341" s="131"/>
      <c r="J341" s="131"/>
      <c r="K341" s="131"/>
      <c r="L341" s="131"/>
      <c r="U341" s="131"/>
      <c r="V341" s="131"/>
      <c r="W341" s="131"/>
      <c r="X341" s="131"/>
    </row>
    <row r="342" spans="2:24" x14ac:dyDescent="0.25">
      <c r="B342" s="137"/>
      <c r="C342" s="137"/>
      <c r="D342" s="137"/>
      <c r="E342" s="137"/>
      <c r="I342" s="131"/>
      <c r="J342" s="131"/>
      <c r="K342" s="131"/>
      <c r="L342" s="131"/>
      <c r="U342" s="131"/>
      <c r="V342" s="131"/>
      <c r="W342" s="131"/>
      <c r="X342" s="131"/>
    </row>
    <row r="343" spans="2:24" x14ac:dyDescent="0.25">
      <c r="B343" s="137"/>
      <c r="C343" s="137"/>
      <c r="D343" s="137"/>
      <c r="E343" s="137"/>
      <c r="I343" s="131"/>
      <c r="J343" s="131"/>
      <c r="K343" s="131"/>
      <c r="L343" s="131"/>
      <c r="U343" s="131"/>
      <c r="V343" s="131"/>
      <c r="W343" s="131"/>
      <c r="X343" s="131"/>
    </row>
    <row r="344" spans="2:24" x14ac:dyDescent="0.25">
      <c r="B344" s="137"/>
      <c r="C344" s="137"/>
      <c r="D344" s="137"/>
      <c r="E344" s="137"/>
      <c r="I344" s="131"/>
      <c r="J344" s="131"/>
      <c r="K344" s="131"/>
      <c r="L344" s="131"/>
      <c r="U344" s="131"/>
      <c r="V344" s="131"/>
      <c r="W344" s="131"/>
      <c r="X344" s="131"/>
    </row>
    <row r="345" spans="2:24" x14ac:dyDescent="0.25">
      <c r="B345" s="137"/>
      <c r="C345" s="137"/>
      <c r="D345" s="137"/>
      <c r="E345" s="137"/>
      <c r="I345" s="131"/>
      <c r="J345" s="131"/>
      <c r="K345" s="131"/>
      <c r="L345" s="131"/>
      <c r="U345" s="131"/>
      <c r="V345" s="131"/>
      <c r="W345" s="131"/>
      <c r="X345" s="131"/>
    </row>
    <row r="346" spans="2:24" x14ac:dyDescent="0.25">
      <c r="B346" s="137"/>
      <c r="C346" s="137"/>
      <c r="D346" s="137"/>
      <c r="E346" s="137"/>
      <c r="I346" s="131"/>
      <c r="J346" s="131"/>
      <c r="K346" s="131"/>
      <c r="L346" s="131"/>
      <c r="U346" s="131"/>
      <c r="V346" s="131"/>
      <c r="W346" s="131"/>
      <c r="X346" s="131"/>
    </row>
    <row r="347" spans="2:24" x14ac:dyDescent="0.25">
      <c r="B347" s="137"/>
      <c r="C347" s="137"/>
      <c r="D347" s="137"/>
      <c r="E347" s="137"/>
      <c r="I347" s="131"/>
      <c r="J347" s="131"/>
      <c r="K347" s="131"/>
      <c r="L347" s="131"/>
      <c r="U347" s="131"/>
      <c r="V347" s="131"/>
      <c r="W347" s="131"/>
      <c r="X347" s="131"/>
    </row>
    <row r="348" spans="2:24" x14ac:dyDescent="0.25">
      <c r="B348" s="137"/>
      <c r="C348" s="137"/>
      <c r="D348" s="137"/>
      <c r="E348" s="137"/>
      <c r="I348" s="131"/>
      <c r="J348" s="131"/>
      <c r="K348" s="131"/>
      <c r="L348" s="131"/>
      <c r="U348" s="131"/>
      <c r="V348" s="131"/>
      <c r="W348" s="131"/>
      <c r="X348" s="131"/>
    </row>
    <row r="349" spans="2:24" x14ac:dyDescent="0.25">
      <c r="B349" s="137"/>
      <c r="C349" s="137"/>
      <c r="D349" s="137"/>
      <c r="E349" s="137"/>
      <c r="I349" s="131"/>
      <c r="J349" s="131"/>
      <c r="K349" s="131"/>
      <c r="L349" s="131"/>
      <c r="U349" s="131"/>
      <c r="V349" s="131"/>
      <c r="W349" s="131"/>
      <c r="X349" s="131"/>
    </row>
    <row r="350" spans="2:24" x14ac:dyDescent="0.25">
      <c r="B350" s="137"/>
      <c r="C350" s="137"/>
      <c r="D350" s="137"/>
      <c r="E350" s="137"/>
      <c r="I350" s="131"/>
      <c r="J350" s="131"/>
      <c r="K350" s="131"/>
      <c r="L350" s="131"/>
      <c r="U350" s="131"/>
      <c r="V350" s="131"/>
      <c r="W350" s="131"/>
      <c r="X350" s="131"/>
    </row>
    <row r="351" spans="2:24" x14ac:dyDescent="0.25">
      <c r="B351" s="137"/>
      <c r="C351" s="137"/>
      <c r="D351" s="137"/>
      <c r="E351" s="137"/>
      <c r="I351" s="131"/>
      <c r="J351" s="131"/>
      <c r="K351" s="131"/>
      <c r="L351" s="131"/>
      <c r="U351" s="131"/>
      <c r="V351" s="131"/>
      <c r="W351" s="131"/>
      <c r="X351" s="131"/>
    </row>
    <row r="352" spans="2:24" x14ac:dyDescent="0.25">
      <c r="B352" s="137"/>
      <c r="C352" s="137"/>
      <c r="D352" s="137"/>
      <c r="E352" s="137"/>
      <c r="I352" s="131"/>
      <c r="J352" s="131"/>
      <c r="K352" s="131"/>
      <c r="L352" s="131"/>
      <c r="U352" s="131"/>
      <c r="V352" s="131"/>
      <c r="W352" s="131"/>
      <c r="X352" s="131"/>
    </row>
    <row r="353" spans="2:24" x14ac:dyDescent="0.25">
      <c r="B353" s="137"/>
      <c r="C353" s="137"/>
      <c r="D353" s="137"/>
      <c r="E353" s="137"/>
      <c r="I353" s="131"/>
      <c r="J353" s="131"/>
      <c r="K353" s="131"/>
      <c r="L353" s="131"/>
      <c r="U353" s="131"/>
      <c r="V353" s="131"/>
      <c r="W353" s="131"/>
      <c r="X353" s="131"/>
    </row>
    <row r="354" spans="2:24" x14ac:dyDescent="0.25">
      <c r="B354" s="137"/>
      <c r="C354" s="137"/>
      <c r="D354" s="137"/>
      <c r="E354" s="137"/>
      <c r="I354" s="131"/>
      <c r="J354" s="131"/>
      <c r="K354" s="131"/>
      <c r="L354" s="131"/>
      <c r="U354" s="131"/>
      <c r="V354" s="131"/>
      <c r="W354" s="131"/>
      <c r="X354" s="131"/>
    </row>
    <row r="355" spans="2:24" x14ac:dyDescent="0.25">
      <c r="B355" s="137"/>
      <c r="C355" s="137"/>
      <c r="D355" s="137"/>
      <c r="E355" s="137"/>
      <c r="I355" s="131"/>
      <c r="J355" s="131"/>
      <c r="K355" s="131"/>
      <c r="L355" s="131"/>
      <c r="U355" s="131"/>
      <c r="V355" s="131"/>
      <c r="W355" s="131"/>
      <c r="X355" s="131"/>
    </row>
    <row r="356" spans="2:24" x14ac:dyDescent="0.25">
      <c r="B356" s="137"/>
      <c r="C356" s="137"/>
      <c r="D356" s="137"/>
      <c r="E356" s="137"/>
      <c r="I356" s="131"/>
      <c r="J356" s="131"/>
      <c r="K356" s="131"/>
      <c r="L356" s="131"/>
      <c r="U356" s="131"/>
      <c r="V356" s="131"/>
      <c r="W356" s="131"/>
      <c r="X356" s="131"/>
    </row>
    <row r="357" spans="2:24" x14ac:dyDescent="0.25">
      <c r="B357" s="137"/>
      <c r="C357" s="137"/>
      <c r="D357" s="137"/>
      <c r="E357" s="137"/>
      <c r="I357" s="131"/>
      <c r="J357" s="131"/>
      <c r="K357" s="131"/>
      <c r="L357" s="131"/>
      <c r="U357" s="131"/>
      <c r="V357" s="131"/>
      <c r="W357" s="131"/>
      <c r="X357" s="131"/>
    </row>
    <row r="358" spans="2:24" x14ac:dyDescent="0.25">
      <c r="B358" s="137"/>
      <c r="C358" s="137"/>
      <c r="D358" s="137"/>
      <c r="E358" s="137"/>
      <c r="I358" s="131"/>
      <c r="J358" s="131"/>
      <c r="K358" s="131"/>
      <c r="L358" s="131"/>
      <c r="U358" s="131"/>
      <c r="V358" s="131"/>
      <c r="W358" s="131"/>
      <c r="X358" s="131"/>
    </row>
    <row r="359" spans="2:24" x14ac:dyDescent="0.25">
      <c r="B359" s="137"/>
      <c r="C359" s="137"/>
      <c r="D359" s="137"/>
      <c r="E359" s="137"/>
      <c r="I359" s="131"/>
      <c r="J359" s="131"/>
      <c r="K359" s="131"/>
      <c r="L359" s="131"/>
      <c r="U359" s="131"/>
      <c r="V359" s="131"/>
      <c r="W359" s="131"/>
      <c r="X359" s="131"/>
    </row>
    <row r="360" spans="2:24" x14ac:dyDescent="0.25">
      <c r="B360" s="137"/>
      <c r="C360" s="137"/>
      <c r="D360" s="137"/>
      <c r="E360" s="137"/>
      <c r="I360" s="131"/>
      <c r="J360" s="131"/>
      <c r="K360" s="131"/>
      <c r="L360" s="131"/>
      <c r="U360" s="131"/>
      <c r="V360" s="131"/>
      <c r="W360" s="131"/>
      <c r="X360" s="131"/>
    </row>
    <row r="361" spans="2:24" x14ac:dyDescent="0.25">
      <c r="B361" s="137"/>
      <c r="C361" s="137"/>
      <c r="D361" s="137"/>
      <c r="E361" s="137"/>
      <c r="I361" s="131"/>
      <c r="J361" s="131"/>
      <c r="K361" s="131"/>
      <c r="L361" s="131"/>
      <c r="U361" s="131"/>
      <c r="V361" s="131"/>
      <c r="W361" s="131"/>
      <c r="X361" s="131"/>
    </row>
    <row r="362" spans="2:24" x14ac:dyDescent="0.25">
      <c r="B362" s="137"/>
      <c r="C362" s="137"/>
      <c r="D362" s="137"/>
      <c r="E362" s="137"/>
      <c r="I362" s="131"/>
      <c r="J362" s="131"/>
      <c r="K362" s="131"/>
      <c r="L362" s="131"/>
      <c r="U362" s="131"/>
      <c r="V362" s="131"/>
      <c r="W362" s="131"/>
      <c r="X362" s="131"/>
    </row>
    <row r="363" spans="2:24" x14ac:dyDescent="0.25">
      <c r="B363" s="137"/>
      <c r="C363" s="137"/>
      <c r="D363" s="137"/>
      <c r="E363" s="137"/>
      <c r="I363" s="131"/>
      <c r="J363" s="131"/>
      <c r="K363" s="131"/>
      <c r="L363" s="131"/>
      <c r="U363" s="131"/>
      <c r="V363" s="131"/>
      <c r="W363" s="131"/>
      <c r="X363" s="131"/>
    </row>
    <row r="364" spans="2:24" x14ac:dyDescent="0.25">
      <c r="B364" s="137"/>
      <c r="C364" s="137"/>
      <c r="D364" s="137"/>
      <c r="E364" s="137"/>
      <c r="I364" s="131"/>
      <c r="J364" s="131"/>
      <c r="K364" s="131"/>
      <c r="L364" s="131"/>
      <c r="U364" s="131"/>
      <c r="V364" s="131"/>
      <c r="W364" s="131"/>
      <c r="X364" s="131"/>
    </row>
    <row r="365" spans="2:24" x14ac:dyDescent="0.25">
      <c r="B365" s="137"/>
      <c r="C365" s="137"/>
      <c r="D365" s="137"/>
      <c r="E365" s="137"/>
      <c r="I365" s="131"/>
      <c r="J365" s="131"/>
      <c r="K365" s="131"/>
      <c r="L365" s="131"/>
      <c r="U365" s="131"/>
      <c r="V365" s="131"/>
      <c r="W365" s="131"/>
      <c r="X365" s="131"/>
    </row>
    <row r="366" spans="2:24" x14ac:dyDescent="0.25">
      <c r="B366" s="137"/>
      <c r="C366" s="137"/>
      <c r="D366" s="137"/>
      <c r="E366" s="137"/>
      <c r="I366" s="131"/>
      <c r="J366" s="131"/>
      <c r="K366" s="131"/>
      <c r="L366" s="131"/>
      <c r="U366" s="131"/>
      <c r="V366" s="131"/>
      <c r="W366" s="131"/>
      <c r="X366" s="131"/>
    </row>
    <row r="367" spans="2:24" x14ac:dyDescent="0.25">
      <c r="B367" s="137"/>
      <c r="C367" s="137"/>
      <c r="D367" s="137"/>
      <c r="E367" s="137"/>
      <c r="I367" s="131"/>
      <c r="J367" s="131"/>
      <c r="K367" s="131"/>
      <c r="L367" s="131"/>
      <c r="U367" s="131"/>
      <c r="V367" s="131"/>
      <c r="W367" s="131"/>
      <c r="X367" s="131"/>
    </row>
    <row r="368" spans="2:24" x14ac:dyDescent="0.25">
      <c r="B368" s="137"/>
      <c r="C368" s="137"/>
      <c r="D368" s="137"/>
      <c r="E368" s="137"/>
      <c r="I368" s="131"/>
      <c r="J368" s="131"/>
      <c r="K368" s="131"/>
      <c r="L368" s="131"/>
      <c r="U368" s="131"/>
      <c r="V368" s="131"/>
      <c r="W368" s="131"/>
      <c r="X368" s="131"/>
    </row>
    <row r="369" spans="2:24" x14ac:dyDescent="0.25">
      <c r="B369" s="137"/>
      <c r="C369" s="137"/>
      <c r="D369" s="137"/>
      <c r="E369" s="137"/>
      <c r="I369" s="131"/>
      <c r="J369" s="131"/>
      <c r="K369" s="131"/>
      <c r="L369" s="131"/>
      <c r="U369" s="131"/>
      <c r="V369" s="131"/>
      <c r="W369" s="131"/>
      <c r="X369" s="131"/>
    </row>
    <row r="370" spans="2:24" x14ac:dyDescent="0.25">
      <c r="B370" s="137"/>
      <c r="C370" s="137"/>
      <c r="D370" s="137"/>
      <c r="E370" s="137"/>
      <c r="I370" s="131"/>
      <c r="J370" s="131"/>
      <c r="K370" s="131"/>
      <c r="L370" s="131"/>
      <c r="U370" s="131"/>
      <c r="V370" s="131"/>
      <c r="W370" s="131"/>
      <c r="X370" s="131"/>
    </row>
    <row r="371" spans="2:24" x14ac:dyDescent="0.25">
      <c r="B371" s="137"/>
      <c r="C371" s="137"/>
      <c r="D371" s="137"/>
      <c r="E371" s="137"/>
      <c r="I371" s="131"/>
      <c r="J371" s="131"/>
      <c r="K371" s="131"/>
      <c r="L371" s="131"/>
      <c r="U371" s="131"/>
      <c r="V371" s="131"/>
      <c r="W371" s="131"/>
      <c r="X371" s="131"/>
    </row>
    <row r="372" spans="2:24" x14ac:dyDescent="0.25">
      <c r="B372" s="137"/>
      <c r="C372" s="137"/>
      <c r="D372" s="137"/>
      <c r="E372" s="137"/>
      <c r="I372" s="131"/>
      <c r="J372" s="131"/>
      <c r="K372" s="131"/>
      <c r="L372" s="131"/>
      <c r="U372" s="131"/>
      <c r="V372" s="131"/>
      <c r="W372" s="131"/>
      <c r="X372" s="131"/>
    </row>
    <row r="373" spans="2:24" x14ac:dyDescent="0.25">
      <c r="B373" s="137"/>
      <c r="C373" s="137"/>
      <c r="D373" s="137"/>
      <c r="E373" s="137"/>
      <c r="I373" s="131"/>
      <c r="J373" s="131"/>
      <c r="K373" s="131"/>
      <c r="L373" s="131"/>
      <c r="U373" s="131"/>
      <c r="V373" s="131"/>
      <c r="W373" s="131"/>
      <c r="X373" s="131"/>
    </row>
    <row r="374" spans="2:24" x14ac:dyDescent="0.25">
      <c r="B374" s="137"/>
      <c r="C374" s="137"/>
      <c r="D374" s="137"/>
      <c r="E374" s="137"/>
      <c r="I374" s="131"/>
      <c r="J374" s="131"/>
      <c r="K374" s="131"/>
      <c r="L374" s="131"/>
      <c r="U374" s="131"/>
      <c r="V374" s="131"/>
      <c r="W374" s="131"/>
      <c r="X374" s="131"/>
    </row>
    <row r="375" spans="2:24" x14ac:dyDescent="0.25">
      <c r="B375" s="137"/>
      <c r="C375" s="137"/>
      <c r="D375" s="137"/>
      <c r="E375" s="137"/>
      <c r="I375" s="131"/>
      <c r="J375" s="131"/>
      <c r="K375" s="131"/>
      <c r="L375" s="131"/>
      <c r="U375" s="131"/>
      <c r="V375" s="131"/>
      <c r="W375" s="131"/>
      <c r="X375" s="131"/>
    </row>
    <row r="376" spans="2:24" x14ac:dyDescent="0.25">
      <c r="B376" s="137"/>
      <c r="C376" s="137"/>
      <c r="D376" s="137"/>
      <c r="E376" s="137"/>
      <c r="I376" s="131"/>
      <c r="J376" s="131"/>
      <c r="K376" s="131"/>
      <c r="L376" s="131"/>
      <c r="U376" s="131"/>
      <c r="V376" s="131"/>
      <c r="W376" s="131"/>
      <c r="X376" s="131"/>
    </row>
    <row r="377" spans="2:24" x14ac:dyDescent="0.25">
      <c r="B377" s="137"/>
      <c r="C377" s="137"/>
      <c r="D377" s="137"/>
      <c r="E377" s="137"/>
      <c r="I377" s="131"/>
      <c r="J377" s="131"/>
      <c r="K377" s="131"/>
      <c r="L377" s="131"/>
      <c r="U377" s="131"/>
      <c r="V377" s="131"/>
      <c r="W377" s="131"/>
      <c r="X377" s="131"/>
    </row>
    <row r="378" spans="2:24" x14ac:dyDescent="0.25">
      <c r="B378" s="137"/>
      <c r="C378" s="137"/>
      <c r="D378" s="137"/>
      <c r="E378" s="137"/>
      <c r="I378" s="131"/>
      <c r="J378" s="131"/>
      <c r="K378" s="131"/>
      <c r="L378" s="131"/>
      <c r="U378" s="131"/>
      <c r="V378" s="131"/>
      <c r="W378" s="131"/>
      <c r="X378" s="131"/>
    </row>
    <row r="379" spans="2:24" x14ac:dyDescent="0.25">
      <c r="B379" s="137"/>
      <c r="C379" s="137"/>
      <c r="D379" s="137"/>
      <c r="E379" s="137"/>
      <c r="I379" s="131"/>
      <c r="J379" s="131"/>
      <c r="K379" s="131"/>
      <c r="L379" s="131"/>
      <c r="U379" s="131"/>
      <c r="V379" s="131"/>
      <c r="W379" s="131"/>
      <c r="X379" s="131"/>
    </row>
    <row r="380" spans="2:24" x14ac:dyDescent="0.25">
      <c r="B380" s="137"/>
      <c r="C380" s="137"/>
      <c r="D380" s="137"/>
      <c r="E380" s="137"/>
      <c r="I380" s="131"/>
      <c r="J380" s="131"/>
      <c r="K380" s="131"/>
      <c r="L380" s="131"/>
      <c r="U380" s="131"/>
      <c r="V380" s="131"/>
      <c r="W380" s="131"/>
      <c r="X380" s="131"/>
    </row>
    <row r="381" spans="2:24" x14ac:dyDescent="0.25">
      <c r="B381" s="137"/>
      <c r="C381" s="137"/>
      <c r="D381" s="137"/>
      <c r="E381" s="137"/>
      <c r="I381" s="131"/>
      <c r="J381" s="131"/>
      <c r="K381" s="131"/>
      <c r="L381" s="131"/>
      <c r="U381" s="131"/>
      <c r="V381" s="131"/>
      <c r="W381" s="131"/>
      <c r="X381" s="131"/>
    </row>
    <row r="382" spans="2:24" x14ac:dyDescent="0.25">
      <c r="B382" s="137"/>
      <c r="C382" s="137"/>
      <c r="D382" s="137"/>
      <c r="E382" s="137"/>
      <c r="I382" s="131"/>
      <c r="J382" s="131"/>
      <c r="K382" s="131"/>
      <c r="L382" s="131"/>
      <c r="U382" s="131"/>
      <c r="V382" s="131"/>
      <c r="W382" s="131"/>
      <c r="X382" s="131"/>
    </row>
    <row r="383" spans="2:24" x14ac:dyDescent="0.25">
      <c r="B383" s="137"/>
      <c r="C383" s="137"/>
      <c r="D383" s="137"/>
      <c r="E383" s="137"/>
      <c r="I383" s="131"/>
      <c r="J383" s="131"/>
      <c r="K383" s="131"/>
      <c r="L383" s="131"/>
      <c r="U383" s="131"/>
      <c r="V383" s="131"/>
      <c r="W383" s="131"/>
      <c r="X383" s="131"/>
    </row>
    <row r="384" spans="2:24" x14ac:dyDescent="0.25">
      <c r="B384" s="137"/>
      <c r="C384" s="137"/>
      <c r="D384" s="137"/>
      <c r="E384" s="137"/>
      <c r="I384" s="131"/>
      <c r="J384" s="131"/>
      <c r="K384" s="131"/>
      <c r="L384" s="131"/>
      <c r="U384" s="131"/>
      <c r="V384" s="131"/>
      <c r="W384" s="131"/>
      <c r="X384" s="131"/>
    </row>
    <row r="385" spans="2:24" x14ac:dyDescent="0.25">
      <c r="B385" s="137"/>
      <c r="C385" s="137"/>
      <c r="D385" s="137"/>
      <c r="E385" s="137"/>
      <c r="I385" s="131"/>
      <c r="J385" s="131"/>
      <c r="K385" s="131"/>
      <c r="L385" s="131"/>
      <c r="U385" s="131"/>
      <c r="V385" s="131"/>
      <c r="W385" s="131"/>
      <c r="X385" s="131"/>
    </row>
    <row r="386" spans="2:24" x14ac:dyDescent="0.25">
      <c r="B386" s="137"/>
      <c r="C386" s="137"/>
      <c r="D386" s="137"/>
      <c r="E386" s="137"/>
      <c r="I386" s="131"/>
      <c r="J386" s="131"/>
      <c r="K386" s="131"/>
      <c r="L386" s="131"/>
      <c r="U386" s="131"/>
      <c r="V386" s="131"/>
      <c r="W386" s="131"/>
      <c r="X386" s="131"/>
    </row>
    <row r="387" spans="2:24" x14ac:dyDescent="0.25">
      <c r="B387" s="137"/>
      <c r="C387" s="137"/>
      <c r="D387" s="137"/>
      <c r="E387" s="137"/>
      <c r="I387" s="131"/>
      <c r="J387" s="131"/>
      <c r="K387" s="131"/>
      <c r="L387" s="131"/>
      <c r="U387" s="131"/>
      <c r="V387" s="131"/>
      <c r="W387" s="131"/>
      <c r="X387" s="131"/>
    </row>
    <row r="388" spans="2:24" x14ac:dyDescent="0.25">
      <c r="B388" s="137"/>
      <c r="C388" s="137"/>
      <c r="D388" s="137"/>
      <c r="E388" s="137"/>
      <c r="I388" s="131"/>
      <c r="J388" s="131"/>
      <c r="K388" s="131"/>
      <c r="L388" s="131"/>
      <c r="U388" s="131"/>
      <c r="V388" s="131"/>
      <c r="W388" s="131"/>
      <c r="X388" s="131"/>
    </row>
    <row r="389" spans="2:24" x14ac:dyDescent="0.25">
      <c r="B389" s="137"/>
      <c r="C389" s="137"/>
      <c r="D389" s="137"/>
      <c r="E389" s="137"/>
      <c r="I389" s="131"/>
      <c r="J389" s="131"/>
      <c r="K389" s="131"/>
      <c r="L389" s="131"/>
      <c r="U389" s="131"/>
      <c r="V389" s="131"/>
      <c r="W389" s="131"/>
      <c r="X389" s="131"/>
    </row>
    <row r="390" spans="2:24" x14ac:dyDescent="0.25">
      <c r="B390" s="137"/>
      <c r="C390" s="137"/>
      <c r="D390" s="137"/>
      <c r="E390" s="137"/>
      <c r="I390" s="131"/>
      <c r="J390" s="131"/>
      <c r="K390" s="131"/>
      <c r="L390" s="131"/>
      <c r="U390" s="131"/>
      <c r="V390" s="131"/>
      <c r="W390" s="131"/>
      <c r="X390" s="131"/>
    </row>
    <row r="391" spans="2:24" x14ac:dyDescent="0.25">
      <c r="B391" s="137"/>
      <c r="C391" s="137"/>
      <c r="D391" s="137"/>
      <c r="E391" s="137"/>
      <c r="I391" s="131"/>
      <c r="J391" s="131"/>
      <c r="K391" s="131"/>
      <c r="L391" s="131"/>
      <c r="U391" s="131"/>
      <c r="V391" s="131"/>
      <c r="W391" s="131"/>
      <c r="X391" s="131"/>
    </row>
    <row r="392" spans="2:24" x14ac:dyDescent="0.25">
      <c r="B392" s="137"/>
      <c r="C392" s="137"/>
      <c r="D392" s="137"/>
      <c r="E392" s="137"/>
      <c r="I392" s="131"/>
      <c r="J392" s="131"/>
      <c r="K392" s="131"/>
      <c r="L392" s="131"/>
      <c r="U392" s="131"/>
      <c r="V392" s="131"/>
      <c r="W392" s="131"/>
      <c r="X392" s="131"/>
    </row>
    <row r="393" spans="2:24" x14ac:dyDescent="0.25">
      <c r="B393" s="137"/>
      <c r="C393" s="137"/>
      <c r="D393" s="137"/>
      <c r="E393" s="137"/>
      <c r="I393" s="131"/>
      <c r="J393" s="131"/>
      <c r="K393" s="131"/>
      <c r="L393" s="131"/>
      <c r="U393" s="131"/>
      <c r="V393" s="131"/>
      <c r="W393" s="131"/>
      <c r="X393" s="131"/>
    </row>
    <row r="394" spans="2:24" x14ac:dyDescent="0.25">
      <c r="B394" s="137"/>
      <c r="C394" s="137"/>
      <c r="D394" s="137"/>
      <c r="E394" s="137"/>
      <c r="I394" s="131"/>
      <c r="J394" s="131"/>
      <c r="K394" s="131"/>
      <c r="L394" s="131"/>
      <c r="U394" s="131"/>
      <c r="V394" s="131"/>
      <c r="W394" s="131"/>
      <c r="X394" s="131"/>
    </row>
    <row r="395" spans="2:24" x14ac:dyDescent="0.25">
      <c r="B395" s="137"/>
      <c r="C395" s="137"/>
      <c r="D395" s="137"/>
      <c r="E395" s="137"/>
      <c r="I395" s="131"/>
      <c r="J395" s="131"/>
      <c r="K395" s="131"/>
      <c r="L395" s="131"/>
      <c r="U395" s="131"/>
      <c r="V395" s="131"/>
      <c r="W395" s="131"/>
      <c r="X395" s="131"/>
    </row>
    <row r="396" spans="2:24" x14ac:dyDescent="0.25">
      <c r="B396" s="137"/>
      <c r="C396" s="137"/>
      <c r="D396" s="137"/>
      <c r="E396" s="137"/>
      <c r="I396" s="131"/>
      <c r="J396" s="131"/>
      <c r="K396" s="131"/>
      <c r="L396" s="131"/>
      <c r="U396" s="131"/>
      <c r="V396" s="131"/>
      <c r="W396" s="131"/>
      <c r="X396" s="131"/>
    </row>
    <row r="397" spans="2:24" x14ac:dyDescent="0.25">
      <c r="B397" s="137"/>
      <c r="C397" s="137"/>
      <c r="D397" s="137"/>
      <c r="E397" s="137"/>
      <c r="I397" s="131"/>
      <c r="J397" s="131"/>
      <c r="K397" s="131"/>
      <c r="L397" s="131"/>
      <c r="U397" s="131"/>
      <c r="V397" s="131"/>
      <c r="W397" s="131"/>
      <c r="X397" s="131"/>
    </row>
    <row r="398" spans="2:24" x14ac:dyDescent="0.25">
      <c r="B398" s="137"/>
      <c r="C398" s="137"/>
      <c r="D398" s="137"/>
      <c r="E398" s="137"/>
      <c r="I398" s="131"/>
      <c r="J398" s="131"/>
      <c r="K398" s="131"/>
      <c r="L398" s="131"/>
      <c r="U398" s="131"/>
      <c r="V398" s="131"/>
      <c r="W398" s="131"/>
      <c r="X398" s="131"/>
    </row>
    <row r="399" spans="2:24" x14ac:dyDescent="0.25">
      <c r="B399" s="137"/>
      <c r="C399" s="137"/>
      <c r="D399" s="137"/>
      <c r="E399" s="137"/>
      <c r="I399" s="131"/>
      <c r="J399" s="131"/>
      <c r="K399" s="131"/>
      <c r="L399" s="131"/>
      <c r="U399" s="131"/>
      <c r="V399" s="131"/>
      <c r="W399" s="131"/>
      <c r="X399" s="131"/>
    </row>
    <row r="400" spans="2:24" x14ac:dyDescent="0.25">
      <c r="B400" s="137"/>
      <c r="C400" s="137"/>
      <c r="D400" s="137"/>
      <c r="E400" s="137"/>
      <c r="I400" s="131"/>
      <c r="J400" s="131"/>
      <c r="K400" s="131"/>
      <c r="L400" s="131"/>
      <c r="U400" s="131"/>
      <c r="V400" s="131"/>
      <c r="W400" s="131"/>
      <c r="X400" s="131"/>
    </row>
    <row r="401" spans="2:24" x14ac:dyDescent="0.25">
      <c r="B401" s="137"/>
      <c r="C401" s="137"/>
      <c r="D401" s="137"/>
      <c r="E401" s="137"/>
      <c r="I401" s="131"/>
      <c r="J401" s="131"/>
      <c r="K401" s="131"/>
      <c r="L401" s="131"/>
      <c r="U401" s="131"/>
      <c r="V401" s="131"/>
      <c r="W401" s="131"/>
      <c r="X401" s="131"/>
    </row>
    <row r="402" spans="2:24" x14ac:dyDescent="0.25">
      <c r="B402" s="137"/>
      <c r="C402" s="137"/>
      <c r="D402" s="137"/>
      <c r="E402" s="137"/>
      <c r="I402" s="131"/>
      <c r="J402" s="131"/>
      <c r="K402" s="131"/>
      <c r="L402" s="131"/>
      <c r="U402" s="131"/>
      <c r="V402" s="131"/>
      <c r="W402" s="131"/>
      <c r="X402" s="131"/>
    </row>
    <row r="403" spans="2:24" x14ac:dyDescent="0.25">
      <c r="B403" s="137"/>
      <c r="C403" s="137"/>
      <c r="D403" s="137"/>
      <c r="E403" s="137"/>
      <c r="I403" s="131"/>
      <c r="J403" s="131"/>
      <c r="K403" s="131"/>
      <c r="L403" s="131"/>
      <c r="U403" s="131"/>
      <c r="V403" s="131"/>
      <c r="W403" s="131"/>
      <c r="X403" s="131"/>
    </row>
    <row r="404" spans="2:24" x14ac:dyDescent="0.25">
      <c r="B404" s="137"/>
      <c r="C404" s="137"/>
      <c r="D404" s="137"/>
      <c r="E404" s="137"/>
      <c r="I404" s="131"/>
      <c r="J404" s="131"/>
      <c r="K404" s="131"/>
      <c r="L404" s="131"/>
      <c r="U404" s="131"/>
      <c r="V404" s="131"/>
      <c r="W404" s="131"/>
      <c r="X404" s="131"/>
    </row>
    <row r="405" spans="2:24" x14ac:dyDescent="0.25">
      <c r="B405" s="137"/>
      <c r="C405" s="137"/>
      <c r="D405" s="137"/>
      <c r="E405" s="137"/>
      <c r="I405" s="131"/>
      <c r="J405" s="131"/>
      <c r="K405" s="131"/>
      <c r="L405" s="131"/>
      <c r="U405" s="131"/>
      <c r="V405" s="131"/>
      <c r="W405" s="131"/>
      <c r="X405" s="131"/>
    </row>
    <row r="406" spans="2:24" x14ac:dyDescent="0.25">
      <c r="B406" s="137"/>
      <c r="C406" s="137"/>
      <c r="D406" s="137"/>
      <c r="E406" s="137"/>
      <c r="I406" s="131"/>
      <c r="J406" s="131"/>
      <c r="K406" s="131"/>
      <c r="L406" s="131"/>
      <c r="U406" s="131"/>
      <c r="V406" s="131"/>
      <c r="W406" s="131"/>
      <c r="X406" s="131"/>
    </row>
    <row r="407" spans="2:24" x14ac:dyDescent="0.25">
      <c r="B407" s="137"/>
      <c r="C407" s="137"/>
      <c r="D407" s="137"/>
      <c r="E407" s="137"/>
      <c r="I407" s="131"/>
      <c r="J407" s="131"/>
      <c r="K407" s="131"/>
      <c r="L407" s="131"/>
      <c r="U407" s="131"/>
      <c r="V407" s="131"/>
      <c r="W407" s="131"/>
      <c r="X407" s="131"/>
    </row>
    <row r="408" spans="2:24" x14ac:dyDescent="0.25">
      <c r="B408" s="137"/>
      <c r="C408" s="137"/>
      <c r="D408" s="137"/>
      <c r="E408" s="137"/>
      <c r="I408" s="131"/>
      <c r="J408" s="131"/>
      <c r="K408" s="131"/>
      <c r="L408" s="131"/>
      <c r="U408" s="131"/>
      <c r="V408" s="131"/>
      <c r="W408" s="131"/>
      <c r="X408" s="131"/>
    </row>
    <row r="409" spans="2:24" x14ac:dyDescent="0.25">
      <c r="B409" s="137"/>
      <c r="C409" s="137"/>
      <c r="D409" s="137"/>
      <c r="E409" s="137"/>
      <c r="I409" s="131"/>
      <c r="J409" s="131"/>
      <c r="K409" s="131"/>
      <c r="L409" s="131"/>
      <c r="U409" s="131"/>
      <c r="V409" s="131"/>
      <c r="W409" s="131"/>
      <c r="X409" s="131"/>
    </row>
    <row r="410" spans="2:24" x14ac:dyDescent="0.25">
      <c r="B410" s="137"/>
      <c r="C410" s="137"/>
      <c r="D410" s="137"/>
      <c r="E410" s="137"/>
      <c r="I410" s="131"/>
      <c r="J410" s="131"/>
      <c r="K410" s="131"/>
      <c r="L410" s="131"/>
      <c r="U410" s="131"/>
      <c r="V410" s="131"/>
      <c r="W410" s="131"/>
      <c r="X410" s="131"/>
    </row>
    <row r="411" spans="2:24" x14ac:dyDescent="0.25">
      <c r="B411" s="137"/>
      <c r="C411" s="137"/>
      <c r="D411" s="137"/>
      <c r="E411" s="137"/>
      <c r="I411" s="131"/>
      <c r="J411" s="131"/>
      <c r="K411" s="131"/>
      <c r="L411" s="131"/>
      <c r="U411" s="131"/>
      <c r="V411" s="131"/>
      <c r="W411" s="131"/>
      <c r="X411" s="131"/>
    </row>
    <row r="412" spans="2:24" x14ac:dyDescent="0.25">
      <c r="B412" s="137"/>
      <c r="C412" s="137"/>
      <c r="D412" s="137"/>
      <c r="E412" s="137"/>
      <c r="I412" s="131"/>
      <c r="J412" s="131"/>
      <c r="K412" s="131"/>
      <c r="L412" s="131"/>
      <c r="U412" s="131"/>
      <c r="V412" s="131"/>
      <c r="W412" s="131"/>
      <c r="X412" s="131"/>
    </row>
    <row r="413" spans="2:24" x14ac:dyDescent="0.25">
      <c r="B413" s="137"/>
      <c r="C413" s="137"/>
      <c r="D413" s="137"/>
      <c r="E413" s="137"/>
      <c r="I413" s="131"/>
      <c r="J413" s="131"/>
      <c r="K413" s="131"/>
      <c r="L413" s="131"/>
      <c r="U413" s="131"/>
      <c r="V413" s="131"/>
      <c r="W413" s="131"/>
      <c r="X413" s="131"/>
    </row>
    <row r="414" spans="2:24" x14ac:dyDescent="0.25">
      <c r="B414" s="137"/>
      <c r="C414" s="137"/>
      <c r="D414" s="137"/>
      <c r="E414" s="137"/>
      <c r="I414" s="131"/>
      <c r="J414" s="131"/>
      <c r="K414" s="131"/>
      <c r="L414" s="131"/>
      <c r="U414" s="131"/>
      <c r="V414" s="131"/>
      <c r="W414" s="131"/>
      <c r="X414" s="131"/>
    </row>
    <row r="415" spans="2:24" x14ac:dyDescent="0.25">
      <c r="B415" s="137"/>
      <c r="C415" s="137"/>
      <c r="D415" s="137"/>
      <c r="E415" s="137"/>
      <c r="I415" s="131"/>
      <c r="J415" s="131"/>
      <c r="K415" s="131"/>
      <c r="L415" s="131"/>
      <c r="U415" s="131"/>
      <c r="V415" s="131"/>
      <c r="W415" s="131"/>
      <c r="X415" s="131"/>
    </row>
    <row r="416" spans="2:24" x14ac:dyDescent="0.25">
      <c r="B416" s="137"/>
      <c r="C416" s="137"/>
      <c r="D416" s="137"/>
      <c r="E416" s="137"/>
      <c r="I416" s="131"/>
      <c r="J416" s="131"/>
      <c r="K416" s="131"/>
      <c r="L416" s="131"/>
      <c r="U416" s="131"/>
      <c r="V416" s="131"/>
      <c r="W416" s="131"/>
      <c r="X416" s="131"/>
    </row>
    <row r="417" spans="2:24" x14ac:dyDescent="0.25">
      <c r="B417" s="137"/>
      <c r="C417" s="137"/>
      <c r="D417" s="137"/>
      <c r="E417" s="137"/>
      <c r="I417" s="131"/>
      <c r="J417" s="131"/>
      <c r="K417" s="131"/>
      <c r="L417" s="131"/>
      <c r="U417" s="131"/>
      <c r="V417" s="131"/>
      <c r="W417" s="131"/>
      <c r="X417" s="131"/>
    </row>
    <row r="418" spans="2:24" x14ac:dyDescent="0.25">
      <c r="B418" s="137"/>
      <c r="C418" s="137"/>
      <c r="D418" s="137"/>
      <c r="E418" s="137"/>
      <c r="I418" s="131"/>
      <c r="J418" s="131"/>
      <c r="K418" s="131"/>
      <c r="L418" s="131"/>
      <c r="U418" s="131"/>
      <c r="V418" s="131"/>
      <c r="W418" s="131"/>
      <c r="X418" s="131"/>
    </row>
    <row r="419" spans="2:24" x14ac:dyDescent="0.25">
      <c r="B419" s="137"/>
      <c r="C419" s="137"/>
      <c r="D419" s="137"/>
      <c r="E419" s="137"/>
      <c r="I419" s="131"/>
      <c r="J419" s="131"/>
      <c r="K419" s="131"/>
      <c r="L419" s="131"/>
      <c r="U419" s="131"/>
      <c r="V419" s="131"/>
      <c r="W419" s="131"/>
      <c r="X419" s="131"/>
    </row>
    <row r="420" spans="2:24" x14ac:dyDescent="0.25">
      <c r="B420" s="137"/>
      <c r="C420" s="137"/>
      <c r="D420" s="137"/>
      <c r="E420" s="137"/>
      <c r="I420" s="131"/>
      <c r="J420" s="131"/>
      <c r="K420" s="131"/>
      <c r="L420" s="131"/>
      <c r="U420" s="131"/>
      <c r="V420" s="131"/>
      <c r="W420" s="131"/>
      <c r="X420" s="131"/>
    </row>
    <row r="421" spans="2:24" x14ac:dyDescent="0.25">
      <c r="B421" s="137"/>
      <c r="C421" s="137"/>
      <c r="D421" s="137"/>
      <c r="E421" s="137"/>
      <c r="I421" s="131"/>
      <c r="J421" s="131"/>
      <c r="K421" s="131"/>
      <c r="L421" s="131"/>
      <c r="U421" s="131"/>
      <c r="V421" s="131"/>
      <c r="W421" s="131"/>
      <c r="X421" s="131"/>
    </row>
    <row r="422" spans="2:24" x14ac:dyDescent="0.25">
      <c r="B422" s="137"/>
      <c r="C422" s="137"/>
      <c r="D422" s="137"/>
      <c r="E422" s="137"/>
      <c r="I422" s="131"/>
      <c r="J422" s="131"/>
      <c r="K422" s="131"/>
      <c r="L422" s="131"/>
      <c r="U422" s="131"/>
      <c r="V422" s="131"/>
      <c r="W422" s="131"/>
      <c r="X422" s="131"/>
    </row>
    <row r="423" spans="2:24" x14ac:dyDescent="0.25">
      <c r="B423" s="137"/>
      <c r="C423" s="137"/>
      <c r="D423" s="137"/>
      <c r="E423" s="137"/>
      <c r="I423" s="131"/>
      <c r="J423" s="131"/>
      <c r="K423" s="131"/>
      <c r="L423" s="131"/>
      <c r="U423" s="131"/>
      <c r="V423" s="131"/>
      <c r="W423" s="131"/>
      <c r="X423" s="131"/>
    </row>
    <row r="424" spans="2:24" x14ac:dyDescent="0.25">
      <c r="B424" s="137"/>
      <c r="C424" s="137"/>
      <c r="D424" s="137"/>
      <c r="E424" s="137"/>
      <c r="I424" s="131"/>
      <c r="J424" s="131"/>
      <c r="K424" s="131"/>
      <c r="L424" s="131"/>
      <c r="U424" s="131"/>
      <c r="V424" s="131"/>
      <c r="W424" s="131"/>
      <c r="X424" s="131"/>
    </row>
    <row r="425" spans="2:24" x14ac:dyDescent="0.25">
      <c r="B425" s="137"/>
      <c r="C425" s="137"/>
      <c r="D425" s="137"/>
      <c r="E425" s="137"/>
      <c r="I425" s="131"/>
      <c r="J425" s="131"/>
      <c r="K425" s="131"/>
      <c r="L425" s="131"/>
      <c r="U425" s="131"/>
      <c r="V425" s="131"/>
      <c r="W425" s="131"/>
      <c r="X425" s="131"/>
    </row>
    <row r="426" spans="2:24" x14ac:dyDescent="0.25">
      <c r="B426" s="137"/>
      <c r="C426" s="137"/>
      <c r="D426" s="137"/>
      <c r="E426" s="137"/>
      <c r="I426" s="131"/>
      <c r="J426" s="131"/>
      <c r="K426" s="131"/>
      <c r="L426" s="131"/>
      <c r="U426" s="131"/>
      <c r="V426" s="131"/>
      <c r="W426" s="131"/>
      <c r="X426" s="131"/>
    </row>
    <row r="427" spans="2:24" x14ac:dyDescent="0.25">
      <c r="B427" s="137"/>
      <c r="C427" s="137"/>
      <c r="D427" s="137"/>
      <c r="E427" s="137"/>
      <c r="I427" s="131"/>
      <c r="J427" s="131"/>
      <c r="K427" s="131"/>
      <c r="L427" s="131"/>
      <c r="U427" s="131"/>
      <c r="V427" s="131"/>
      <c r="W427" s="131"/>
      <c r="X427" s="131"/>
    </row>
    <row r="428" spans="2:24" x14ac:dyDescent="0.25">
      <c r="B428" s="137"/>
      <c r="C428" s="137"/>
      <c r="D428" s="137"/>
      <c r="E428" s="137"/>
      <c r="I428" s="131"/>
      <c r="J428" s="131"/>
      <c r="K428" s="131"/>
      <c r="L428" s="131"/>
      <c r="U428" s="131"/>
      <c r="V428" s="131"/>
      <c r="W428" s="131"/>
      <c r="X428" s="131"/>
    </row>
    <row r="429" spans="2:24" x14ac:dyDescent="0.25">
      <c r="B429" s="137"/>
      <c r="C429" s="137"/>
      <c r="D429" s="137"/>
      <c r="E429" s="137"/>
      <c r="I429" s="131"/>
      <c r="J429" s="131"/>
      <c r="K429" s="131"/>
      <c r="L429" s="131"/>
      <c r="U429" s="131"/>
      <c r="V429" s="131"/>
      <c r="W429" s="131"/>
      <c r="X429" s="131"/>
    </row>
    <row r="430" spans="2:24" x14ac:dyDescent="0.25">
      <c r="B430" s="137"/>
      <c r="C430" s="137"/>
      <c r="D430" s="137"/>
      <c r="E430" s="137"/>
      <c r="I430" s="131"/>
      <c r="J430" s="131"/>
      <c r="K430" s="131"/>
      <c r="L430" s="131"/>
      <c r="U430" s="131"/>
      <c r="V430" s="131"/>
      <c r="W430" s="131"/>
      <c r="X430" s="131"/>
    </row>
    <row r="431" spans="2:24" x14ac:dyDescent="0.25">
      <c r="B431" s="137"/>
      <c r="C431" s="137"/>
      <c r="D431" s="137"/>
      <c r="E431" s="137"/>
      <c r="I431" s="131"/>
      <c r="J431" s="131"/>
      <c r="K431" s="131"/>
      <c r="L431" s="131"/>
      <c r="U431" s="131"/>
      <c r="V431" s="131"/>
      <c r="W431" s="131"/>
      <c r="X431" s="131"/>
    </row>
    <row r="432" spans="2:24" x14ac:dyDescent="0.25">
      <c r="B432" s="137"/>
      <c r="C432" s="137"/>
      <c r="D432" s="137"/>
      <c r="E432" s="137"/>
      <c r="I432" s="131"/>
      <c r="J432" s="131"/>
      <c r="K432" s="131"/>
      <c r="L432" s="131"/>
      <c r="U432" s="131"/>
      <c r="V432" s="131"/>
      <c r="W432" s="131"/>
      <c r="X432" s="131"/>
    </row>
    <row r="433" spans="2:24" x14ac:dyDescent="0.25">
      <c r="B433" s="137"/>
      <c r="C433" s="137"/>
      <c r="D433" s="137"/>
      <c r="E433" s="137"/>
      <c r="I433" s="131"/>
      <c r="J433" s="131"/>
      <c r="K433" s="131"/>
      <c r="L433" s="131"/>
      <c r="U433" s="131"/>
      <c r="V433" s="131"/>
      <c r="W433" s="131"/>
      <c r="X433" s="131"/>
    </row>
    <row r="434" spans="2:24" x14ac:dyDescent="0.25">
      <c r="B434" s="137"/>
      <c r="C434" s="137"/>
      <c r="D434" s="137"/>
      <c r="E434" s="137"/>
      <c r="I434" s="131"/>
      <c r="J434" s="131"/>
      <c r="K434" s="131"/>
      <c r="L434" s="131"/>
      <c r="U434" s="131"/>
      <c r="V434" s="131"/>
      <c r="W434" s="131"/>
      <c r="X434" s="131"/>
    </row>
    <row r="435" spans="2:24" x14ac:dyDescent="0.25">
      <c r="B435" s="137"/>
      <c r="C435" s="137"/>
      <c r="D435" s="137"/>
      <c r="E435" s="137"/>
      <c r="I435" s="131"/>
      <c r="J435" s="131"/>
      <c r="K435" s="131"/>
      <c r="L435" s="131"/>
      <c r="U435" s="131"/>
      <c r="V435" s="131"/>
      <c r="W435" s="131"/>
      <c r="X435" s="131"/>
    </row>
    <row r="436" spans="2:24" x14ac:dyDescent="0.25">
      <c r="B436" s="137"/>
      <c r="C436" s="137"/>
      <c r="D436" s="137"/>
      <c r="E436" s="137"/>
      <c r="I436" s="131"/>
      <c r="J436" s="131"/>
      <c r="K436" s="131"/>
      <c r="L436" s="131"/>
      <c r="U436" s="131"/>
      <c r="V436" s="131"/>
      <c r="W436" s="131"/>
      <c r="X436" s="131"/>
    </row>
    <row r="437" spans="2:24" x14ac:dyDescent="0.25">
      <c r="B437" s="137"/>
      <c r="C437" s="137"/>
      <c r="D437" s="137"/>
      <c r="E437" s="137"/>
      <c r="I437" s="131"/>
      <c r="J437" s="131"/>
      <c r="K437" s="131"/>
      <c r="L437" s="131"/>
      <c r="U437" s="131"/>
      <c r="V437" s="131"/>
      <c r="W437" s="131"/>
      <c r="X437" s="131"/>
    </row>
    <row r="438" spans="2:24" x14ac:dyDescent="0.25">
      <c r="B438" s="137"/>
      <c r="C438" s="137"/>
      <c r="D438" s="137"/>
      <c r="E438" s="137"/>
      <c r="I438" s="131"/>
      <c r="J438" s="131"/>
      <c r="K438" s="131"/>
      <c r="L438" s="131"/>
      <c r="U438" s="131"/>
      <c r="V438" s="131"/>
      <c r="W438" s="131"/>
      <c r="X438" s="131"/>
    </row>
    <row r="439" spans="2:24" x14ac:dyDescent="0.25">
      <c r="B439" s="137"/>
      <c r="C439" s="137"/>
      <c r="D439" s="137"/>
      <c r="E439" s="137"/>
      <c r="I439" s="131"/>
      <c r="J439" s="131"/>
      <c r="K439" s="131"/>
      <c r="L439" s="131"/>
      <c r="U439" s="131"/>
      <c r="V439" s="131"/>
      <c r="W439" s="131"/>
      <c r="X439" s="131"/>
    </row>
    <row r="440" spans="2:24" x14ac:dyDescent="0.25">
      <c r="B440" s="137"/>
      <c r="C440" s="137"/>
      <c r="D440" s="137"/>
      <c r="E440" s="137"/>
      <c r="I440" s="131"/>
      <c r="J440" s="131"/>
      <c r="K440" s="131"/>
      <c r="L440" s="131"/>
      <c r="U440" s="131"/>
      <c r="V440" s="131"/>
      <c r="W440" s="131"/>
      <c r="X440" s="131"/>
    </row>
    <row r="441" spans="2:24" x14ac:dyDescent="0.25">
      <c r="B441" s="137"/>
      <c r="C441" s="137"/>
      <c r="D441" s="137"/>
      <c r="E441" s="137"/>
      <c r="I441" s="131"/>
      <c r="J441" s="131"/>
      <c r="K441" s="131"/>
      <c r="L441" s="131"/>
      <c r="U441" s="131"/>
      <c r="V441" s="131"/>
      <c r="W441" s="131"/>
      <c r="X441" s="131"/>
    </row>
    <row r="442" spans="2:24" x14ac:dyDescent="0.25">
      <c r="B442" s="137"/>
      <c r="C442" s="137"/>
      <c r="D442" s="137"/>
      <c r="E442" s="137"/>
      <c r="I442" s="131"/>
      <c r="J442" s="131"/>
      <c r="K442" s="131"/>
      <c r="L442" s="131"/>
      <c r="U442" s="131"/>
      <c r="V442" s="131"/>
      <c r="W442" s="131"/>
      <c r="X442" s="131"/>
    </row>
    <row r="443" spans="2:24" x14ac:dyDescent="0.25">
      <c r="B443" s="137"/>
      <c r="C443" s="137"/>
      <c r="D443" s="137"/>
      <c r="E443" s="137"/>
      <c r="I443" s="131"/>
      <c r="J443" s="131"/>
      <c r="K443" s="131"/>
      <c r="L443" s="131"/>
      <c r="U443" s="131"/>
      <c r="V443" s="131"/>
      <c r="W443" s="131"/>
      <c r="X443" s="131"/>
    </row>
    <row r="444" spans="2:24" x14ac:dyDescent="0.25">
      <c r="B444" s="137"/>
      <c r="C444" s="137"/>
      <c r="D444" s="137"/>
      <c r="E444" s="137"/>
      <c r="I444" s="131"/>
      <c r="J444" s="131"/>
      <c r="K444" s="131"/>
      <c r="L444" s="131"/>
      <c r="U444" s="131"/>
      <c r="V444" s="131"/>
      <c r="W444" s="131"/>
      <c r="X444" s="131"/>
    </row>
    <row r="445" spans="2:24" x14ac:dyDescent="0.25">
      <c r="B445" s="137"/>
      <c r="C445" s="137"/>
      <c r="D445" s="137"/>
      <c r="E445" s="137"/>
      <c r="I445" s="131"/>
      <c r="J445" s="131"/>
      <c r="K445" s="131"/>
      <c r="L445" s="131"/>
      <c r="U445" s="131"/>
      <c r="V445" s="131"/>
      <c r="W445" s="131"/>
      <c r="X445" s="131"/>
    </row>
    <row r="446" spans="2:24" x14ac:dyDescent="0.25">
      <c r="B446" s="137"/>
      <c r="C446" s="137"/>
      <c r="D446" s="137"/>
      <c r="E446" s="137"/>
      <c r="I446" s="131"/>
      <c r="J446" s="131"/>
      <c r="K446" s="131"/>
      <c r="L446" s="131"/>
      <c r="U446" s="131"/>
      <c r="V446" s="131"/>
      <c r="W446" s="131"/>
      <c r="X446" s="131"/>
    </row>
    <row r="447" spans="2:24" x14ac:dyDescent="0.25">
      <c r="B447" s="137"/>
      <c r="C447" s="137"/>
      <c r="D447" s="137"/>
      <c r="E447" s="137"/>
      <c r="I447" s="131"/>
      <c r="J447" s="131"/>
      <c r="K447" s="131"/>
      <c r="L447" s="131"/>
      <c r="U447" s="131"/>
      <c r="V447" s="131"/>
      <c r="W447" s="131"/>
      <c r="X447" s="131"/>
    </row>
    <row r="448" spans="2:24" x14ac:dyDescent="0.25">
      <c r="B448" s="137"/>
      <c r="C448" s="137"/>
      <c r="D448" s="137"/>
      <c r="E448" s="137"/>
      <c r="I448" s="131"/>
      <c r="J448" s="131"/>
      <c r="K448" s="131"/>
      <c r="L448" s="131"/>
      <c r="U448" s="131"/>
      <c r="V448" s="131"/>
      <c r="W448" s="131"/>
      <c r="X448" s="131"/>
    </row>
    <row r="449" spans="2:24" x14ac:dyDescent="0.25">
      <c r="B449" s="137"/>
      <c r="C449" s="137"/>
      <c r="D449" s="137"/>
      <c r="E449" s="137"/>
      <c r="I449" s="131"/>
      <c r="J449" s="131"/>
      <c r="K449" s="131"/>
      <c r="L449" s="131"/>
      <c r="U449" s="131"/>
      <c r="V449" s="131"/>
      <c r="W449" s="131"/>
      <c r="X449" s="131"/>
    </row>
    <row r="450" spans="2:24" x14ac:dyDescent="0.25">
      <c r="B450" s="137"/>
      <c r="C450" s="137"/>
      <c r="D450" s="137"/>
      <c r="E450" s="137"/>
      <c r="I450" s="131"/>
      <c r="J450" s="131"/>
      <c r="K450" s="131"/>
      <c r="L450" s="131"/>
      <c r="U450" s="131"/>
      <c r="V450" s="131"/>
      <c r="W450" s="131"/>
      <c r="X450" s="131"/>
    </row>
    <row r="451" spans="2:24" x14ac:dyDescent="0.25">
      <c r="B451" s="137"/>
      <c r="C451" s="137"/>
      <c r="D451" s="137"/>
      <c r="E451" s="137"/>
      <c r="I451" s="131"/>
      <c r="J451" s="131"/>
      <c r="K451" s="131"/>
      <c r="L451" s="131"/>
      <c r="U451" s="131"/>
      <c r="V451" s="131"/>
      <c r="W451" s="131"/>
      <c r="X451" s="131"/>
    </row>
    <row r="452" spans="2:24" x14ac:dyDescent="0.25">
      <c r="B452" s="137"/>
      <c r="C452" s="137"/>
      <c r="D452" s="137"/>
      <c r="E452" s="137"/>
      <c r="I452" s="131"/>
      <c r="J452" s="131"/>
      <c r="K452" s="131"/>
      <c r="L452" s="131"/>
      <c r="U452" s="131"/>
      <c r="V452" s="131"/>
      <c r="W452" s="131"/>
      <c r="X452" s="131"/>
    </row>
    <row r="453" spans="2:24" x14ac:dyDescent="0.25">
      <c r="B453" s="137"/>
      <c r="C453" s="137"/>
      <c r="D453" s="137"/>
      <c r="E453" s="137"/>
      <c r="I453" s="131"/>
      <c r="J453" s="131"/>
      <c r="K453" s="131"/>
      <c r="L453" s="131"/>
      <c r="U453" s="131"/>
      <c r="V453" s="131"/>
      <c r="W453" s="131"/>
      <c r="X453" s="131"/>
    </row>
    <row r="454" spans="2:24" x14ac:dyDescent="0.25">
      <c r="B454" s="137"/>
      <c r="C454" s="137"/>
      <c r="D454" s="137"/>
      <c r="E454" s="137"/>
      <c r="I454" s="131"/>
      <c r="J454" s="131"/>
      <c r="K454" s="131"/>
      <c r="L454" s="131"/>
      <c r="U454" s="131"/>
      <c r="V454" s="131"/>
      <c r="W454" s="131"/>
      <c r="X454" s="131"/>
    </row>
    <row r="455" spans="2:24" x14ac:dyDescent="0.25">
      <c r="B455" s="137"/>
      <c r="C455" s="137"/>
      <c r="D455" s="137"/>
      <c r="E455" s="137"/>
      <c r="I455" s="131"/>
      <c r="J455" s="131"/>
      <c r="K455" s="131"/>
      <c r="L455" s="131"/>
      <c r="U455" s="131"/>
      <c r="V455" s="131"/>
      <c r="W455" s="131"/>
      <c r="X455" s="131"/>
    </row>
    <row r="456" spans="2:24" x14ac:dyDescent="0.25">
      <c r="B456" s="137"/>
      <c r="C456" s="137"/>
      <c r="D456" s="137"/>
      <c r="E456" s="137"/>
      <c r="I456" s="131"/>
      <c r="J456" s="131"/>
      <c r="K456" s="131"/>
      <c r="L456" s="131"/>
      <c r="U456" s="131"/>
      <c r="V456" s="131"/>
      <c r="W456" s="131"/>
      <c r="X456" s="131"/>
    </row>
    <row r="457" spans="2:24" x14ac:dyDescent="0.25">
      <c r="B457" s="137"/>
      <c r="C457" s="137"/>
      <c r="D457" s="137"/>
      <c r="E457" s="137"/>
      <c r="I457" s="131"/>
      <c r="J457" s="131"/>
      <c r="K457" s="131"/>
      <c r="L457" s="131"/>
      <c r="U457" s="131"/>
      <c r="V457" s="131"/>
      <c r="W457" s="131"/>
      <c r="X457" s="131"/>
    </row>
    <row r="458" spans="2:24" x14ac:dyDescent="0.25">
      <c r="B458" s="137"/>
      <c r="C458" s="137"/>
      <c r="D458" s="137"/>
      <c r="E458" s="137"/>
      <c r="I458" s="131"/>
      <c r="J458" s="131"/>
      <c r="K458" s="131"/>
      <c r="L458" s="131"/>
      <c r="U458" s="131"/>
      <c r="V458" s="131"/>
      <c r="W458" s="131"/>
      <c r="X458" s="131"/>
    </row>
    <row r="459" spans="2:24" x14ac:dyDescent="0.25">
      <c r="B459" s="137"/>
      <c r="C459" s="137"/>
      <c r="D459" s="137"/>
      <c r="E459" s="137"/>
      <c r="I459" s="131"/>
      <c r="J459" s="131"/>
      <c r="K459" s="131"/>
      <c r="L459" s="131"/>
      <c r="U459" s="131"/>
      <c r="V459" s="131"/>
      <c r="W459" s="131"/>
      <c r="X459" s="131"/>
    </row>
    <row r="460" spans="2:24" x14ac:dyDescent="0.25">
      <c r="B460" s="137"/>
      <c r="C460" s="137"/>
      <c r="D460" s="137"/>
      <c r="E460" s="137"/>
      <c r="I460" s="131"/>
      <c r="J460" s="131"/>
      <c r="K460" s="131"/>
      <c r="L460" s="131"/>
      <c r="U460" s="131"/>
      <c r="V460" s="131"/>
      <c r="W460" s="131"/>
      <c r="X460" s="131"/>
    </row>
    <row r="461" spans="2:24" x14ac:dyDescent="0.25">
      <c r="B461" s="137"/>
      <c r="C461" s="137"/>
      <c r="D461" s="137"/>
      <c r="E461" s="137"/>
      <c r="I461" s="131"/>
      <c r="J461" s="131"/>
      <c r="K461" s="131"/>
      <c r="L461" s="131"/>
      <c r="U461" s="131"/>
      <c r="V461" s="131"/>
      <c r="W461" s="131"/>
      <c r="X461" s="131"/>
    </row>
    <row r="462" spans="2:24" x14ac:dyDescent="0.25">
      <c r="B462" s="137"/>
      <c r="C462" s="137"/>
      <c r="D462" s="137"/>
      <c r="E462" s="137"/>
      <c r="I462" s="131"/>
      <c r="J462" s="131"/>
      <c r="K462" s="131"/>
      <c r="L462" s="131"/>
      <c r="U462" s="131"/>
      <c r="V462" s="131"/>
      <c r="W462" s="131"/>
      <c r="X462" s="131"/>
    </row>
    <row r="463" spans="2:24" x14ac:dyDescent="0.25">
      <c r="B463" s="137"/>
      <c r="C463" s="137"/>
      <c r="D463" s="137"/>
      <c r="E463" s="137"/>
      <c r="I463" s="131"/>
      <c r="J463" s="131"/>
      <c r="K463" s="131"/>
      <c r="L463" s="131"/>
      <c r="U463" s="131"/>
      <c r="V463" s="131"/>
      <c r="W463" s="131"/>
      <c r="X463" s="131"/>
    </row>
    <row r="464" spans="2:24" x14ac:dyDescent="0.25">
      <c r="B464" s="137"/>
      <c r="C464" s="137"/>
      <c r="D464" s="137"/>
      <c r="E464" s="137"/>
      <c r="I464" s="131"/>
      <c r="J464" s="131"/>
      <c r="K464" s="131"/>
      <c r="L464" s="131"/>
      <c r="U464" s="131"/>
      <c r="V464" s="131"/>
      <c r="W464" s="131"/>
      <c r="X464" s="131"/>
    </row>
    <row r="465" spans="2:24" x14ac:dyDescent="0.25">
      <c r="B465" s="137"/>
      <c r="C465" s="137"/>
      <c r="D465" s="137"/>
      <c r="E465" s="137"/>
      <c r="I465" s="131"/>
      <c r="J465" s="131"/>
      <c r="K465" s="131"/>
      <c r="L465" s="131"/>
      <c r="U465" s="131"/>
      <c r="V465" s="131"/>
      <c r="W465" s="131"/>
      <c r="X465" s="131"/>
    </row>
    <row r="466" spans="2:24" x14ac:dyDescent="0.25">
      <c r="B466" s="137"/>
      <c r="C466" s="137"/>
      <c r="D466" s="137"/>
      <c r="E466" s="137"/>
      <c r="I466" s="131"/>
      <c r="J466" s="131"/>
      <c r="K466" s="131"/>
      <c r="L466" s="131"/>
      <c r="U466" s="131"/>
      <c r="V466" s="131"/>
      <c r="W466" s="131"/>
      <c r="X466" s="131"/>
    </row>
    <row r="467" spans="2:24" x14ac:dyDescent="0.25">
      <c r="B467" s="137"/>
      <c r="C467" s="137"/>
      <c r="D467" s="137"/>
      <c r="E467" s="137"/>
      <c r="I467" s="131"/>
      <c r="J467" s="131"/>
      <c r="K467" s="131"/>
      <c r="L467" s="131"/>
      <c r="U467" s="131"/>
      <c r="V467" s="131"/>
      <c r="W467" s="131"/>
      <c r="X467" s="131"/>
    </row>
    <row r="468" spans="2:24" x14ac:dyDescent="0.25">
      <c r="B468" s="137"/>
      <c r="C468" s="137"/>
      <c r="D468" s="137"/>
      <c r="E468" s="137"/>
      <c r="I468" s="131"/>
      <c r="J468" s="131"/>
      <c r="K468" s="131"/>
      <c r="L468" s="131"/>
      <c r="U468" s="131"/>
      <c r="V468" s="131"/>
      <c r="W468" s="131"/>
      <c r="X468" s="131"/>
    </row>
    <row r="469" spans="2:24" x14ac:dyDescent="0.25">
      <c r="B469" s="137"/>
      <c r="C469" s="137"/>
      <c r="D469" s="137"/>
      <c r="E469" s="137"/>
      <c r="I469" s="131"/>
      <c r="J469" s="131"/>
      <c r="K469" s="131"/>
      <c r="L469" s="131"/>
      <c r="U469" s="131"/>
      <c r="V469" s="131"/>
      <c r="W469" s="131"/>
      <c r="X469" s="131"/>
    </row>
    <row r="470" spans="2:24" x14ac:dyDescent="0.25">
      <c r="B470" s="137"/>
      <c r="C470" s="137"/>
      <c r="D470" s="137"/>
      <c r="E470" s="137"/>
      <c r="I470" s="131"/>
      <c r="J470" s="131"/>
      <c r="K470" s="131"/>
      <c r="L470" s="131"/>
      <c r="U470" s="131"/>
      <c r="V470" s="131"/>
      <c r="W470" s="131"/>
      <c r="X470" s="131"/>
    </row>
    <row r="471" spans="2:24" x14ac:dyDescent="0.25">
      <c r="B471" s="137"/>
      <c r="C471" s="137"/>
      <c r="D471" s="137"/>
      <c r="E471" s="137"/>
      <c r="I471" s="131"/>
      <c r="J471" s="131"/>
      <c r="K471" s="131"/>
      <c r="L471" s="131"/>
      <c r="U471" s="131"/>
      <c r="V471" s="131"/>
      <c r="W471" s="131"/>
      <c r="X471" s="131"/>
    </row>
    <row r="472" spans="2:24" x14ac:dyDescent="0.25">
      <c r="B472" s="137"/>
      <c r="C472" s="137"/>
      <c r="D472" s="137"/>
      <c r="E472" s="137"/>
      <c r="I472" s="131"/>
      <c r="J472" s="131"/>
      <c r="K472" s="131"/>
      <c r="L472" s="131"/>
      <c r="U472" s="131"/>
      <c r="V472" s="131"/>
      <c r="W472" s="131"/>
      <c r="X472" s="131"/>
    </row>
    <row r="473" spans="2:24" x14ac:dyDescent="0.25">
      <c r="B473" s="137"/>
      <c r="C473" s="137"/>
      <c r="D473" s="137"/>
      <c r="E473" s="137"/>
      <c r="I473" s="131"/>
      <c r="J473" s="131"/>
      <c r="K473" s="131"/>
      <c r="L473" s="131"/>
      <c r="U473" s="131"/>
      <c r="V473" s="131"/>
      <c r="W473" s="131"/>
      <c r="X473" s="131"/>
    </row>
    <row r="474" spans="2:24" x14ac:dyDescent="0.25">
      <c r="B474" s="137"/>
      <c r="C474" s="137"/>
      <c r="D474" s="137"/>
      <c r="E474" s="137"/>
      <c r="I474" s="131"/>
      <c r="J474" s="131"/>
      <c r="K474" s="131"/>
      <c r="L474" s="131"/>
      <c r="U474" s="131"/>
      <c r="V474" s="131"/>
      <c r="W474" s="131"/>
      <c r="X474" s="131"/>
    </row>
    <row r="475" spans="2:24" x14ac:dyDescent="0.25">
      <c r="B475" s="137"/>
      <c r="C475" s="137"/>
      <c r="D475" s="137"/>
      <c r="E475" s="137"/>
      <c r="I475" s="131"/>
      <c r="J475" s="131"/>
      <c r="K475" s="131"/>
      <c r="L475" s="131"/>
      <c r="U475" s="131"/>
      <c r="V475" s="131"/>
      <c r="W475" s="131"/>
      <c r="X475" s="131"/>
    </row>
    <row r="476" spans="2:24" x14ac:dyDescent="0.25">
      <c r="B476" s="137"/>
      <c r="C476" s="137"/>
      <c r="D476" s="137"/>
      <c r="E476" s="137"/>
      <c r="I476" s="131"/>
      <c r="J476" s="131"/>
      <c r="K476" s="131"/>
      <c r="L476" s="131"/>
      <c r="U476" s="131"/>
      <c r="V476" s="131"/>
      <c r="W476" s="131"/>
      <c r="X476" s="131"/>
    </row>
    <row r="477" spans="2:24" x14ac:dyDescent="0.25">
      <c r="B477" s="137"/>
      <c r="C477" s="137"/>
      <c r="D477" s="137"/>
      <c r="E477" s="137"/>
      <c r="I477" s="131"/>
      <c r="J477" s="131"/>
      <c r="K477" s="131"/>
      <c r="L477" s="131"/>
      <c r="U477" s="131"/>
      <c r="V477" s="131"/>
      <c r="W477" s="131"/>
      <c r="X477" s="131"/>
    </row>
    <row r="478" spans="2:24" x14ac:dyDescent="0.25">
      <c r="B478" s="137"/>
      <c r="C478" s="137"/>
      <c r="D478" s="137"/>
      <c r="E478" s="137"/>
      <c r="I478" s="131"/>
      <c r="J478" s="131"/>
      <c r="K478" s="131"/>
      <c r="L478" s="131"/>
      <c r="U478" s="131"/>
      <c r="V478" s="131"/>
      <c r="W478" s="131"/>
      <c r="X478" s="131"/>
    </row>
    <row r="479" spans="2:24" x14ac:dyDescent="0.25">
      <c r="B479" s="137"/>
      <c r="C479" s="137"/>
      <c r="D479" s="137"/>
      <c r="E479" s="137"/>
      <c r="I479" s="131"/>
      <c r="J479" s="131"/>
      <c r="K479" s="131"/>
      <c r="L479" s="131"/>
      <c r="U479" s="131"/>
      <c r="V479" s="131"/>
      <c r="W479" s="131"/>
      <c r="X479" s="131"/>
    </row>
    <row r="480" spans="2:24" x14ac:dyDescent="0.25">
      <c r="B480" s="137"/>
      <c r="C480" s="137"/>
      <c r="D480" s="137"/>
      <c r="E480" s="137"/>
      <c r="I480" s="131"/>
      <c r="J480" s="131"/>
      <c r="K480" s="131"/>
      <c r="L480" s="131"/>
      <c r="U480" s="131"/>
      <c r="V480" s="131"/>
      <c r="W480" s="131"/>
      <c r="X480" s="131"/>
    </row>
    <row r="481" spans="2:24" x14ac:dyDescent="0.25">
      <c r="B481" s="137"/>
      <c r="C481" s="137"/>
      <c r="D481" s="137"/>
      <c r="E481" s="137"/>
      <c r="I481" s="131"/>
      <c r="J481" s="131"/>
      <c r="K481" s="131"/>
      <c r="L481" s="131"/>
      <c r="U481" s="131"/>
      <c r="V481" s="131"/>
      <c r="W481" s="131"/>
      <c r="X481" s="131"/>
    </row>
    <row r="482" spans="2:24" x14ac:dyDescent="0.25">
      <c r="B482" s="137"/>
      <c r="C482" s="137"/>
      <c r="D482" s="137"/>
      <c r="E482" s="137"/>
      <c r="I482" s="131"/>
      <c r="J482" s="131"/>
      <c r="K482" s="131"/>
      <c r="L482" s="131"/>
      <c r="U482" s="131"/>
      <c r="V482" s="131"/>
      <c r="W482" s="131"/>
      <c r="X482" s="131"/>
    </row>
    <row r="483" spans="2:24" x14ac:dyDescent="0.25">
      <c r="B483" s="137"/>
      <c r="C483" s="137"/>
      <c r="D483" s="137"/>
      <c r="E483" s="137"/>
      <c r="I483" s="131"/>
      <c r="J483" s="131"/>
      <c r="K483" s="131"/>
      <c r="L483" s="131"/>
      <c r="U483" s="131"/>
      <c r="V483" s="131"/>
      <c r="W483" s="131"/>
      <c r="X483" s="131"/>
    </row>
    <row r="484" spans="2:24" x14ac:dyDescent="0.25">
      <c r="B484" s="137"/>
      <c r="C484" s="137"/>
      <c r="D484" s="137"/>
      <c r="E484" s="137"/>
      <c r="I484" s="131"/>
      <c r="J484" s="131"/>
      <c r="K484" s="131"/>
      <c r="L484" s="131"/>
      <c r="U484" s="131"/>
      <c r="V484" s="131"/>
      <c r="W484" s="131"/>
      <c r="X484" s="131"/>
    </row>
    <row r="485" spans="2:24" x14ac:dyDescent="0.25">
      <c r="B485" s="137"/>
      <c r="C485" s="137"/>
      <c r="D485" s="137"/>
      <c r="E485" s="137"/>
      <c r="I485" s="131"/>
      <c r="J485" s="131"/>
      <c r="K485" s="131"/>
      <c r="L485" s="131"/>
      <c r="U485" s="131"/>
      <c r="V485" s="131"/>
      <c r="W485" s="131"/>
      <c r="X485" s="131"/>
    </row>
    <row r="486" spans="2:24" x14ac:dyDescent="0.25">
      <c r="B486" s="137"/>
      <c r="C486" s="137"/>
      <c r="D486" s="137"/>
      <c r="E486" s="137"/>
      <c r="I486" s="131"/>
      <c r="J486" s="131"/>
      <c r="K486" s="131"/>
      <c r="L486" s="131"/>
      <c r="U486" s="131"/>
      <c r="V486" s="131"/>
      <c r="W486" s="131"/>
      <c r="X486" s="131"/>
    </row>
    <row r="487" spans="2:24" x14ac:dyDescent="0.25">
      <c r="B487" s="137"/>
      <c r="C487" s="137"/>
      <c r="D487" s="137"/>
      <c r="E487" s="137"/>
      <c r="I487" s="131"/>
      <c r="J487" s="131"/>
      <c r="K487" s="131"/>
      <c r="L487" s="131"/>
      <c r="U487" s="131"/>
      <c r="V487" s="131"/>
      <c r="W487" s="131"/>
      <c r="X487" s="131"/>
    </row>
    <row r="488" spans="2:24" x14ac:dyDescent="0.25">
      <c r="B488" s="137"/>
      <c r="C488" s="137"/>
      <c r="D488" s="137"/>
      <c r="E488" s="137"/>
      <c r="I488" s="131"/>
      <c r="J488" s="131"/>
      <c r="K488" s="131"/>
      <c r="L488" s="131"/>
      <c r="U488" s="131"/>
      <c r="V488" s="131"/>
      <c r="W488" s="131"/>
      <c r="X488" s="131"/>
    </row>
    <row r="489" spans="2:24" x14ac:dyDescent="0.25">
      <c r="B489" s="137"/>
      <c r="C489" s="137"/>
      <c r="D489" s="137"/>
      <c r="E489" s="137"/>
      <c r="I489" s="131"/>
      <c r="J489" s="131"/>
      <c r="K489" s="131"/>
      <c r="L489" s="131"/>
      <c r="U489" s="131"/>
      <c r="V489" s="131"/>
      <c r="W489" s="131"/>
      <c r="X489" s="131"/>
    </row>
    <row r="490" spans="2:24" x14ac:dyDescent="0.25">
      <c r="B490" s="137"/>
      <c r="C490" s="137"/>
      <c r="D490" s="137"/>
      <c r="E490" s="137"/>
      <c r="I490" s="131"/>
      <c r="J490" s="131"/>
      <c r="K490" s="131"/>
      <c r="L490" s="131"/>
      <c r="U490" s="131"/>
      <c r="V490" s="131"/>
      <c r="W490" s="131"/>
      <c r="X490" s="131"/>
    </row>
    <row r="491" spans="2:24" x14ac:dyDescent="0.25">
      <c r="B491" s="137"/>
      <c r="C491" s="137"/>
      <c r="D491" s="137"/>
      <c r="E491" s="137"/>
      <c r="I491" s="131"/>
      <c r="J491" s="131"/>
      <c r="K491" s="131"/>
      <c r="L491" s="131"/>
      <c r="U491" s="131"/>
      <c r="V491" s="131"/>
      <c r="W491" s="131"/>
      <c r="X491" s="131"/>
    </row>
    <row r="492" spans="2:24" x14ac:dyDescent="0.25">
      <c r="B492" s="137"/>
      <c r="C492" s="137"/>
      <c r="D492" s="137"/>
      <c r="E492" s="137"/>
      <c r="I492" s="131"/>
      <c r="J492" s="131"/>
      <c r="K492" s="131"/>
      <c r="L492" s="131"/>
      <c r="U492" s="131"/>
      <c r="V492" s="131"/>
      <c r="W492" s="131"/>
      <c r="X492" s="131"/>
    </row>
    <row r="493" spans="2:24" x14ac:dyDescent="0.25">
      <c r="B493" s="137"/>
      <c r="C493" s="137"/>
      <c r="D493" s="137"/>
      <c r="E493" s="137"/>
      <c r="I493" s="131"/>
      <c r="J493" s="131"/>
      <c r="K493" s="131"/>
      <c r="L493" s="131"/>
      <c r="U493" s="131"/>
      <c r="V493" s="131"/>
      <c r="W493" s="131"/>
      <c r="X493" s="131"/>
    </row>
    <row r="494" spans="2:24" x14ac:dyDescent="0.25">
      <c r="B494" s="137"/>
      <c r="C494" s="137"/>
      <c r="D494" s="137"/>
      <c r="E494" s="137"/>
      <c r="I494" s="131"/>
      <c r="J494" s="131"/>
      <c r="K494" s="131"/>
      <c r="L494" s="131"/>
      <c r="U494" s="131"/>
      <c r="V494" s="131"/>
      <c r="W494" s="131"/>
      <c r="X494" s="131"/>
    </row>
    <row r="495" spans="2:24" x14ac:dyDescent="0.25">
      <c r="B495" s="137"/>
      <c r="C495" s="137"/>
      <c r="D495" s="137"/>
      <c r="E495" s="137"/>
      <c r="I495" s="131"/>
      <c r="J495" s="131"/>
      <c r="K495" s="131"/>
      <c r="L495" s="131"/>
      <c r="U495" s="131"/>
      <c r="V495" s="131"/>
      <c r="W495" s="131"/>
      <c r="X495" s="131"/>
    </row>
    <row r="496" spans="2:24" x14ac:dyDescent="0.25">
      <c r="B496" s="137"/>
      <c r="C496" s="137"/>
      <c r="D496" s="137"/>
      <c r="E496" s="137"/>
      <c r="I496" s="131"/>
      <c r="J496" s="131"/>
      <c r="K496" s="131"/>
      <c r="L496" s="131"/>
      <c r="U496" s="131"/>
      <c r="V496" s="131"/>
      <c r="W496" s="131"/>
      <c r="X496" s="131"/>
    </row>
    <row r="497" spans="2:24" x14ac:dyDescent="0.25">
      <c r="B497" s="137"/>
      <c r="C497" s="137"/>
      <c r="D497" s="137"/>
      <c r="E497" s="137"/>
      <c r="I497" s="131"/>
      <c r="J497" s="131"/>
      <c r="K497" s="131"/>
      <c r="L497" s="131"/>
      <c r="U497" s="131"/>
      <c r="V497" s="131"/>
      <c r="W497" s="131"/>
      <c r="X497" s="131"/>
    </row>
    <row r="498" spans="2:24" x14ac:dyDescent="0.25">
      <c r="B498" s="137"/>
      <c r="C498" s="137"/>
      <c r="D498" s="137"/>
      <c r="E498" s="137"/>
      <c r="I498" s="131"/>
      <c r="J498" s="131"/>
      <c r="K498" s="131"/>
      <c r="L498" s="131"/>
      <c r="U498" s="131"/>
      <c r="V498" s="131"/>
      <c r="W498" s="131"/>
      <c r="X498" s="131"/>
    </row>
    <row r="499" spans="2:24" x14ac:dyDescent="0.25">
      <c r="B499" s="137"/>
      <c r="C499" s="137"/>
      <c r="D499" s="137"/>
      <c r="E499" s="137"/>
      <c r="I499" s="131"/>
      <c r="J499" s="131"/>
      <c r="K499" s="131"/>
      <c r="L499" s="131"/>
      <c r="U499" s="131"/>
      <c r="V499" s="131"/>
      <c r="W499" s="131"/>
      <c r="X499" s="131"/>
    </row>
    <row r="500" spans="2:24" x14ac:dyDescent="0.25">
      <c r="B500" s="137"/>
      <c r="C500" s="137"/>
      <c r="D500" s="137"/>
      <c r="E500" s="137"/>
      <c r="I500" s="131"/>
      <c r="J500" s="131"/>
      <c r="K500" s="131"/>
      <c r="L500" s="131"/>
      <c r="U500" s="131"/>
      <c r="V500" s="131"/>
      <c r="W500" s="131"/>
      <c r="X500" s="131"/>
    </row>
    <row r="501" spans="2:24" x14ac:dyDescent="0.25">
      <c r="B501" s="137"/>
      <c r="C501" s="137"/>
      <c r="D501" s="137"/>
      <c r="E501" s="137"/>
      <c r="I501" s="131"/>
      <c r="J501" s="131"/>
      <c r="K501" s="131"/>
      <c r="L501" s="131"/>
      <c r="U501" s="131"/>
      <c r="V501" s="131"/>
      <c r="W501" s="131"/>
      <c r="X501" s="131"/>
    </row>
    <row r="502" spans="2:24" x14ac:dyDescent="0.25">
      <c r="B502" s="137"/>
      <c r="C502" s="137"/>
      <c r="D502" s="137"/>
      <c r="E502" s="137"/>
      <c r="I502" s="131"/>
      <c r="J502" s="131"/>
      <c r="K502" s="131"/>
      <c r="L502" s="131"/>
      <c r="U502" s="131"/>
      <c r="V502" s="131"/>
      <c r="W502" s="131"/>
      <c r="X502" s="131"/>
    </row>
    <row r="503" spans="2:24" x14ac:dyDescent="0.25">
      <c r="B503" s="137"/>
      <c r="C503" s="137"/>
      <c r="D503" s="137"/>
      <c r="E503" s="137"/>
      <c r="I503" s="131"/>
      <c r="J503" s="131"/>
      <c r="K503" s="131"/>
      <c r="L503" s="131"/>
      <c r="U503" s="131"/>
      <c r="V503" s="131"/>
      <c r="W503" s="131"/>
      <c r="X503" s="131"/>
    </row>
    <row r="504" spans="2:24" x14ac:dyDescent="0.25">
      <c r="B504" s="137"/>
      <c r="C504" s="137"/>
      <c r="D504" s="137"/>
      <c r="E504" s="137"/>
      <c r="I504" s="131"/>
      <c r="J504" s="131"/>
      <c r="K504" s="131"/>
      <c r="L504" s="131"/>
      <c r="U504" s="131"/>
      <c r="V504" s="131"/>
      <c r="W504" s="131"/>
      <c r="X504" s="131"/>
    </row>
    <row r="505" spans="2:24" x14ac:dyDescent="0.25">
      <c r="B505" s="137"/>
      <c r="C505" s="137"/>
      <c r="D505" s="137"/>
      <c r="E505" s="137"/>
      <c r="I505" s="131"/>
      <c r="J505" s="131"/>
      <c r="K505" s="131"/>
      <c r="L505" s="131"/>
      <c r="U505" s="131"/>
      <c r="V505" s="131"/>
      <c r="W505" s="131"/>
      <c r="X505" s="131"/>
    </row>
    <row r="506" spans="2:24" x14ac:dyDescent="0.25">
      <c r="B506" s="137"/>
      <c r="C506" s="137"/>
      <c r="D506" s="137"/>
      <c r="E506" s="137"/>
      <c r="I506" s="131"/>
      <c r="J506" s="131"/>
      <c r="K506" s="131"/>
      <c r="L506" s="131"/>
      <c r="U506" s="131"/>
      <c r="V506" s="131"/>
      <c r="W506" s="131"/>
      <c r="X506" s="131"/>
    </row>
    <row r="507" spans="2:24" x14ac:dyDescent="0.25">
      <c r="B507" s="137"/>
      <c r="C507" s="137"/>
      <c r="D507" s="137"/>
      <c r="E507" s="137"/>
      <c r="I507" s="131"/>
      <c r="J507" s="131"/>
      <c r="K507" s="131"/>
      <c r="L507" s="131"/>
      <c r="U507" s="131"/>
      <c r="V507" s="131"/>
      <c r="W507" s="131"/>
      <c r="X507" s="131"/>
    </row>
    <row r="508" spans="2:24" x14ac:dyDescent="0.25">
      <c r="B508" s="137"/>
      <c r="C508" s="137"/>
      <c r="D508" s="137"/>
      <c r="E508" s="137"/>
      <c r="I508" s="131"/>
      <c r="J508" s="131"/>
      <c r="K508" s="131"/>
      <c r="L508" s="131"/>
      <c r="U508" s="131"/>
      <c r="V508" s="131"/>
      <c r="W508" s="131"/>
      <c r="X508" s="131"/>
    </row>
    <row r="509" spans="2:24" x14ac:dyDescent="0.25">
      <c r="B509" s="137"/>
      <c r="C509" s="137"/>
      <c r="D509" s="137"/>
      <c r="E509" s="137"/>
      <c r="I509" s="131"/>
      <c r="J509" s="131"/>
      <c r="K509" s="131"/>
      <c r="L509" s="131"/>
      <c r="U509" s="131"/>
      <c r="V509" s="131"/>
      <c r="W509" s="131"/>
      <c r="X509" s="131"/>
    </row>
    <row r="510" spans="2:24" x14ac:dyDescent="0.25">
      <c r="B510" s="137"/>
      <c r="C510" s="137"/>
      <c r="D510" s="137"/>
      <c r="E510" s="137"/>
      <c r="I510" s="131"/>
      <c r="J510" s="131"/>
      <c r="K510" s="131"/>
      <c r="L510" s="131"/>
      <c r="U510" s="131"/>
      <c r="V510" s="131"/>
      <c r="W510" s="131"/>
      <c r="X510" s="131"/>
    </row>
    <row r="511" spans="2:24" x14ac:dyDescent="0.25">
      <c r="B511" s="137"/>
      <c r="C511" s="137"/>
      <c r="D511" s="137"/>
      <c r="E511" s="137"/>
      <c r="I511" s="131"/>
      <c r="J511" s="131"/>
      <c r="K511" s="131"/>
      <c r="L511" s="131"/>
      <c r="U511" s="131"/>
      <c r="V511" s="131"/>
      <c r="W511" s="131"/>
      <c r="X511" s="131"/>
    </row>
    <row r="512" spans="2:24" x14ac:dyDescent="0.25">
      <c r="B512" s="137"/>
      <c r="C512" s="137"/>
      <c r="D512" s="137"/>
      <c r="E512" s="137"/>
      <c r="I512" s="131"/>
      <c r="J512" s="131"/>
      <c r="K512" s="131"/>
      <c r="L512" s="131"/>
      <c r="U512" s="131"/>
      <c r="V512" s="131"/>
      <c r="W512" s="131"/>
      <c r="X512" s="131"/>
    </row>
    <row r="513" spans="2:24" x14ac:dyDescent="0.25">
      <c r="B513" s="137"/>
      <c r="C513" s="137"/>
      <c r="D513" s="137"/>
      <c r="E513" s="137"/>
      <c r="I513" s="131"/>
      <c r="J513" s="131"/>
      <c r="K513" s="131"/>
      <c r="L513" s="131"/>
      <c r="U513" s="131"/>
      <c r="V513" s="131"/>
      <c r="W513" s="131"/>
      <c r="X513" s="131"/>
    </row>
    <row r="514" spans="2:24" x14ac:dyDescent="0.25">
      <c r="B514" s="137"/>
      <c r="C514" s="137"/>
      <c r="D514" s="137"/>
      <c r="E514" s="137"/>
      <c r="I514" s="131"/>
      <c r="J514" s="131"/>
      <c r="K514" s="131"/>
      <c r="L514" s="131"/>
      <c r="U514" s="131"/>
      <c r="V514" s="131"/>
      <c r="W514" s="131"/>
      <c r="X514" s="131"/>
    </row>
    <row r="515" spans="2:24" x14ac:dyDescent="0.25">
      <c r="B515" s="137"/>
      <c r="C515" s="137"/>
      <c r="D515" s="137"/>
      <c r="E515" s="137"/>
      <c r="I515" s="131"/>
      <c r="J515" s="131"/>
      <c r="K515" s="131"/>
      <c r="L515" s="131"/>
      <c r="U515" s="131"/>
      <c r="V515" s="131"/>
      <c r="W515" s="131"/>
      <c r="X515" s="131"/>
    </row>
    <row r="516" spans="2:24" x14ac:dyDescent="0.25">
      <c r="B516" s="137"/>
      <c r="C516" s="137"/>
      <c r="D516" s="137"/>
      <c r="E516" s="137"/>
      <c r="I516" s="131"/>
      <c r="J516" s="131"/>
      <c r="K516" s="131"/>
      <c r="L516" s="131"/>
      <c r="U516" s="131"/>
      <c r="V516" s="131"/>
      <c r="W516" s="131"/>
      <c r="X516" s="131"/>
    </row>
    <row r="517" spans="2:24" x14ac:dyDescent="0.25">
      <c r="B517" s="137"/>
      <c r="C517" s="137"/>
      <c r="D517" s="137"/>
      <c r="E517" s="137"/>
      <c r="I517" s="131"/>
      <c r="J517" s="131"/>
      <c r="K517" s="131"/>
      <c r="L517" s="131"/>
      <c r="U517" s="131"/>
      <c r="V517" s="131"/>
      <c r="W517" s="131"/>
      <c r="X517" s="131"/>
    </row>
    <row r="518" spans="2:24" x14ac:dyDescent="0.25">
      <c r="B518" s="137"/>
      <c r="C518" s="137"/>
      <c r="D518" s="137"/>
      <c r="E518" s="137"/>
      <c r="I518" s="131"/>
      <c r="J518" s="131"/>
      <c r="K518" s="131"/>
      <c r="L518" s="131"/>
      <c r="U518" s="131"/>
      <c r="V518" s="131"/>
      <c r="W518" s="131"/>
      <c r="X518" s="131"/>
    </row>
    <row r="519" spans="2:24" x14ac:dyDescent="0.25">
      <c r="B519" s="137"/>
      <c r="C519" s="137"/>
      <c r="D519" s="137"/>
      <c r="E519" s="137"/>
      <c r="I519" s="131"/>
      <c r="J519" s="131"/>
      <c r="K519" s="131"/>
      <c r="L519" s="131"/>
      <c r="U519" s="131"/>
      <c r="V519" s="131"/>
      <c r="W519" s="131"/>
      <c r="X519" s="131"/>
    </row>
    <row r="520" spans="2:24" x14ac:dyDescent="0.25">
      <c r="B520" s="137"/>
      <c r="C520" s="137"/>
      <c r="D520" s="137"/>
      <c r="E520" s="137"/>
      <c r="I520" s="131"/>
      <c r="J520" s="131"/>
      <c r="K520" s="131"/>
      <c r="L520" s="131"/>
      <c r="U520" s="131"/>
      <c r="V520" s="131"/>
      <c r="W520" s="131"/>
      <c r="X520" s="131"/>
    </row>
    <row r="521" spans="2:24" x14ac:dyDescent="0.25">
      <c r="B521" s="137"/>
      <c r="C521" s="137"/>
      <c r="D521" s="137"/>
      <c r="E521" s="137"/>
      <c r="I521" s="131"/>
      <c r="J521" s="131"/>
      <c r="K521" s="131"/>
      <c r="L521" s="131"/>
      <c r="U521" s="131"/>
      <c r="V521" s="131"/>
      <c r="W521" s="131"/>
      <c r="X521" s="131"/>
    </row>
    <row r="522" spans="2:24" x14ac:dyDescent="0.25">
      <c r="B522" s="137"/>
      <c r="C522" s="137"/>
      <c r="D522" s="137"/>
      <c r="E522" s="137"/>
      <c r="I522" s="131"/>
      <c r="J522" s="131"/>
      <c r="K522" s="131"/>
      <c r="L522" s="131"/>
      <c r="U522" s="131"/>
      <c r="V522" s="131"/>
      <c r="W522" s="131"/>
      <c r="X522" s="131"/>
    </row>
    <row r="523" spans="2:24" x14ac:dyDescent="0.25">
      <c r="B523" s="137"/>
      <c r="C523" s="137"/>
      <c r="D523" s="137"/>
      <c r="E523" s="137"/>
      <c r="I523" s="131"/>
      <c r="J523" s="131"/>
      <c r="K523" s="131"/>
      <c r="L523" s="131"/>
      <c r="U523" s="131"/>
      <c r="V523" s="131"/>
      <c r="W523" s="131"/>
      <c r="X523" s="131"/>
    </row>
    <row r="524" spans="2:24" x14ac:dyDescent="0.25">
      <c r="B524" s="137"/>
      <c r="C524" s="137"/>
      <c r="D524" s="137"/>
      <c r="E524" s="137"/>
      <c r="I524" s="131"/>
      <c r="J524" s="131"/>
      <c r="K524" s="131"/>
      <c r="L524" s="131"/>
      <c r="U524" s="131"/>
      <c r="V524" s="131"/>
      <c r="W524" s="131"/>
      <c r="X524" s="131"/>
    </row>
    <row r="525" spans="2:24" x14ac:dyDescent="0.25">
      <c r="B525" s="137"/>
      <c r="C525" s="137"/>
      <c r="D525" s="137"/>
      <c r="E525" s="137"/>
      <c r="I525" s="131"/>
      <c r="J525" s="131"/>
      <c r="K525" s="131"/>
      <c r="L525" s="131"/>
      <c r="U525" s="131"/>
      <c r="V525" s="131"/>
      <c r="W525" s="131"/>
      <c r="X525" s="131"/>
    </row>
    <row r="526" spans="2:24" x14ac:dyDescent="0.25">
      <c r="B526" s="137"/>
      <c r="C526" s="137"/>
      <c r="D526" s="137"/>
      <c r="E526" s="137"/>
      <c r="I526" s="131"/>
      <c r="J526" s="131"/>
      <c r="K526" s="131"/>
      <c r="L526" s="131"/>
      <c r="U526" s="131"/>
      <c r="V526" s="131"/>
      <c r="W526" s="131"/>
      <c r="X526" s="131"/>
    </row>
    <row r="527" spans="2:24" x14ac:dyDescent="0.25">
      <c r="B527" s="137"/>
      <c r="C527" s="137"/>
      <c r="D527" s="137"/>
      <c r="E527" s="137"/>
      <c r="I527" s="131"/>
      <c r="J527" s="131"/>
      <c r="K527" s="131"/>
      <c r="L527" s="131"/>
      <c r="U527" s="131"/>
      <c r="V527" s="131"/>
      <c r="W527" s="131"/>
      <c r="X527" s="131"/>
    </row>
    <row r="528" spans="2:24" x14ac:dyDescent="0.25">
      <c r="B528" s="137"/>
      <c r="C528" s="137"/>
      <c r="D528" s="137"/>
      <c r="E528" s="137"/>
      <c r="I528" s="131"/>
      <c r="J528" s="131"/>
      <c r="K528" s="131"/>
      <c r="L528" s="131"/>
      <c r="U528" s="131"/>
      <c r="V528" s="131"/>
      <c r="W528" s="131"/>
      <c r="X528" s="131"/>
    </row>
    <row r="529" spans="2:24" x14ac:dyDescent="0.25">
      <c r="B529" s="137"/>
      <c r="C529" s="137"/>
      <c r="D529" s="137"/>
      <c r="E529" s="137"/>
      <c r="I529" s="131"/>
      <c r="J529" s="131"/>
      <c r="K529" s="131"/>
      <c r="L529" s="131"/>
      <c r="U529" s="131"/>
      <c r="V529" s="131"/>
      <c r="W529" s="131"/>
      <c r="X529" s="131"/>
    </row>
    <row r="530" spans="2:24" x14ac:dyDescent="0.25">
      <c r="B530" s="137"/>
      <c r="C530" s="137"/>
      <c r="D530" s="137"/>
      <c r="E530" s="137"/>
      <c r="I530" s="131"/>
      <c r="J530" s="131"/>
      <c r="K530" s="131"/>
      <c r="L530" s="131"/>
      <c r="U530" s="131"/>
      <c r="V530" s="131"/>
      <c r="W530" s="131"/>
      <c r="X530" s="131"/>
    </row>
    <row r="531" spans="2:24" x14ac:dyDescent="0.25">
      <c r="B531" s="137"/>
      <c r="C531" s="137"/>
      <c r="D531" s="137"/>
      <c r="E531" s="137"/>
      <c r="I531" s="131"/>
      <c r="J531" s="131"/>
      <c r="K531" s="131"/>
      <c r="L531" s="131"/>
      <c r="U531" s="131"/>
      <c r="V531" s="131"/>
      <c r="W531" s="131"/>
      <c r="X531" s="131"/>
    </row>
    <row r="532" spans="2:24" x14ac:dyDescent="0.25">
      <c r="B532" s="137"/>
      <c r="C532" s="137"/>
      <c r="D532" s="137"/>
      <c r="E532" s="137"/>
      <c r="I532" s="131"/>
      <c r="J532" s="131"/>
      <c r="K532" s="131"/>
      <c r="L532" s="131"/>
      <c r="U532" s="131"/>
      <c r="V532" s="131"/>
      <c r="W532" s="131"/>
      <c r="X532" s="131"/>
    </row>
    <row r="533" spans="2:24" x14ac:dyDescent="0.25">
      <c r="B533" s="137"/>
      <c r="C533" s="137"/>
      <c r="D533" s="137"/>
      <c r="E533" s="137"/>
      <c r="I533" s="131"/>
      <c r="J533" s="131"/>
      <c r="K533" s="131"/>
      <c r="L533" s="131"/>
      <c r="U533" s="131"/>
      <c r="V533" s="131"/>
      <c r="W533" s="131"/>
      <c r="X533" s="131"/>
    </row>
    <row r="534" spans="2:24" x14ac:dyDescent="0.25">
      <c r="B534" s="137"/>
      <c r="C534" s="137"/>
      <c r="D534" s="137"/>
      <c r="E534" s="137"/>
      <c r="I534" s="131"/>
      <c r="J534" s="131"/>
      <c r="K534" s="131"/>
      <c r="L534" s="131"/>
      <c r="U534" s="131"/>
      <c r="V534" s="131"/>
      <c r="W534" s="131"/>
      <c r="X534" s="131"/>
    </row>
    <row r="535" spans="2:24" x14ac:dyDescent="0.25">
      <c r="B535" s="137"/>
      <c r="C535" s="137"/>
      <c r="D535" s="137"/>
      <c r="E535" s="137"/>
      <c r="I535" s="131"/>
      <c r="J535" s="131"/>
      <c r="K535" s="131"/>
      <c r="L535" s="131"/>
      <c r="U535" s="131"/>
      <c r="V535" s="131"/>
      <c r="W535" s="131"/>
      <c r="X535" s="131"/>
    </row>
    <row r="536" spans="2:24" x14ac:dyDescent="0.25">
      <c r="B536" s="137"/>
      <c r="C536" s="137"/>
      <c r="D536" s="137"/>
      <c r="E536" s="137"/>
      <c r="I536" s="131"/>
      <c r="J536" s="131"/>
      <c r="K536" s="131"/>
      <c r="L536" s="131"/>
      <c r="U536" s="131"/>
      <c r="V536" s="131"/>
      <c r="W536" s="131"/>
      <c r="X536" s="131"/>
    </row>
    <row r="537" spans="2:24" x14ac:dyDescent="0.25">
      <c r="B537" s="137"/>
      <c r="C537" s="137"/>
      <c r="D537" s="137"/>
      <c r="E537" s="137"/>
      <c r="I537" s="131"/>
      <c r="J537" s="131"/>
      <c r="K537" s="131"/>
      <c r="L537" s="131"/>
      <c r="U537" s="131"/>
      <c r="V537" s="131"/>
      <c r="W537" s="131"/>
      <c r="X537" s="131"/>
    </row>
    <row r="538" spans="2:24" x14ac:dyDescent="0.25">
      <c r="B538" s="137"/>
      <c r="C538" s="137"/>
      <c r="D538" s="137"/>
      <c r="E538" s="137"/>
      <c r="I538" s="131"/>
      <c r="J538" s="131"/>
      <c r="K538" s="131"/>
      <c r="L538" s="131"/>
      <c r="U538" s="131"/>
      <c r="V538" s="131"/>
      <c r="W538" s="131"/>
      <c r="X538" s="131"/>
    </row>
    <row r="539" spans="2:24" x14ac:dyDescent="0.25">
      <c r="B539" s="137"/>
      <c r="C539" s="137"/>
      <c r="D539" s="137"/>
      <c r="E539" s="137"/>
      <c r="I539" s="131"/>
      <c r="J539" s="131"/>
      <c r="K539" s="131"/>
      <c r="L539" s="131"/>
      <c r="U539" s="131"/>
      <c r="V539" s="131"/>
      <c r="W539" s="131"/>
      <c r="X539" s="131"/>
    </row>
    <row r="540" spans="2:24" x14ac:dyDescent="0.25">
      <c r="B540" s="137"/>
      <c r="C540" s="137"/>
      <c r="D540" s="137"/>
      <c r="E540" s="137"/>
      <c r="I540" s="131"/>
      <c r="J540" s="131"/>
      <c r="K540" s="131"/>
      <c r="L540" s="131"/>
      <c r="U540" s="131"/>
      <c r="V540" s="131"/>
      <c r="W540" s="131"/>
      <c r="X540" s="131"/>
    </row>
    <row r="541" spans="2:24" x14ac:dyDescent="0.25">
      <c r="B541" s="137"/>
      <c r="C541" s="137"/>
      <c r="D541" s="137"/>
      <c r="E541" s="137"/>
      <c r="I541" s="131"/>
      <c r="J541" s="131"/>
      <c r="K541" s="131"/>
      <c r="L541" s="131"/>
      <c r="U541" s="131"/>
      <c r="V541" s="131"/>
      <c r="W541" s="131"/>
      <c r="X541" s="131"/>
    </row>
    <row r="542" spans="2:24" x14ac:dyDescent="0.25">
      <c r="B542" s="137"/>
      <c r="C542" s="137"/>
      <c r="D542" s="137"/>
      <c r="E542" s="137"/>
      <c r="I542" s="131"/>
      <c r="J542" s="131"/>
      <c r="K542" s="131"/>
      <c r="L542" s="131"/>
      <c r="U542" s="131"/>
      <c r="V542" s="131"/>
      <c r="W542" s="131"/>
      <c r="X542" s="131"/>
    </row>
    <row r="543" spans="2:24" x14ac:dyDescent="0.25">
      <c r="B543" s="137"/>
      <c r="C543" s="137"/>
      <c r="D543" s="137"/>
      <c r="E543" s="137"/>
      <c r="I543" s="131"/>
      <c r="J543" s="131"/>
      <c r="K543" s="131"/>
      <c r="L543" s="131"/>
      <c r="U543" s="131"/>
      <c r="V543" s="131"/>
      <c r="W543" s="131"/>
      <c r="X543" s="131"/>
    </row>
    <row r="544" spans="2:24" x14ac:dyDescent="0.25">
      <c r="B544" s="137"/>
      <c r="C544" s="137"/>
      <c r="D544" s="137"/>
      <c r="E544" s="137"/>
      <c r="I544" s="131"/>
      <c r="J544" s="131"/>
      <c r="K544" s="131"/>
      <c r="L544" s="131"/>
      <c r="U544" s="131"/>
      <c r="V544" s="131"/>
      <c r="W544" s="131"/>
      <c r="X544" s="131"/>
    </row>
    <row r="545" spans="2:24" x14ac:dyDescent="0.25">
      <c r="B545" s="137"/>
      <c r="C545" s="137"/>
      <c r="D545" s="137"/>
      <c r="E545" s="137"/>
      <c r="I545" s="131"/>
      <c r="J545" s="131"/>
      <c r="K545" s="131"/>
      <c r="L545" s="131"/>
      <c r="U545" s="131"/>
      <c r="V545" s="131"/>
      <c r="W545" s="131"/>
      <c r="X545" s="131"/>
    </row>
    <row r="546" spans="2:24" x14ac:dyDescent="0.25">
      <c r="B546" s="137"/>
      <c r="C546" s="137"/>
      <c r="D546" s="137"/>
      <c r="E546" s="137"/>
      <c r="I546" s="131"/>
      <c r="J546" s="131"/>
      <c r="K546" s="131"/>
      <c r="L546" s="131"/>
      <c r="U546" s="131"/>
      <c r="V546" s="131"/>
      <c r="W546" s="131"/>
      <c r="X546" s="131"/>
    </row>
    <row r="547" spans="2:24" x14ac:dyDescent="0.25">
      <c r="B547" s="137"/>
      <c r="C547" s="137"/>
      <c r="D547" s="137"/>
      <c r="E547" s="137"/>
      <c r="I547" s="131"/>
      <c r="J547" s="131"/>
      <c r="K547" s="131"/>
      <c r="L547" s="131"/>
      <c r="U547" s="131"/>
      <c r="V547" s="131"/>
      <c r="W547" s="131"/>
      <c r="X547" s="131"/>
    </row>
    <row r="548" spans="2:24" x14ac:dyDescent="0.25">
      <c r="B548" s="137"/>
      <c r="C548" s="137"/>
      <c r="D548" s="137"/>
      <c r="E548" s="137"/>
      <c r="I548" s="131"/>
      <c r="J548" s="131"/>
      <c r="K548" s="131"/>
      <c r="L548" s="131"/>
      <c r="U548" s="131"/>
      <c r="V548" s="131"/>
      <c r="W548" s="131"/>
      <c r="X548" s="131"/>
    </row>
    <row r="549" spans="2:24" x14ac:dyDescent="0.25">
      <c r="B549" s="137"/>
      <c r="C549" s="137"/>
      <c r="D549" s="137"/>
      <c r="E549" s="137"/>
      <c r="I549" s="131"/>
      <c r="J549" s="131"/>
      <c r="K549" s="131"/>
      <c r="L549" s="131"/>
      <c r="U549" s="131"/>
      <c r="V549" s="131"/>
      <c r="W549" s="131"/>
      <c r="X549" s="131"/>
    </row>
    <row r="550" spans="2:24" x14ac:dyDescent="0.25">
      <c r="B550" s="137"/>
      <c r="C550" s="137"/>
      <c r="D550" s="137"/>
      <c r="E550" s="137"/>
      <c r="I550" s="131"/>
      <c r="J550" s="131"/>
      <c r="K550" s="131"/>
      <c r="L550" s="131"/>
      <c r="U550" s="131"/>
      <c r="V550" s="131"/>
      <c r="W550" s="131"/>
      <c r="X550" s="131"/>
    </row>
    <row r="551" spans="2:24" x14ac:dyDescent="0.25">
      <c r="B551" s="137"/>
      <c r="C551" s="137"/>
      <c r="D551" s="137"/>
      <c r="E551" s="137"/>
      <c r="I551" s="131"/>
      <c r="J551" s="131"/>
      <c r="K551" s="131"/>
      <c r="L551" s="131"/>
      <c r="U551" s="131"/>
      <c r="V551" s="131"/>
      <c r="W551" s="131"/>
      <c r="X551" s="131"/>
    </row>
    <row r="552" spans="2:24" x14ac:dyDescent="0.25">
      <c r="B552" s="137"/>
      <c r="C552" s="137"/>
      <c r="D552" s="137"/>
      <c r="E552" s="137"/>
      <c r="I552" s="131"/>
      <c r="J552" s="131"/>
      <c r="K552" s="131"/>
      <c r="L552" s="131"/>
      <c r="U552" s="131"/>
      <c r="V552" s="131"/>
      <c r="W552" s="131"/>
      <c r="X552" s="131"/>
    </row>
    <row r="553" spans="2:24" x14ac:dyDescent="0.25">
      <c r="B553" s="137"/>
      <c r="C553" s="137"/>
      <c r="D553" s="137"/>
      <c r="E553" s="137"/>
      <c r="I553" s="131"/>
      <c r="J553" s="131"/>
      <c r="K553" s="131"/>
      <c r="L553" s="131"/>
      <c r="U553" s="131"/>
      <c r="V553" s="131"/>
      <c r="W553" s="131"/>
      <c r="X553" s="131"/>
    </row>
    <row r="554" spans="2:24" x14ac:dyDescent="0.25">
      <c r="B554" s="137"/>
      <c r="C554" s="137"/>
      <c r="D554" s="137"/>
      <c r="E554" s="137"/>
      <c r="I554" s="131"/>
      <c r="J554" s="131"/>
      <c r="K554" s="131"/>
      <c r="L554" s="131"/>
      <c r="U554" s="131"/>
      <c r="V554" s="131"/>
      <c r="W554" s="131"/>
      <c r="X554" s="131"/>
    </row>
    <row r="555" spans="2:24" x14ac:dyDescent="0.25">
      <c r="B555" s="137"/>
      <c r="C555" s="137"/>
      <c r="D555" s="137"/>
      <c r="E555" s="137"/>
      <c r="I555" s="131"/>
      <c r="J555" s="131"/>
      <c r="K555" s="131"/>
      <c r="L555" s="131"/>
      <c r="U555" s="131"/>
      <c r="V555" s="131"/>
      <c r="W555" s="131"/>
      <c r="X555" s="131"/>
    </row>
    <row r="556" spans="2:24" x14ac:dyDescent="0.25">
      <c r="B556" s="137"/>
      <c r="C556" s="137"/>
      <c r="D556" s="137"/>
      <c r="E556" s="137"/>
      <c r="I556" s="131"/>
      <c r="J556" s="131"/>
      <c r="K556" s="131"/>
      <c r="L556" s="131"/>
      <c r="U556" s="131"/>
      <c r="V556" s="131"/>
      <c r="W556" s="131"/>
      <c r="X556" s="131"/>
    </row>
    <row r="557" spans="2:24" x14ac:dyDescent="0.25">
      <c r="B557" s="137"/>
      <c r="C557" s="137"/>
      <c r="D557" s="137"/>
      <c r="E557" s="137"/>
      <c r="I557" s="131"/>
      <c r="J557" s="131"/>
      <c r="K557" s="131"/>
      <c r="L557" s="131"/>
      <c r="U557" s="131"/>
      <c r="V557" s="131"/>
      <c r="W557" s="131"/>
      <c r="X557" s="131"/>
    </row>
    <row r="558" spans="2:24" x14ac:dyDescent="0.25">
      <c r="B558" s="137"/>
      <c r="C558" s="137"/>
      <c r="D558" s="137"/>
      <c r="E558" s="137"/>
      <c r="I558" s="131"/>
      <c r="J558" s="131"/>
      <c r="K558" s="131"/>
      <c r="L558" s="131"/>
      <c r="U558" s="131"/>
      <c r="V558" s="131"/>
      <c r="W558" s="131"/>
      <c r="X558" s="131"/>
    </row>
    <row r="559" spans="2:24" x14ac:dyDescent="0.25">
      <c r="B559" s="137"/>
      <c r="C559" s="137"/>
      <c r="D559" s="137"/>
      <c r="E559" s="137"/>
      <c r="I559" s="131"/>
      <c r="J559" s="131"/>
      <c r="K559" s="131"/>
      <c r="L559" s="131"/>
      <c r="U559" s="131"/>
      <c r="V559" s="131"/>
      <c r="W559" s="131"/>
      <c r="X559" s="131"/>
    </row>
    <row r="560" spans="2:24" x14ac:dyDescent="0.25">
      <c r="B560" s="137"/>
      <c r="C560" s="137"/>
      <c r="D560" s="137"/>
      <c r="E560" s="137"/>
      <c r="I560" s="131"/>
      <c r="J560" s="131"/>
      <c r="K560" s="131"/>
      <c r="L560" s="131"/>
      <c r="U560" s="131"/>
      <c r="V560" s="131"/>
      <c r="W560" s="131"/>
      <c r="X560" s="131"/>
    </row>
    <row r="561" spans="2:24" x14ac:dyDescent="0.25">
      <c r="B561" s="137"/>
      <c r="C561" s="137"/>
      <c r="D561" s="137"/>
      <c r="E561" s="137"/>
      <c r="I561" s="131"/>
      <c r="J561" s="131"/>
      <c r="K561" s="131"/>
      <c r="L561" s="131"/>
      <c r="U561" s="131"/>
      <c r="V561" s="131"/>
      <c r="W561" s="131"/>
      <c r="X561" s="131"/>
    </row>
    <row r="562" spans="2:24" x14ac:dyDescent="0.25">
      <c r="B562" s="137"/>
      <c r="C562" s="137"/>
      <c r="D562" s="137"/>
      <c r="E562" s="137"/>
      <c r="I562" s="131"/>
      <c r="J562" s="131"/>
      <c r="K562" s="131"/>
      <c r="L562" s="131"/>
      <c r="U562" s="131"/>
      <c r="V562" s="131"/>
      <c r="W562" s="131"/>
      <c r="X562" s="131"/>
    </row>
    <row r="563" spans="2:24" x14ac:dyDescent="0.25">
      <c r="B563" s="137"/>
      <c r="C563" s="137"/>
      <c r="D563" s="137"/>
      <c r="E563" s="137"/>
      <c r="I563" s="131"/>
      <c r="J563" s="131"/>
      <c r="K563" s="131"/>
      <c r="L563" s="131"/>
      <c r="U563" s="131"/>
      <c r="V563" s="131"/>
      <c r="W563" s="131"/>
      <c r="X563" s="131"/>
    </row>
    <row r="564" spans="2:24" x14ac:dyDescent="0.25">
      <c r="B564" s="137"/>
      <c r="C564" s="137"/>
      <c r="D564" s="137"/>
      <c r="E564" s="137"/>
      <c r="I564" s="131"/>
      <c r="J564" s="131"/>
      <c r="K564" s="131"/>
      <c r="L564" s="131"/>
      <c r="U564" s="131"/>
      <c r="V564" s="131"/>
      <c r="W564" s="131"/>
      <c r="X564" s="131"/>
    </row>
    <row r="565" spans="2:24" x14ac:dyDescent="0.25">
      <c r="B565" s="137"/>
      <c r="C565" s="137"/>
      <c r="D565" s="137"/>
      <c r="E565" s="137"/>
      <c r="I565" s="131"/>
      <c r="J565" s="131"/>
      <c r="K565" s="131"/>
      <c r="L565" s="131"/>
      <c r="U565" s="131"/>
      <c r="V565" s="131"/>
      <c r="W565" s="131"/>
      <c r="X565" s="131"/>
    </row>
    <row r="566" spans="2:24" x14ac:dyDescent="0.25">
      <c r="B566" s="137"/>
      <c r="C566" s="137"/>
      <c r="D566" s="137"/>
      <c r="E566" s="137"/>
      <c r="I566" s="131"/>
      <c r="J566" s="131"/>
      <c r="K566" s="131"/>
      <c r="L566" s="131"/>
      <c r="U566" s="131"/>
      <c r="V566" s="131"/>
      <c r="W566" s="131"/>
      <c r="X566" s="131"/>
    </row>
    <row r="567" spans="2:24" x14ac:dyDescent="0.25">
      <c r="B567" s="137"/>
      <c r="C567" s="137"/>
      <c r="D567" s="137"/>
      <c r="E567" s="137"/>
      <c r="I567" s="131"/>
      <c r="J567" s="131"/>
      <c r="K567" s="131"/>
      <c r="L567" s="131"/>
      <c r="U567" s="131"/>
      <c r="V567" s="131"/>
      <c r="W567" s="131"/>
      <c r="X567" s="131"/>
    </row>
    <row r="568" spans="2:24" x14ac:dyDescent="0.25">
      <c r="B568" s="137"/>
      <c r="C568" s="137"/>
      <c r="D568" s="137"/>
      <c r="E568" s="137"/>
      <c r="I568" s="131"/>
      <c r="J568" s="131"/>
      <c r="K568" s="131"/>
      <c r="L568" s="131"/>
      <c r="U568" s="131"/>
      <c r="V568" s="131"/>
      <c r="W568" s="131"/>
      <c r="X568" s="131"/>
    </row>
    <row r="569" spans="2:24" x14ac:dyDescent="0.25">
      <c r="B569" s="137"/>
      <c r="C569" s="137"/>
      <c r="D569" s="137"/>
      <c r="E569" s="137"/>
      <c r="I569" s="131"/>
      <c r="J569" s="131"/>
      <c r="K569" s="131"/>
      <c r="L569" s="131"/>
      <c r="U569" s="131"/>
      <c r="V569" s="131"/>
      <c r="W569" s="131"/>
      <c r="X569" s="131"/>
    </row>
    <row r="570" spans="2:24" x14ac:dyDescent="0.25">
      <c r="B570" s="137"/>
      <c r="C570" s="137"/>
      <c r="D570" s="137"/>
      <c r="E570" s="137"/>
      <c r="I570" s="131"/>
      <c r="J570" s="131"/>
      <c r="K570" s="131"/>
      <c r="L570" s="131"/>
      <c r="U570" s="131"/>
      <c r="V570" s="131"/>
      <c r="W570" s="131"/>
      <c r="X570" s="131"/>
    </row>
    <row r="571" spans="2:24" x14ac:dyDescent="0.25">
      <c r="B571" s="137"/>
      <c r="C571" s="137"/>
      <c r="D571" s="137"/>
      <c r="E571" s="137"/>
      <c r="I571" s="131"/>
      <c r="J571" s="131"/>
      <c r="K571" s="131"/>
      <c r="L571" s="131"/>
      <c r="U571" s="131"/>
      <c r="V571" s="131"/>
      <c r="W571" s="131"/>
      <c r="X571" s="131"/>
    </row>
    <row r="572" spans="2:24" x14ac:dyDescent="0.25">
      <c r="B572" s="137"/>
      <c r="C572" s="137"/>
      <c r="D572" s="137"/>
      <c r="E572" s="137"/>
      <c r="I572" s="131"/>
      <c r="J572" s="131"/>
      <c r="K572" s="131"/>
      <c r="L572" s="131"/>
      <c r="U572" s="131"/>
      <c r="V572" s="131"/>
      <c r="W572" s="131"/>
      <c r="X572" s="131"/>
    </row>
    <row r="573" spans="2:24" x14ac:dyDescent="0.25">
      <c r="B573" s="137"/>
      <c r="C573" s="137"/>
      <c r="D573" s="137"/>
      <c r="E573" s="137"/>
      <c r="I573" s="131"/>
      <c r="J573" s="131"/>
      <c r="K573" s="131"/>
      <c r="L573" s="131"/>
      <c r="U573" s="131"/>
      <c r="V573" s="131"/>
      <c r="W573" s="131"/>
      <c r="X573" s="131"/>
    </row>
    <row r="574" spans="2:24" x14ac:dyDescent="0.25">
      <c r="B574" s="137"/>
      <c r="C574" s="137"/>
      <c r="D574" s="137"/>
      <c r="E574" s="137"/>
      <c r="I574" s="131"/>
      <c r="J574" s="131"/>
      <c r="K574" s="131"/>
      <c r="L574" s="131"/>
      <c r="U574" s="131"/>
      <c r="V574" s="131"/>
      <c r="W574" s="131"/>
      <c r="X574" s="131"/>
    </row>
    <row r="575" spans="2:24" x14ac:dyDescent="0.25">
      <c r="B575" s="137"/>
      <c r="C575" s="137"/>
      <c r="D575" s="137"/>
      <c r="E575" s="137"/>
      <c r="I575" s="131"/>
      <c r="J575" s="131"/>
      <c r="K575" s="131"/>
      <c r="L575" s="131"/>
      <c r="U575" s="131"/>
      <c r="V575" s="131"/>
      <c r="W575" s="131"/>
      <c r="X575" s="131"/>
    </row>
    <row r="576" spans="2:24" x14ac:dyDescent="0.25">
      <c r="B576" s="137"/>
      <c r="C576" s="137"/>
      <c r="D576" s="137"/>
      <c r="E576" s="137"/>
      <c r="I576" s="131"/>
      <c r="J576" s="131"/>
      <c r="K576" s="131"/>
      <c r="L576" s="131"/>
      <c r="U576" s="131"/>
      <c r="V576" s="131"/>
      <c r="W576" s="131"/>
      <c r="X576" s="131"/>
    </row>
    <row r="577" spans="2:24" x14ac:dyDescent="0.25">
      <c r="B577" s="137"/>
      <c r="C577" s="137"/>
      <c r="D577" s="137"/>
      <c r="E577" s="137"/>
      <c r="I577" s="131"/>
      <c r="J577" s="131"/>
      <c r="K577" s="131"/>
      <c r="L577" s="131"/>
      <c r="U577" s="131"/>
      <c r="V577" s="131"/>
      <c r="W577" s="131"/>
      <c r="X577" s="131"/>
    </row>
    <row r="578" spans="2:24" x14ac:dyDescent="0.25">
      <c r="B578" s="137"/>
      <c r="C578" s="137"/>
      <c r="D578" s="137"/>
      <c r="E578" s="137"/>
      <c r="I578" s="131"/>
      <c r="J578" s="131"/>
      <c r="K578" s="131"/>
      <c r="L578" s="131"/>
      <c r="U578" s="131"/>
      <c r="V578" s="131"/>
      <c r="W578" s="131"/>
      <c r="X578" s="131"/>
    </row>
    <row r="579" spans="2:24" x14ac:dyDescent="0.25">
      <c r="B579" s="137"/>
      <c r="C579" s="137"/>
      <c r="D579" s="137"/>
      <c r="E579" s="137"/>
      <c r="I579" s="131"/>
      <c r="J579" s="131"/>
      <c r="K579" s="131"/>
      <c r="L579" s="131"/>
      <c r="U579" s="131"/>
      <c r="V579" s="131"/>
      <c r="W579" s="131"/>
      <c r="X579" s="131"/>
    </row>
    <row r="580" spans="2:24" x14ac:dyDescent="0.25">
      <c r="B580" s="137"/>
      <c r="C580" s="137"/>
      <c r="D580" s="137"/>
      <c r="E580" s="137"/>
      <c r="I580" s="131"/>
      <c r="J580" s="131"/>
      <c r="K580" s="131"/>
      <c r="L580" s="131"/>
      <c r="U580" s="131"/>
      <c r="V580" s="131"/>
      <c r="W580" s="131"/>
      <c r="X580" s="131"/>
    </row>
    <row r="581" spans="2:24" x14ac:dyDescent="0.25">
      <c r="B581" s="137"/>
      <c r="C581" s="137"/>
      <c r="D581" s="137"/>
      <c r="E581" s="137"/>
      <c r="I581" s="131"/>
      <c r="J581" s="131"/>
      <c r="K581" s="131"/>
      <c r="L581" s="131"/>
      <c r="U581" s="131"/>
      <c r="V581" s="131"/>
      <c r="W581" s="131"/>
      <c r="X581" s="131"/>
    </row>
    <row r="582" spans="2:24" x14ac:dyDescent="0.25">
      <c r="B582" s="137"/>
      <c r="C582" s="137"/>
      <c r="D582" s="137"/>
      <c r="E582" s="137"/>
      <c r="I582" s="131"/>
      <c r="J582" s="131"/>
      <c r="K582" s="131"/>
      <c r="L582" s="131"/>
      <c r="U582" s="131"/>
      <c r="V582" s="131"/>
      <c r="W582" s="131"/>
      <c r="X582" s="131"/>
    </row>
    <row r="583" spans="2:24" x14ac:dyDescent="0.25">
      <c r="B583" s="137"/>
      <c r="C583" s="137"/>
      <c r="D583" s="137"/>
      <c r="E583" s="137"/>
      <c r="I583" s="131"/>
      <c r="J583" s="131"/>
      <c r="K583" s="131"/>
      <c r="L583" s="131"/>
      <c r="U583" s="131"/>
      <c r="V583" s="131"/>
      <c r="W583" s="131"/>
      <c r="X583" s="131"/>
    </row>
    <row r="584" spans="2:24" x14ac:dyDescent="0.25">
      <c r="B584" s="137"/>
      <c r="C584" s="137"/>
      <c r="D584" s="137"/>
      <c r="E584" s="137"/>
      <c r="I584" s="131"/>
      <c r="J584" s="131"/>
      <c r="K584" s="131"/>
      <c r="L584" s="131"/>
      <c r="U584" s="131"/>
      <c r="V584" s="131"/>
      <c r="W584" s="131"/>
      <c r="X584" s="131"/>
    </row>
    <row r="585" spans="2:24" x14ac:dyDescent="0.25">
      <c r="B585" s="137"/>
      <c r="C585" s="137"/>
      <c r="D585" s="137"/>
      <c r="E585" s="137"/>
      <c r="I585" s="131"/>
      <c r="J585" s="131"/>
      <c r="K585" s="131"/>
      <c r="L585" s="131"/>
      <c r="U585" s="131"/>
      <c r="V585" s="131"/>
      <c r="W585" s="131"/>
      <c r="X585" s="131"/>
    </row>
    <row r="586" spans="2:24" x14ac:dyDescent="0.25">
      <c r="B586" s="137"/>
      <c r="C586" s="137"/>
      <c r="D586" s="137"/>
      <c r="E586" s="137"/>
      <c r="I586" s="131"/>
      <c r="J586" s="131"/>
      <c r="K586" s="131"/>
      <c r="L586" s="131"/>
      <c r="U586" s="131"/>
      <c r="V586" s="131"/>
      <c r="W586" s="131"/>
      <c r="X586" s="131"/>
    </row>
    <row r="587" spans="2:24" x14ac:dyDescent="0.25">
      <c r="B587" s="137"/>
      <c r="C587" s="137"/>
      <c r="D587" s="137"/>
      <c r="E587" s="137"/>
      <c r="I587" s="131"/>
      <c r="J587" s="131"/>
      <c r="K587" s="131"/>
      <c r="L587" s="131"/>
      <c r="U587" s="131"/>
      <c r="V587" s="131"/>
      <c r="W587" s="131"/>
      <c r="X587" s="131"/>
    </row>
    <row r="588" spans="2:24" x14ac:dyDescent="0.25">
      <c r="B588" s="137"/>
      <c r="C588" s="137"/>
      <c r="D588" s="137"/>
      <c r="E588" s="137"/>
      <c r="I588" s="131"/>
      <c r="J588" s="131"/>
      <c r="K588" s="131"/>
      <c r="L588" s="131"/>
      <c r="U588" s="131"/>
      <c r="V588" s="131"/>
      <c r="W588" s="131"/>
      <c r="X588" s="131"/>
    </row>
    <row r="589" spans="2:24" x14ac:dyDescent="0.25">
      <c r="B589" s="137"/>
      <c r="C589" s="137"/>
      <c r="D589" s="137"/>
      <c r="E589" s="137"/>
      <c r="I589" s="131"/>
      <c r="J589" s="131"/>
      <c r="K589" s="131"/>
      <c r="L589" s="131"/>
      <c r="U589" s="131"/>
      <c r="V589" s="131"/>
      <c r="W589" s="131"/>
      <c r="X589" s="131"/>
    </row>
    <row r="590" spans="2:24" x14ac:dyDescent="0.25">
      <c r="B590" s="137"/>
      <c r="C590" s="137"/>
      <c r="D590" s="137"/>
      <c r="E590" s="137"/>
      <c r="I590" s="131"/>
      <c r="J590" s="131"/>
      <c r="K590" s="131"/>
      <c r="L590" s="131"/>
      <c r="U590" s="131"/>
      <c r="V590" s="131"/>
      <c r="W590" s="131"/>
      <c r="X590" s="131"/>
    </row>
    <row r="591" spans="2:24" x14ac:dyDescent="0.25">
      <c r="B591" s="137"/>
      <c r="C591" s="137"/>
      <c r="D591" s="137"/>
      <c r="E591" s="137"/>
      <c r="I591" s="131"/>
      <c r="J591" s="131"/>
      <c r="K591" s="131"/>
      <c r="L591" s="131"/>
      <c r="U591" s="131"/>
      <c r="V591" s="131"/>
      <c r="W591" s="131"/>
      <c r="X591" s="131"/>
    </row>
    <row r="592" spans="2:24" x14ac:dyDescent="0.25">
      <c r="B592" s="137"/>
      <c r="C592" s="137"/>
      <c r="D592" s="137"/>
      <c r="E592" s="137"/>
      <c r="I592" s="131"/>
      <c r="J592" s="131"/>
      <c r="K592" s="131"/>
      <c r="L592" s="131"/>
      <c r="U592" s="131"/>
      <c r="V592" s="131"/>
      <c r="W592" s="131"/>
      <c r="X592" s="131"/>
    </row>
    <row r="593" spans="2:24" x14ac:dyDescent="0.25">
      <c r="B593" s="137"/>
      <c r="C593" s="137"/>
      <c r="D593" s="137"/>
      <c r="E593" s="137"/>
      <c r="I593" s="131"/>
      <c r="J593" s="131"/>
      <c r="K593" s="131"/>
      <c r="L593" s="131"/>
      <c r="U593" s="131"/>
      <c r="V593" s="131"/>
      <c r="W593" s="131"/>
      <c r="X593" s="131"/>
    </row>
    <row r="594" spans="2:24" x14ac:dyDescent="0.25">
      <c r="B594" s="137"/>
      <c r="C594" s="137"/>
      <c r="D594" s="137"/>
      <c r="E594" s="137"/>
      <c r="I594" s="131"/>
      <c r="J594" s="131"/>
      <c r="K594" s="131"/>
      <c r="L594" s="131"/>
      <c r="U594" s="131"/>
      <c r="V594" s="131"/>
      <c r="W594" s="131"/>
      <c r="X594" s="131"/>
    </row>
    <row r="595" spans="2:24" x14ac:dyDescent="0.25">
      <c r="B595" s="137"/>
      <c r="C595" s="137"/>
      <c r="D595" s="137"/>
      <c r="E595" s="137"/>
      <c r="I595" s="131"/>
      <c r="J595" s="131"/>
      <c r="K595" s="131"/>
      <c r="L595" s="131"/>
      <c r="U595" s="131"/>
      <c r="V595" s="131"/>
      <c r="W595" s="131"/>
      <c r="X595" s="131"/>
    </row>
    <row r="596" spans="2:24" x14ac:dyDescent="0.25">
      <c r="B596" s="137"/>
      <c r="C596" s="137"/>
      <c r="D596" s="137"/>
      <c r="E596" s="137"/>
      <c r="I596" s="131"/>
      <c r="J596" s="131"/>
      <c r="K596" s="131"/>
      <c r="L596" s="131"/>
      <c r="U596" s="131"/>
      <c r="V596" s="131"/>
      <c r="W596" s="131"/>
      <c r="X596" s="131"/>
    </row>
    <row r="597" spans="2:24" x14ac:dyDescent="0.25">
      <c r="B597" s="137"/>
      <c r="C597" s="137"/>
      <c r="D597" s="137"/>
      <c r="E597" s="137"/>
      <c r="I597" s="131"/>
      <c r="J597" s="131"/>
      <c r="K597" s="131"/>
      <c r="L597" s="131"/>
      <c r="U597" s="131"/>
      <c r="V597" s="131"/>
      <c r="W597" s="131"/>
      <c r="X597" s="131"/>
    </row>
    <row r="598" spans="2:24" x14ac:dyDescent="0.25">
      <c r="B598" s="137"/>
      <c r="C598" s="137"/>
      <c r="D598" s="137"/>
      <c r="E598" s="137"/>
      <c r="I598" s="131"/>
      <c r="J598" s="131"/>
      <c r="K598" s="131"/>
      <c r="L598" s="131"/>
      <c r="U598" s="131"/>
      <c r="V598" s="131"/>
      <c r="W598" s="131"/>
      <c r="X598" s="131"/>
    </row>
    <row r="599" spans="2:24" x14ac:dyDescent="0.25">
      <c r="B599" s="137"/>
      <c r="C599" s="137"/>
      <c r="D599" s="137"/>
      <c r="E599" s="137"/>
      <c r="I599" s="131"/>
      <c r="J599" s="131"/>
      <c r="K599" s="131"/>
      <c r="L599" s="131"/>
      <c r="U599" s="131"/>
      <c r="V599" s="131"/>
      <c r="W599" s="131"/>
      <c r="X599" s="131"/>
    </row>
    <row r="600" spans="2:24" x14ac:dyDescent="0.25">
      <c r="B600" s="137"/>
      <c r="C600" s="137"/>
      <c r="D600" s="137"/>
      <c r="E600" s="137"/>
      <c r="I600" s="131"/>
      <c r="J600" s="131"/>
      <c r="K600" s="131"/>
      <c r="L600" s="131"/>
      <c r="U600" s="131"/>
      <c r="V600" s="131"/>
      <c r="W600" s="131"/>
      <c r="X600" s="131"/>
    </row>
    <row r="601" spans="2:24" x14ac:dyDescent="0.25">
      <c r="B601" s="137"/>
      <c r="C601" s="137"/>
      <c r="D601" s="137"/>
      <c r="E601" s="137"/>
      <c r="I601" s="131"/>
      <c r="J601" s="131"/>
      <c r="K601" s="131"/>
      <c r="L601" s="131"/>
      <c r="U601" s="131"/>
      <c r="V601" s="131"/>
      <c r="W601" s="131"/>
      <c r="X601" s="131"/>
    </row>
    <row r="602" spans="2:24" x14ac:dyDescent="0.25">
      <c r="B602" s="137"/>
      <c r="C602" s="137"/>
      <c r="D602" s="137"/>
      <c r="E602" s="137"/>
      <c r="I602" s="131"/>
      <c r="J602" s="131"/>
      <c r="K602" s="131"/>
      <c r="L602" s="131"/>
      <c r="U602" s="131"/>
      <c r="V602" s="131"/>
      <c r="W602" s="131"/>
      <c r="X602" s="131"/>
    </row>
    <row r="603" spans="2:24" x14ac:dyDescent="0.25">
      <c r="B603" s="137"/>
      <c r="C603" s="137"/>
      <c r="D603" s="137"/>
      <c r="E603" s="137"/>
      <c r="I603" s="131"/>
      <c r="J603" s="131"/>
      <c r="K603" s="131"/>
      <c r="L603" s="131"/>
      <c r="U603" s="131"/>
      <c r="V603" s="131"/>
      <c r="W603" s="131"/>
      <c r="X603" s="131"/>
    </row>
    <row r="604" spans="2:24" x14ac:dyDescent="0.25">
      <c r="B604" s="137"/>
      <c r="C604" s="137"/>
      <c r="D604" s="137"/>
      <c r="E604" s="137"/>
      <c r="I604" s="131"/>
      <c r="J604" s="131"/>
      <c r="K604" s="131"/>
      <c r="L604" s="131"/>
      <c r="U604" s="131"/>
      <c r="V604" s="131"/>
      <c r="W604" s="131"/>
      <c r="X604" s="131"/>
    </row>
    <row r="605" spans="2:24" x14ac:dyDescent="0.25">
      <c r="B605" s="137"/>
      <c r="C605" s="137"/>
      <c r="D605" s="137"/>
      <c r="E605" s="137"/>
      <c r="I605" s="131"/>
      <c r="J605" s="131"/>
      <c r="K605" s="131"/>
      <c r="L605" s="131"/>
      <c r="U605" s="131"/>
      <c r="V605" s="131"/>
      <c r="W605" s="131"/>
      <c r="X605" s="131"/>
    </row>
    <row r="606" spans="2:24" x14ac:dyDescent="0.25">
      <c r="B606" s="137"/>
      <c r="C606" s="137"/>
      <c r="D606" s="137"/>
      <c r="E606" s="137"/>
      <c r="I606" s="131"/>
      <c r="J606" s="131"/>
      <c r="K606" s="131"/>
      <c r="L606" s="131"/>
      <c r="U606" s="131"/>
      <c r="V606" s="131"/>
      <c r="W606" s="131"/>
      <c r="X606" s="131"/>
    </row>
    <row r="607" spans="2:24" x14ac:dyDescent="0.25">
      <c r="B607" s="137"/>
      <c r="C607" s="137"/>
      <c r="D607" s="137"/>
      <c r="E607" s="137"/>
      <c r="I607" s="131"/>
      <c r="J607" s="131"/>
      <c r="K607" s="131"/>
      <c r="L607" s="131"/>
      <c r="U607" s="131"/>
      <c r="V607" s="131"/>
      <c r="W607" s="131"/>
      <c r="X607" s="131"/>
    </row>
    <row r="608" spans="2:24" x14ac:dyDescent="0.25">
      <c r="B608" s="137"/>
      <c r="C608" s="137"/>
      <c r="D608" s="137"/>
      <c r="E608" s="137"/>
      <c r="I608" s="131"/>
      <c r="J608" s="131"/>
      <c r="K608" s="131"/>
      <c r="L608" s="131"/>
      <c r="U608" s="131"/>
      <c r="V608" s="131"/>
      <c r="W608" s="131"/>
      <c r="X608" s="131"/>
    </row>
    <row r="609" spans="2:24" x14ac:dyDescent="0.25">
      <c r="B609" s="137"/>
      <c r="C609" s="137"/>
      <c r="D609" s="137"/>
      <c r="E609" s="137"/>
      <c r="I609" s="131"/>
      <c r="J609" s="131"/>
      <c r="K609" s="131"/>
      <c r="L609" s="131"/>
      <c r="U609" s="131"/>
      <c r="V609" s="131"/>
      <c r="W609" s="131"/>
      <c r="X609" s="131"/>
    </row>
    <row r="610" spans="2:24" x14ac:dyDescent="0.25">
      <c r="B610" s="137"/>
      <c r="C610" s="137"/>
      <c r="D610" s="137"/>
      <c r="E610" s="137"/>
      <c r="I610" s="131"/>
      <c r="J610" s="131"/>
      <c r="K610" s="131"/>
      <c r="L610" s="131"/>
      <c r="U610" s="131"/>
      <c r="V610" s="131"/>
      <c r="W610" s="131"/>
      <c r="X610" s="131"/>
    </row>
    <row r="611" spans="2:24" x14ac:dyDescent="0.25">
      <c r="B611" s="137"/>
      <c r="C611" s="137"/>
      <c r="D611" s="137"/>
      <c r="E611" s="137"/>
      <c r="I611" s="131"/>
      <c r="J611" s="131"/>
      <c r="K611" s="131"/>
      <c r="L611" s="131"/>
      <c r="U611" s="131"/>
      <c r="V611" s="131"/>
      <c r="W611" s="131"/>
      <c r="X611" s="131"/>
    </row>
    <row r="612" spans="2:24" x14ac:dyDescent="0.25">
      <c r="B612" s="137"/>
      <c r="C612" s="137"/>
      <c r="D612" s="137"/>
      <c r="E612" s="137"/>
      <c r="I612" s="131"/>
      <c r="J612" s="131"/>
      <c r="K612" s="131"/>
      <c r="L612" s="131"/>
      <c r="U612" s="131"/>
      <c r="V612" s="131"/>
      <c r="W612" s="131"/>
      <c r="X612" s="131"/>
    </row>
    <row r="613" spans="2:24" x14ac:dyDescent="0.25">
      <c r="B613" s="137"/>
      <c r="C613" s="137"/>
      <c r="D613" s="137"/>
      <c r="E613" s="137"/>
      <c r="I613" s="131"/>
      <c r="J613" s="131"/>
      <c r="K613" s="131"/>
      <c r="L613" s="131"/>
      <c r="U613" s="131"/>
      <c r="V613" s="131"/>
      <c r="W613" s="131"/>
      <c r="X613" s="131"/>
    </row>
    <row r="614" spans="2:24" x14ac:dyDescent="0.25">
      <c r="B614" s="137"/>
      <c r="C614" s="137"/>
      <c r="D614" s="137"/>
      <c r="E614" s="137"/>
      <c r="I614" s="131"/>
      <c r="J614" s="131"/>
      <c r="K614" s="131"/>
      <c r="L614" s="131"/>
      <c r="U614" s="131"/>
      <c r="V614" s="131"/>
      <c r="W614" s="131"/>
      <c r="X614" s="131"/>
    </row>
    <row r="615" spans="2:24" x14ac:dyDescent="0.25">
      <c r="B615" s="137"/>
      <c r="C615" s="137"/>
      <c r="D615" s="137"/>
      <c r="E615" s="137"/>
      <c r="I615" s="131"/>
      <c r="J615" s="131"/>
      <c r="K615" s="131"/>
      <c r="L615" s="131"/>
      <c r="U615" s="131"/>
      <c r="V615" s="131"/>
      <c r="W615" s="131"/>
      <c r="X615" s="131"/>
    </row>
    <row r="616" spans="2:24" x14ac:dyDescent="0.25">
      <c r="B616" s="137"/>
      <c r="C616" s="137"/>
      <c r="D616" s="137"/>
      <c r="E616" s="137"/>
      <c r="I616" s="131"/>
      <c r="J616" s="131"/>
      <c r="K616" s="131"/>
      <c r="L616" s="131"/>
      <c r="U616" s="131"/>
      <c r="V616" s="131"/>
      <c r="W616" s="131"/>
      <c r="X616" s="131"/>
    </row>
    <row r="617" spans="2:24" x14ac:dyDescent="0.25">
      <c r="B617" s="137"/>
      <c r="C617" s="137"/>
      <c r="D617" s="137"/>
      <c r="E617" s="137"/>
      <c r="I617" s="131"/>
      <c r="J617" s="131"/>
      <c r="K617" s="131"/>
      <c r="L617" s="131"/>
      <c r="U617" s="131"/>
      <c r="V617" s="131"/>
      <c r="W617" s="131"/>
      <c r="X617" s="131"/>
    </row>
    <row r="618" spans="2:24" x14ac:dyDescent="0.25">
      <c r="B618" s="137"/>
      <c r="C618" s="137"/>
      <c r="D618" s="137"/>
      <c r="E618" s="137"/>
      <c r="I618" s="131"/>
      <c r="J618" s="131"/>
      <c r="K618" s="131"/>
      <c r="L618" s="131"/>
      <c r="U618" s="131"/>
      <c r="V618" s="131"/>
      <c r="W618" s="131"/>
      <c r="X618" s="131"/>
    </row>
    <row r="619" spans="2:24" x14ac:dyDescent="0.25">
      <c r="B619" s="137"/>
      <c r="C619" s="137"/>
      <c r="D619" s="137"/>
      <c r="E619" s="137"/>
      <c r="I619" s="131"/>
      <c r="J619" s="131"/>
      <c r="K619" s="131"/>
      <c r="L619" s="131"/>
      <c r="U619" s="131"/>
      <c r="V619" s="131"/>
      <c r="W619" s="131"/>
      <c r="X619" s="131"/>
    </row>
    <row r="620" spans="2:24" x14ac:dyDescent="0.25">
      <c r="B620" s="137"/>
      <c r="C620" s="137"/>
      <c r="D620" s="137"/>
      <c r="E620" s="137"/>
      <c r="I620" s="131"/>
      <c r="J620" s="131"/>
      <c r="K620" s="131"/>
      <c r="L620" s="131"/>
      <c r="U620" s="131"/>
      <c r="V620" s="131"/>
      <c r="W620" s="131"/>
      <c r="X620" s="131"/>
    </row>
    <row r="621" spans="2:24" x14ac:dyDescent="0.25">
      <c r="B621" s="137"/>
      <c r="C621" s="137"/>
      <c r="D621" s="137"/>
      <c r="E621" s="137"/>
      <c r="I621" s="131"/>
      <c r="J621" s="131"/>
      <c r="K621" s="131"/>
      <c r="L621" s="131"/>
      <c r="U621" s="131"/>
      <c r="V621" s="131"/>
      <c r="W621" s="131"/>
      <c r="X621" s="131"/>
    </row>
    <row r="622" spans="2:24" x14ac:dyDescent="0.25">
      <c r="B622" s="137"/>
      <c r="C622" s="137"/>
      <c r="D622" s="137"/>
      <c r="E622" s="137"/>
      <c r="I622" s="131"/>
      <c r="J622" s="131"/>
      <c r="K622" s="131"/>
      <c r="L622" s="131"/>
      <c r="U622" s="131"/>
      <c r="V622" s="131"/>
      <c r="W622" s="131"/>
      <c r="X622" s="131"/>
    </row>
    <row r="623" spans="2:24" x14ac:dyDescent="0.25">
      <c r="B623" s="137"/>
      <c r="C623" s="137"/>
      <c r="D623" s="137"/>
      <c r="E623" s="137"/>
      <c r="I623" s="131"/>
      <c r="J623" s="131"/>
      <c r="K623" s="131"/>
      <c r="L623" s="131"/>
      <c r="U623" s="131"/>
      <c r="V623" s="131"/>
      <c r="W623" s="131"/>
      <c r="X623" s="131"/>
    </row>
    <row r="624" spans="2:24" x14ac:dyDescent="0.25">
      <c r="B624" s="137"/>
      <c r="C624" s="137"/>
      <c r="D624" s="137"/>
      <c r="E624" s="137"/>
      <c r="I624" s="131"/>
      <c r="J624" s="131"/>
      <c r="K624" s="131"/>
      <c r="L624" s="131"/>
      <c r="U624" s="131"/>
      <c r="V624" s="131"/>
      <c r="W624" s="131"/>
      <c r="X624" s="131"/>
    </row>
    <row r="625" spans="2:24" x14ac:dyDescent="0.25">
      <c r="B625" s="137"/>
      <c r="C625" s="137"/>
      <c r="D625" s="137"/>
      <c r="E625" s="137"/>
      <c r="I625" s="131"/>
      <c r="J625" s="131"/>
      <c r="K625" s="131"/>
      <c r="L625" s="131"/>
      <c r="U625" s="131"/>
      <c r="V625" s="131"/>
      <c r="W625" s="131"/>
      <c r="X625" s="131"/>
    </row>
    <row r="626" spans="2:24" x14ac:dyDescent="0.25">
      <c r="B626" s="137"/>
      <c r="C626" s="137"/>
      <c r="D626" s="137"/>
      <c r="E626" s="137"/>
      <c r="I626" s="131"/>
      <c r="J626" s="131"/>
      <c r="K626" s="131"/>
      <c r="L626" s="131"/>
      <c r="U626" s="131"/>
      <c r="V626" s="131"/>
      <c r="W626" s="131"/>
      <c r="X626" s="131"/>
    </row>
    <row r="627" spans="2:24" x14ac:dyDescent="0.25">
      <c r="B627" s="137"/>
      <c r="C627" s="137"/>
      <c r="D627" s="137"/>
      <c r="E627" s="137"/>
      <c r="I627" s="131"/>
      <c r="J627" s="131"/>
      <c r="K627" s="131"/>
      <c r="L627" s="131"/>
      <c r="U627" s="131"/>
      <c r="V627" s="131"/>
      <c r="W627" s="131"/>
      <c r="X627" s="131"/>
    </row>
    <row r="628" spans="2:24" x14ac:dyDescent="0.25">
      <c r="B628" s="137"/>
      <c r="C628" s="137"/>
      <c r="D628" s="137"/>
      <c r="E628" s="137"/>
      <c r="I628" s="131"/>
      <c r="J628" s="131"/>
      <c r="K628" s="131"/>
      <c r="L628" s="131"/>
      <c r="U628" s="131"/>
      <c r="V628" s="131"/>
      <c r="W628" s="131"/>
      <c r="X628" s="131"/>
    </row>
    <row r="629" spans="2:24" x14ac:dyDescent="0.25">
      <c r="B629" s="137"/>
      <c r="C629" s="137"/>
      <c r="D629" s="137"/>
      <c r="E629" s="137"/>
      <c r="I629" s="131"/>
      <c r="J629" s="131"/>
      <c r="K629" s="131"/>
      <c r="L629" s="131"/>
      <c r="U629" s="131"/>
      <c r="V629" s="131"/>
      <c r="W629" s="131"/>
      <c r="X629" s="131"/>
    </row>
    <row r="630" spans="2:24" x14ac:dyDescent="0.25">
      <c r="B630" s="137"/>
      <c r="C630" s="137"/>
      <c r="D630" s="137"/>
      <c r="E630" s="137"/>
      <c r="I630" s="131"/>
      <c r="J630" s="131"/>
      <c r="K630" s="131"/>
      <c r="L630" s="131"/>
      <c r="U630" s="131"/>
      <c r="V630" s="131"/>
      <c r="W630" s="131"/>
      <c r="X630" s="131"/>
    </row>
    <row r="631" spans="2:24" x14ac:dyDescent="0.25">
      <c r="B631" s="137"/>
      <c r="C631" s="137"/>
      <c r="D631" s="137"/>
      <c r="E631" s="137"/>
      <c r="I631" s="131"/>
      <c r="J631" s="131"/>
      <c r="K631" s="131"/>
      <c r="L631" s="131"/>
      <c r="U631" s="131"/>
      <c r="V631" s="131"/>
      <c r="W631" s="131"/>
      <c r="X631" s="131"/>
    </row>
    <row r="632" spans="2:24" x14ac:dyDescent="0.25">
      <c r="B632" s="137"/>
      <c r="C632" s="137"/>
      <c r="D632" s="137"/>
      <c r="E632" s="137"/>
      <c r="I632" s="131"/>
      <c r="J632" s="131"/>
      <c r="K632" s="131"/>
      <c r="L632" s="131"/>
      <c r="U632" s="131"/>
      <c r="V632" s="131"/>
      <c r="W632" s="131"/>
      <c r="X632" s="131"/>
    </row>
    <row r="633" spans="2:24" x14ac:dyDescent="0.25">
      <c r="B633" s="137"/>
      <c r="C633" s="137"/>
      <c r="D633" s="137"/>
      <c r="E633" s="137"/>
      <c r="I633" s="131"/>
      <c r="J633" s="131"/>
      <c r="K633" s="131"/>
      <c r="L633" s="131"/>
      <c r="U633" s="131"/>
      <c r="V633" s="131"/>
      <c r="W633" s="131"/>
      <c r="X633" s="131"/>
    </row>
    <row r="634" spans="2:24" x14ac:dyDescent="0.25">
      <c r="B634" s="137"/>
      <c r="C634" s="137"/>
      <c r="D634" s="137"/>
      <c r="E634" s="137"/>
      <c r="I634" s="131"/>
      <c r="J634" s="131"/>
      <c r="K634" s="131"/>
      <c r="L634" s="131"/>
      <c r="U634" s="131"/>
      <c r="V634" s="131"/>
      <c r="W634" s="131"/>
      <c r="X634" s="131"/>
    </row>
    <row r="635" spans="2:24" x14ac:dyDescent="0.25">
      <c r="B635" s="137"/>
      <c r="C635" s="137"/>
      <c r="D635" s="137"/>
      <c r="E635" s="137"/>
      <c r="I635" s="131"/>
      <c r="J635" s="131"/>
      <c r="K635" s="131"/>
      <c r="L635" s="131"/>
      <c r="U635" s="131"/>
      <c r="V635" s="131"/>
      <c r="W635" s="131"/>
      <c r="X635" s="131"/>
    </row>
    <row r="636" spans="2:24" x14ac:dyDescent="0.25">
      <c r="B636" s="137"/>
      <c r="C636" s="137"/>
      <c r="D636" s="137"/>
      <c r="E636" s="137"/>
      <c r="I636" s="131"/>
      <c r="J636" s="131"/>
      <c r="K636" s="131"/>
      <c r="L636" s="131"/>
      <c r="U636" s="131"/>
      <c r="V636" s="131"/>
      <c r="W636" s="131"/>
      <c r="X636" s="131"/>
    </row>
    <row r="637" spans="2:24" x14ac:dyDescent="0.25">
      <c r="B637" s="137"/>
      <c r="C637" s="137"/>
      <c r="D637" s="137"/>
      <c r="E637" s="137"/>
      <c r="I637" s="131"/>
      <c r="J637" s="131"/>
      <c r="K637" s="131"/>
      <c r="L637" s="131"/>
      <c r="U637" s="131"/>
      <c r="V637" s="131"/>
      <c r="W637" s="131"/>
      <c r="X637" s="131"/>
    </row>
    <row r="638" spans="2:24" x14ac:dyDescent="0.25">
      <c r="B638" s="137"/>
      <c r="C638" s="137"/>
      <c r="D638" s="137"/>
      <c r="E638" s="137"/>
      <c r="I638" s="131"/>
      <c r="J638" s="131"/>
      <c r="K638" s="131"/>
      <c r="L638" s="131"/>
      <c r="U638" s="131"/>
      <c r="V638" s="131"/>
      <c r="W638" s="131"/>
      <c r="X638" s="131"/>
    </row>
    <row r="639" spans="2:24" x14ac:dyDescent="0.25">
      <c r="B639" s="137"/>
      <c r="C639" s="137"/>
      <c r="D639" s="137"/>
      <c r="E639" s="137"/>
      <c r="I639" s="131"/>
      <c r="J639" s="131"/>
      <c r="K639" s="131"/>
      <c r="L639" s="131"/>
      <c r="U639" s="131"/>
      <c r="V639" s="131"/>
      <c r="W639" s="131"/>
      <c r="X639" s="131"/>
    </row>
    <row r="640" spans="2:24" x14ac:dyDescent="0.25">
      <c r="B640" s="137"/>
      <c r="C640" s="137"/>
      <c r="D640" s="137"/>
      <c r="E640" s="137"/>
      <c r="I640" s="131"/>
      <c r="J640" s="131"/>
      <c r="K640" s="131"/>
      <c r="L640" s="131"/>
      <c r="U640" s="131"/>
      <c r="V640" s="131"/>
      <c r="W640" s="131"/>
      <c r="X640" s="131"/>
    </row>
    <row r="641" spans="2:24" x14ac:dyDescent="0.25">
      <c r="B641" s="137"/>
      <c r="C641" s="137"/>
      <c r="D641" s="137"/>
      <c r="E641" s="137"/>
      <c r="I641" s="131"/>
      <c r="J641" s="131"/>
      <c r="K641" s="131"/>
      <c r="L641" s="131"/>
      <c r="U641" s="131"/>
      <c r="V641" s="131"/>
      <c r="W641" s="131"/>
      <c r="X641" s="131"/>
    </row>
    <row r="642" spans="2:24" x14ac:dyDescent="0.25">
      <c r="B642" s="137"/>
      <c r="C642" s="137"/>
      <c r="D642" s="137"/>
      <c r="E642" s="137"/>
      <c r="I642" s="131"/>
      <c r="J642" s="131"/>
      <c r="K642" s="131"/>
      <c r="L642" s="131"/>
      <c r="U642" s="131"/>
      <c r="V642" s="131"/>
      <c r="W642" s="131"/>
      <c r="X642" s="131"/>
    </row>
    <row r="643" spans="2:24" x14ac:dyDescent="0.25">
      <c r="B643" s="137"/>
      <c r="C643" s="137"/>
      <c r="D643" s="137"/>
      <c r="E643" s="137"/>
      <c r="I643" s="131"/>
      <c r="J643" s="131"/>
      <c r="K643" s="131"/>
      <c r="L643" s="131"/>
      <c r="U643" s="131"/>
      <c r="V643" s="131"/>
      <c r="W643" s="131"/>
      <c r="X643" s="131"/>
    </row>
    <row r="644" spans="2:24" x14ac:dyDescent="0.25">
      <c r="B644" s="137"/>
      <c r="C644" s="137"/>
      <c r="D644" s="137"/>
      <c r="E644" s="137"/>
      <c r="I644" s="131"/>
      <c r="J644" s="131"/>
      <c r="K644" s="131"/>
      <c r="L644" s="131"/>
      <c r="U644" s="131"/>
      <c r="V644" s="131"/>
      <c r="W644" s="131"/>
      <c r="X644" s="131"/>
    </row>
    <row r="645" spans="2:24" x14ac:dyDescent="0.25">
      <c r="B645" s="137"/>
      <c r="C645" s="137"/>
      <c r="D645" s="137"/>
      <c r="E645" s="137"/>
      <c r="I645" s="131"/>
      <c r="J645" s="131"/>
      <c r="K645" s="131"/>
      <c r="L645" s="131"/>
      <c r="U645" s="131"/>
      <c r="V645" s="131"/>
      <c r="W645" s="131"/>
      <c r="X645" s="131"/>
    </row>
    <row r="646" spans="2:24" x14ac:dyDescent="0.25">
      <c r="B646" s="137"/>
      <c r="C646" s="137"/>
      <c r="D646" s="137"/>
      <c r="E646" s="137"/>
      <c r="I646" s="131"/>
      <c r="J646" s="131"/>
      <c r="K646" s="131"/>
      <c r="L646" s="131"/>
      <c r="U646" s="131"/>
      <c r="V646" s="131"/>
      <c r="W646" s="131"/>
      <c r="X646" s="131"/>
    </row>
    <row r="647" spans="2:24" x14ac:dyDescent="0.25">
      <c r="B647" s="137"/>
      <c r="C647" s="137"/>
      <c r="D647" s="137"/>
      <c r="E647" s="137"/>
      <c r="I647" s="131"/>
      <c r="J647" s="131"/>
      <c r="K647" s="131"/>
      <c r="L647" s="131"/>
      <c r="U647" s="131"/>
      <c r="V647" s="131"/>
      <c r="W647" s="131"/>
      <c r="X647" s="131"/>
    </row>
    <row r="648" spans="2:24" x14ac:dyDescent="0.25">
      <c r="B648" s="137"/>
      <c r="C648" s="137"/>
      <c r="D648" s="137"/>
      <c r="E648" s="137"/>
      <c r="I648" s="131"/>
      <c r="J648" s="131"/>
      <c r="K648" s="131"/>
      <c r="L648" s="131"/>
      <c r="U648" s="131"/>
      <c r="V648" s="131"/>
      <c r="W648" s="131"/>
      <c r="X648" s="131"/>
    </row>
    <row r="649" spans="2:24" x14ac:dyDescent="0.25">
      <c r="B649" s="137"/>
      <c r="C649" s="137"/>
      <c r="D649" s="137"/>
      <c r="E649" s="137"/>
      <c r="I649" s="131"/>
      <c r="J649" s="131"/>
      <c r="K649" s="131"/>
      <c r="L649" s="131"/>
      <c r="U649" s="131"/>
      <c r="V649" s="131"/>
      <c r="W649" s="131"/>
      <c r="X649" s="131"/>
    </row>
    <row r="650" spans="2:24" x14ac:dyDescent="0.25">
      <c r="B650" s="137"/>
      <c r="C650" s="137"/>
      <c r="D650" s="137"/>
      <c r="E650" s="137"/>
      <c r="I650" s="131"/>
      <c r="J650" s="131"/>
      <c r="K650" s="131"/>
      <c r="L650" s="131"/>
      <c r="U650" s="131"/>
      <c r="V650" s="131"/>
      <c r="W650" s="131"/>
      <c r="X650" s="131"/>
    </row>
    <row r="651" spans="2:24" x14ac:dyDescent="0.25">
      <c r="B651" s="137"/>
      <c r="C651" s="137"/>
      <c r="D651" s="137"/>
      <c r="E651" s="137"/>
      <c r="I651" s="131"/>
      <c r="J651" s="131"/>
      <c r="K651" s="131"/>
      <c r="L651" s="131"/>
      <c r="U651" s="131"/>
      <c r="V651" s="131"/>
      <c r="W651" s="131"/>
      <c r="X651" s="131"/>
    </row>
    <row r="652" spans="2:24" x14ac:dyDescent="0.25">
      <c r="B652" s="137"/>
      <c r="C652" s="137"/>
      <c r="D652" s="137"/>
      <c r="E652" s="137"/>
      <c r="I652" s="131"/>
      <c r="J652" s="131"/>
      <c r="K652" s="131"/>
      <c r="L652" s="131"/>
      <c r="U652" s="131"/>
      <c r="V652" s="131"/>
      <c r="W652" s="131"/>
      <c r="X652" s="131"/>
    </row>
    <row r="653" spans="2:24" x14ac:dyDescent="0.25">
      <c r="B653" s="137"/>
      <c r="C653" s="137"/>
      <c r="D653" s="137"/>
      <c r="E653" s="137"/>
      <c r="I653" s="131"/>
      <c r="J653" s="131"/>
      <c r="K653" s="131"/>
      <c r="L653" s="131"/>
      <c r="U653" s="131"/>
      <c r="V653" s="131"/>
      <c r="W653" s="131"/>
      <c r="X653" s="131"/>
    </row>
    <row r="654" spans="2:24" x14ac:dyDescent="0.25">
      <c r="B654" s="137"/>
      <c r="C654" s="137"/>
      <c r="D654" s="137"/>
      <c r="E654" s="137"/>
      <c r="I654" s="131"/>
      <c r="J654" s="131"/>
      <c r="K654" s="131"/>
      <c r="L654" s="131"/>
      <c r="U654" s="131"/>
      <c r="V654" s="131"/>
      <c r="W654" s="131"/>
      <c r="X654" s="131"/>
    </row>
    <row r="655" spans="2:24" x14ac:dyDescent="0.25">
      <c r="B655" s="137"/>
      <c r="C655" s="137"/>
      <c r="D655" s="137"/>
      <c r="E655" s="137"/>
      <c r="I655" s="131"/>
      <c r="J655" s="131"/>
      <c r="K655" s="131"/>
      <c r="L655" s="131"/>
      <c r="U655" s="131"/>
      <c r="V655" s="131"/>
      <c r="W655" s="131"/>
      <c r="X655" s="131"/>
    </row>
    <row r="656" spans="2:24" x14ac:dyDescent="0.25">
      <c r="B656" s="137"/>
      <c r="C656" s="137"/>
      <c r="D656" s="137"/>
      <c r="E656" s="137"/>
      <c r="I656" s="131"/>
      <c r="J656" s="131"/>
      <c r="K656" s="131"/>
      <c r="L656" s="131"/>
      <c r="U656" s="131"/>
      <c r="V656" s="131"/>
      <c r="W656" s="131"/>
      <c r="X656" s="131"/>
    </row>
    <row r="657" spans="2:24" x14ac:dyDescent="0.25">
      <c r="B657" s="137"/>
      <c r="C657" s="137"/>
      <c r="D657" s="137"/>
      <c r="E657" s="137"/>
      <c r="I657" s="131"/>
      <c r="J657" s="131"/>
      <c r="K657" s="131"/>
      <c r="L657" s="131"/>
      <c r="U657" s="131"/>
      <c r="V657" s="131"/>
      <c r="W657" s="131"/>
      <c r="X657" s="131"/>
    </row>
    <row r="658" spans="2:24" x14ac:dyDescent="0.25">
      <c r="B658" s="137"/>
      <c r="C658" s="137"/>
      <c r="D658" s="137"/>
      <c r="E658" s="137"/>
      <c r="I658" s="131"/>
      <c r="J658" s="131"/>
      <c r="K658" s="131"/>
      <c r="L658" s="131"/>
      <c r="U658" s="131"/>
      <c r="V658" s="131"/>
      <c r="W658" s="131"/>
      <c r="X658" s="131"/>
    </row>
    <row r="659" spans="2:24" x14ac:dyDescent="0.25">
      <c r="B659" s="137"/>
      <c r="C659" s="137"/>
      <c r="D659" s="137"/>
      <c r="E659" s="137"/>
      <c r="I659" s="131"/>
      <c r="J659" s="131"/>
      <c r="K659" s="131"/>
      <c r="L659" s="131"/>
      <c r="U659" s="131"/>
      <c r="V659" s="131"/>
      <c r="W659" s="131"/>
      <c r="X659" s="131"/>
    </row>
    <row r="660" spans="2:24" x14ac:dyDescent="0.25">
      <c r="B660" s="137"/>
      <c r="C660" s="137"/>
      <c r="D660" s="137"/>
      <c r="E660" s="137"/>
      <c r="I660" s="131"/>
      <c r="J660" s="131"/>
      <c r="K660" s="131"/>
      <c r="L660" s="131"/>
      <c r="U660" s="131"/>
      <c r="V660" s="131"/>
      <c r="W660" s="131"/>
      <c r="X660" s="131"/>
    </row>
    <row r="661" spans="2:24" x14ac:dyDescent="0.25">
      <c r="B661" s="137"/>
      <c r="C661" s="137"/>
      <c r="D661" s="137"/>
      <c r="E661" s="137"/>
      <c r="I661" s="131"/>
      <c r="J661" s="131"/>
      <c r="K661" s="131"/>
      <c r="L661" s="131"/>
      <c r="U661" s="131"/>
      <c r="V661" s="131"/>
      <c r="W661" s="131"/>
      <c r="X661" s="131"/>
    </row>
    <row r="662" spans="2:24" x14ac:dyDescent="0.25">
      <c r="B662" s="137"/>
      <c r="C662" s="137"/>
      <c r="D662" s="137"/>
      <c r="E662" s="137"/>
      <c r="I662" s="131"/>
      <c r="J662" s="131"/>
      <c r="K662" s="131"/>
      <c r="L662" s="131"/>
      <c r="U662" s="131"/>
      <c r="V662" s="131"/>
      <c r="W662" s="131"/>
      <c r="X662" s="131"/>
    </row>
    <row r="663" spans="2:24" x14ac:dyDescent="0.25">
      <c r="B663" s="137"/>
      <c r="C663" s="137"/>
      <c r="D663" s="137"/>
      <c r="E663" s="137"/>
      <c r="I663" s="131"/>
      <c r="J663" s="131"/>
      <c r="K663" s="131"/>
      <c r="L663" s="131"/>
      <c r="U663" s="131"/>
      <c r="V663" s="131"/>
      <c r="W663" s="131"/>
      <c r="X663" s="131"/>
    </row>
    <row r="664" spans="2:24" x14ac:dyDescent="0.25">
      <c r="B664" s="137"/>
      <c r="C664" s="137"/>
      <c r="D664" s="137"/>
      <c r="E664" s="137"/>
      <c r="I664" s="131"/>
      <c r="J664" s="131"/>
      <c r="K664" s="131"/>
      <c r="L664" s="131"/>
      <c r="U664" s="131"/>
      <c r="V664" s="131"/>
      <c r="W664" s="131"/>
      <c r="X664" s="131"/>
    </row>
    <row r="665" spans="2:24" x14ac:dyDescent="0.25">
      <c r="B665" s="137"/>
      <c r="C665" s="137"/>
      <c r="D665" s="137"/>
      <c r="E665" s="137"/>
      <c r="I665" s="131"/>
      <c r="J665" s="131"/>
      <c r="K665" s="131"/>
      <c r="L665" s="131"/>
      <c r="U665" s="131"/>
      <c r="V665" s="131"/>
      <c r="W665" s="131"/>
      <c r="X665" s="131"/>
    </row>
    <row r="666" spans="2:24" x14ac:dyDescent="0.25">
      <c r="B666" s="137"/>
      <c r="C666" s="137"/>
      <c r="D666" s="137"/>
      <c r="E666" s="137"/>
      <c r="I666" s="131"/>
      <c r="J666" s="131"/>
      <c r="K666" s="131"/>
      <c r="L666" s="131"/>
      <c r="U666" s="131"/>
      <c r="V666" s="131"/>
      <c r="W666" s="131"/>
      <c r="X666" s="131"/>
    </row>
    <row r="667" spans="2:24" x14ac:dyDescent="0.25">
      <c r="B667" s="137"/>
      <c r="C667" s="137"/>
      <c r="D667" s="137"/>
      <c r="E667" s="137"/>
      <c r="I667" s="131"/>
      <c r="J667" s="131"/>
      <c r="K667" s="131"/>
      <c r="L667" s="131"/>
      <c r="U667" s="131"/>
      <c r="V667" s="131"/>
      <c r="W667" s="131"/>
      <c r="X667" s="131"/>
    </row>
    <row r="668" spans="2:24" x14ac:dyDescent="0.25">
      <c r="B668" s="137"/>
      <c r="C668" s="137"/>
      <c r="D668" s="137"/>
      <c r="E668" s="137"/>
      <c r="I668" s="131"/>
      <c r="J668" s="131"/>
      <c r="K668" s="131"/>
      <c r="L668" s="131"/>
      <c r="U668" s="131"/>
      <c r="V668" s="131"/>
      <c r="W668" s="131"/>
      <c r="X668" s="131"/>
    </row>
    <row r="669" spans="2:24" x14ac:dyDescent="0.25">
      <c r="B669" s="137"/>
      <c r="C669" s="137"/>
      <c r="D669" s="137"/>
      <c r="E669" s="137"/>
      <c r="I669" s="131"/>
      <c r="J669" s="131"/>
      <c r="K669" s="131"/>
      <c r="L669" s="131"/>
      <c r="U669" s="131"/>
      <c r="V669" s="131"/>
      <c r="W669" s="131"/>
      <c r="X669" s="131"/>
    </row>
    <row r="670" spans="2:24" x14ac:dyDescent="0.25">
      <c r="B670" s="137"/>
      <c r="C670" s="137"/>
      <c r="D670" s="137"/>
      <c r="E670" s="137"/>
      <c r="I670" s="131"/>
      <c r="J670" s="131"/>
      <c r="K670" s="131"/>
      <c r="L670" s="131"/>
      <c r="U670" s="131"/>
      <c r="V670" s="131"/>
      <c r="W670" s="131"/>
      <c r="X670" s="131"/>
    </row>
    <row r="671" spans="2:24" x14ac:dyDescent="0.25">
      <c r="B671" s="137"/>
      <c r="C671" s="137"/>
      <c r="D671" s="137"/>
      <c r="E671" s="137"/>
      <c r="I671" s="131"/>
      <c r="J671" s="131"/>
      <c r="K671" s="131"/>
      <c r="L671" s="131"/>
      <c r="U671" s="131"/>
      <c r="V671" s="131"/>
      <c r="W671" s="131"/>
      <c r="X671" s="131"/>
    </row>
    <row r="672" spans="2:24" x14ac:dyDescent="0.25">
      <c r="B672" s="137"/>
      <c r="C672" s="137"/>
      <c r="D672" s="137"/>
      <c r="E672" s="137"/>
      <c r="I672" s="131"/>
      <c r="J672" s="131"/>
      <c r="K672" s="131"/>
      <c r="L672" s="131"/>
      <c r="U672" s="131"/>
      <c r="V672" s="131"/>
      <c r="W672" s="131"/>
      <c r="X672" s="131"/>
    </row>
    <row r="673" spans="2:24" x14ac:dyDescent="0.25">
      <c r="B673" s="137"/>
      <c r="C673" s="137"/>
      <c r="D673" s="137"/>
      <c r="E673" s="137"/>
      <c r="I673" s="131"/>
      <c r="J673" s="131"/>
      <c r="K673" s="131"/>
      <c r="L673" s="131"/>
      <c r="U673" s="131"/>
      <c r="V673" s="131"/>
      <c r="W673" s="131"/>
      <c r="X673" s="131"/>
    </row>
    <row r="674" spans="2:24" x14ac:dyDescent="0.25">
      <c r="B674" s="137"/>
      <c r="C674" s="137"/>
      <c r="D674" s="137"/>
      <c r="E674" s="137"/>
      <c r="I674" s="131"/>
      <c r="J674" s="131"/>
      <c r="K674" s="131"/>
      <c r="L674" s="131"/>
      <c r="U674" s="131"/>
      <c r="V674" s="131"/>
      <c r="W674" s="131"/>
      <c r="X674" s="131"/>
    </row>
    <row r="675" spans="2:24" x14ac:dyDescent="0.25">
      <c r="B675" s="137"/>
      <c r="C675" s="137"/>
      <c r="D675" s="137"/>
      <c r="E675" s="137"/>
      <c r="I675" s="131"/>
      <c r="J675" s="131"/>
      <c r="K675" s="131"/>
      <c r="L675" s="131"/>
      <c r="U675" s="131"/>
      <c r="V675" s="131"/>
      <c r="W675" s="131"/>
      <c r="X675" s="131"/>
    </row>
    <row r="676" spans="2:24" x14ac:dyDescent="0.25">
      <c r="B676" s="137"/>
      <c r="C676" s="137"/>
      <c r="D676" s="137"/>
      <c r="E676" s="137"/>
      <c r="I676" s="131"/>
      <c r="J676" s="131"/>
      <c r="K676" s="131"/>
      <c r="L676" s="131"/>
      <c r="U676" s="131"/>
      <c r="V676" s="131"/>
      <c r="W676" s="131"/>
      <c r="X676" s="131"/>
    </row>
    <row r="677" spans="2:24" x14ac:dyDescent="0.25">
      <c r="B677" s="137"/>
      <c r="C677" s="137"/>
      <c r="D677" s="137"/>
      <c r="E677" s="137"/>
      <c r="I677" s="131"/>
      <c r="J677" s="131"/>
      <c r="K677" s="131"/>
      <c r="L677" s="131"/>
      <c r="U677" s="131"/>
      <c r="V677" s="131"/>
      <c r="W677" s="131"/>
      <c r="X677" s="131"/>
    </row>
    <row r="678" spans="2:24" x14ac:dyDescent="0.25">
      <c r="B678" s="137"/>
      <c r="C678" s="137"/>
      <c r="D678" s="137"/>
      <c r="E678" s="137"/>
      <c r="I678" s="131"/>
      <c r="J678" s="131"/>
      <c r="K678" s="131"/>
      <c r="L678" s="131"/>
      <c r="U678" s="131"/>
      <c r="V678" s="131"/>
      <c r="W678" s="131"/>
      <c r="X678" s="131"/>
    </row>
    <row r="679" spans="2:24" x14ac:dyDescent="0.25">
      <c r="B679" s="137"/>
      <c r="C679" s="137"/>
      <c r="D679" s="137"/>
      <c r="E679" s="137"/>
      <c r="I679" s="131"/>
      <c r="J679" s="131"/>
      <c r="K679" s="131"/>
      <c r="L679" s="131"/>
      <c r="U679" s="131"/>
      <c r="V679" s="131"/>
      <c r="W679" s="131"/>
      <c r="X679" s="131"/>
    </row>
    <row r="680" spans="2:24" x14ac:dyDescent="0.25">
      <c r="B680" s="137"/>
      <c r="C680" s="137"/>
      <c r="D680" s="137"/>
      <c r="E680" s="137"/>
      <c r="I680" s="131"/>
      <c r="J680" s="131"/>
      <c r="K680" s="131"/>
      <c r="L680" s="131"/>
      <c r="U680" s="131"/>
      <c r="V680" s="131"/>
      <c r="W680" s="131"/>
      <c r="X680" s="131"/>
    </row>
    <row r="681" spans="2:24" x14ac:dyDescent="0.25">
      <c r="B681" s="137"/>
      <c r="C681" s="137"/>
      <c r="D681" s="137"/>
      <c r="E681" s="137"/>
      <c r="I681" s="131"/>
      <c r="J681" s="131"/>
      <c r="K681" s="131"/>
      <c r="L681" s="131"/>
      <c r="U681" s="131"/>
      <c r="V681" s="131"/>
      <c r="W681" s="131"/>
      <c r="X681" s="131"/>
    </row>
    <row r="682" spans="2:24" x14ac:dyDescent="0.25">
      <c r="B682" s="137"/>
      <c r="C682" s="137"/>
      <c r="D682" s="137"/>
      <c r="E682" s="137"/>
      <c r="I682" s="131"/>
      <c r="J682" s="131"/>
      <c r="K682" s="131"/>
      <c r="L682" s="131"/>
      <c r="U682" s="131"/>
      <c r="V682" s="131"/>
      <c r="W682" s="131"/>
      <c r="X682" s="131"/>
    </row>
    <row r="683" spans="2:24" x14ac:dyDescent="0.25">
      <c r="B683" s="137"/>
      <c r="C683" s="137"/>
      <c r="D683" s="137"/>
      <c r="E683" s="137"/>
      <c r="I683" s="131"/>
      <c r="J683" s="131"/>
      <c r="K683" s="131"/>
      <c r="L683" s="131"/>
      <c r="U683" s="131"/>
      <c r="V683" s="131"/>
      <c r="W683" s="131"/>
      <c r="X683" s="131"/>
    </row>
    <row r="684" spans="2:24" x14ac:dyDescent="0.25">
      <c r="B684" s="137"/>
      <c r="C684" s="137"/>
      <c r="D684" s="137"/>
      <c r="E684" s="137"/>
      <c r="I684" s="131"/>
      <c r="J684" s="131"/>
      <c r="K684" s="131"/>
      <c r="L684" s="131"/>
      <c r="U684" s="131"/>
      <c r="V684" s="131"/>
      <c r="W684" s="131"/>
      <c r="X684" s="131"/>
    </row>
    <row r="685" spans="2:24" x14ac:dyDescent="0.25">
      <c r="B685" s="137"/>
      <c r="C685" s="137"/>
      <c r="D685" s="137"/>
      <c r="E685" s="137"/>
      <c r="I685" s="131"/>
      <c r="J685" s="131"/>
      <c r="K685" s="131"/>
      <c r="L685" s="131"/>
      <c r="U685" s="131"/>
      <c r="V685" s="131"/>
      <c r="W685" s="131"/>
      <c r="X685" s="131"/>
    </row>
    <row r="686" spans="2:24" x14ac:dyDescent="0.25">
      <c r="B686" s="137"/>
      <c r="C686" s="137"/>
      <c r="D686" s="137"/>
      <c r="E686" s="137"/>
      <c r="I686" s="131"/>
      <c r="J686" s="131"/>
      <c r="K686" s="131"/>
      <c r="L686" s="131"/>
      <c r="U686" s="131"/>
      <c r="V686" s="131"/>
      <c r="W686" s="131"/>
      <c r="X686" s="131"/>
    </row>
    <row r="687" spans="2:24" x14ac:dyDescent="0.25">
      <c r="B687" s="137"/>
      <c r="C687" s="137"/>
      <c r="D687" s="137"/>
      <c r="E687" s="137"/>
      <c r="I687" s="131"/>
      <c r="J687" s="131"/>
      <c r="K687" s="131"/>
      <c r="L687" s="131"/>
      <c r="U687" s="131"/>
      <c r="V687" s="131"/>
      <c r="W687" s="131"/>
      <c r="X687" s="131"/>
    </row>
    <row r="688" spans="2:24" x14ac:dyDescent="0.25">
      <c r="B688" s="137"/>
      <c r="C688" s="137"/>
      <c r="D688" s="137"/>
      <c r="E688" s="137"/>
      <c r="I688" s="131"/>
      <c r="J688" s="131"/>
      <c r="K688" s="131"/>
      <c r="L688" s="131"/>
      <c r="U688" s="131"/>
      <c r="V688" s="131"/>
      <c r="W688" s="131"/>
      <c r="X688" s="131"/>
    </row>
    <row r="689" spans="2:24" x14ac:dyDescent="0.25">
      <c r="B689" s="137"/>
      <c r="C689" s="137"/>
      <c r="D689" s="137"/>
      <c r="E689" s="137"/>
      <c r="I689" s="131"/>
      <c r="J689" s="131"/>
      <c r="K689" s="131"/>
      <c r="L689" s="131"/>
      <c r="U689" s="131"/>
      <c r="V689" s="131"/>
      <c r="W689" s="131"/>
      <c r="X689" s="131"/>
    </row>
    <row r="690" spans="2:24" x14ac:dyDescent="0.25">
      <c r="B690" s="137"/>
      <c r="C690" s="137"/>
      <c r="D690" s="137"/>
      <c r="E690" s="137"/>
      <c r="I690" s="131"/>
      <c r="J690" s="131"/>
      <c r="K690" s="131"/>
      <c r="L690" s="131"/>
      <c r="U690" s="131"/>
      <c r="V690" s="131"/>
      <c r="W690" s="131"/>
      <c r="X690" s="131"/>
    </row>
    <row r="691" spans="2:24" x14ac:dyDescent="0.25">
      <c r="B691" s="137"/>
      <c r="C691" s="137"/>
      <c r="D691" s="137"/>
      <c r="E691" s="137"/>
      <c r="I691" s="131"/>
      <c r="J691" s="131"/>
      <c r="K691" s="131"/>
      <c r="L691" s="131"/>
      <c r="U691" s="131"/>
      <c r="V691" s="131"/>
      <c r="W691" s="131"/>
      <c r="X691" s="131"/>
    </row>
    <row r="692" spans="2:24" x14ac:dyDescent="0.25">
      <c r="B692" s="137"/>
      <c r="C692" s="137"/>
      <c r="D692" s="137"/>
      <c r="E692" s="137"/>
      <c r="I692" s="131"/>
      <c r="J692" s="131"/>
      <c r="K692" s="131"/>
      <c r="L692" s="131"/>
      <c r="U692" s="131"/>
      <c r="V692" s="131"/>
      <c r="W692" s="131"/>
      <c r="X692" s="131"/>
    </row>
    <row r="693" spans="2:24" x14ac:dyDescent="0.25">
      <c r="B693" s="137"/>
      <c r="C693" s="137"/>
      <c r="D693" s="137"/>
      <c r="E693" s="137"/>
      <c r="I693" s="131"/>
      <c r="J693" s="131"/>
      <c r="K693" s="131"/>
      <c r="L693" s="131"/>
      <c r="U693" s="131"/>
      <c r="V693" s="131"/>
      <c r="W693" s="131"/>
      <c r="X693" s="131"/>
    </row>
    <row r="694" spans="2:24" x14ac:dyDescent="0.25">
      <c r="B694" s="137"/>
      <c r="C694" s="137"/>
      <c r="D694" s="137"/>
      <c r="E694" s="137"/>
      <c r="I694" s="131"/>
      <c r="J694" s="131"/>
      <c r="K694" s="131"/>
      <c r="L694" s="131"/>
      <c r="U694" s="131"/>
      <c r="V694" s="131"/>
      <c r="W694" s="131"/>
      <c r="X694" s="131"/>
    </row>
    <row r="695" spans="2:24" x14ac:dyDescent="0.25">
      <c r="B695" s="137"/>
      <c r="C695" s="137"/>
      <c r="D695" s="137"/>
      <c r="E695" s="137"/>
      <c r="I695" s="131"/>
      <c r="J695" s="131"/>
      <c r="K695" s="131"/>
      <c r="L695" s="131"/>
      <c r="U695" s="131"/>
      <c r="V695" s="131"/>
      <c r="W695" s="131"/>
      <c r="X695" s="131"/>
    </row>
    <row r="696" spans="2:24" x14ac:dyDescent="0.25">
      <c r="B696" s="137"/>
      <c r="C696" s="137"/>
      <c r="D696" s="137"/>
      <c r="E696" s="137"/>
      <c r="I696" s="131"/>
      <c r="J696" s="131"/>
      <c r="K696" s="131"/>
      <c r="L696" s="131"/>
      <c r="U696" s="131"/>
      <c r="V696" s="131"/>
      <c r="W696" s="131"/>
      <c r="X696" s="131"/>
    </row>
    <row r="697" spans="2:24" x14ac:dyDescent="0.25">
      <c r="B697" s="137"/>
      <c r="C697" s="137"/>
      <c r="D697" s="137"/>
      <c r="E697" s="137"/>
      <c r="I697" s="131"/>
      <c r="J697" s="131"/>
      <c r="K697" s="131"/>
      <c r="L697" s="131"/>
      <c r="U697" s="131"/>
      <c r="V697" s="131"/>
      <c r="W697" s="131"/>
      <c r="X697" s="131"/>
    </row>
    <row r="698" spans="2:24" x14ac:dyDescent="0.25">
      <c r="B698" s="137"/>
      <c r="C698" s="137"/>
      <c r="D698" s="137"/>
      <c r="E698" s="137"/>
      <c r="I698" s="131"/>
      <c r="J698" s="131"/>
      <c r="K698" s="131"/>
      <c r="L698" s="131"/>
      <c r="U698" s="131"/>
      <c r="V698" s="131"/>
      <c r="W698" s="131"/>
      <c r="X698" s="131"/>
    </row>
    <row r="699" spans="2:24" x14ac:dyDescent="0.25">
      <c r="B699" s="137"/>
      <c r="C699" s="137"/>
      <c r="D699" s="137"/>
      <c r="E699" s="137"/>
      <c r="I699" s="131"/>
      <c r="J699" s="131"/>
      <c r="K699" s="131"/>
      <c r="L699" s="131"/>
      <c r="U699" s="131"/>
      <c r="V699" s="131"/>
      <c r="W699" s="131"/>
      <c r="X699" s="131"/>
    </row>
    <row r="700" spans="2:24" x14ac:dyDescent="0.25">
      <c r="B700" s="137"/>
      <c r="C700" s="137"/>
      <c r="D700" s="137"/>
      <c r="E700" s="137"/>
      <c r="I700" s="131"/>
      <c r="J700" s="131"/>
      <c r="K700" s="131"/>
      <c r="L700" s="131"/>
      <c r="U700" s="131"/>
      <c r="V700" s="131"/>
      <c r="W700" s="131"/>
      <c r="X700" s="131"/>
    </row>
    <row r="701" spans="2:24" x14ac:dyDescent="0.25">
      <c r="B701" s="137"/>
      <c r="C701" s="137"/>
      <c r="D701" s="137"/>
      <c r="E701" s="137"/>
      <c r="I701" s="131"/>
      <c r="J701" s="131"/>
      <c r="K701" s="131"/>
      <c r="L701" s="131"/>
      <c r="U701" s="131"/>
      <c r="V701" s="131"/>
      <c r="W701" s="131"/>
      <c r="X701" s="131"/>
    </row>
    <row r="702" spans="2:24" x14ac:dyDescent="0.25">
      <c r="B702" s="137"/>
      <c r="C702" s="137"/>
      <c r="D702" s="137"/>
      <c r="E702" s="137"/>
      <c r="I702" s="131"/>
      <c r="J702" s="131"/>
      <c r="K702" s="131"/>
      <c r="L702" s="131"/>
      <c r="U702" s="131"/>
      <c r="V702" s="131"/>
      <c r="W702" s="131"/>
      <c r="X702" s="131"/>
    </row>
    <row r="703" spans="2:24" x14ac:dyDescent="0.25">
      <c r="B703" s="137"/>
      <c r="C703" s="137"/>
      <c r="D703" s="137"/>
      <c r="E703" s="137"/>
      <c r="I703" s="131"/>
      <c r="J703" s="131"/>
      <c r="K703" s="131"/>
      <c r="L703" s="131"/>
      <c r="U703" s="131"/>
      <c r="V703" s="131"/>
      <c r="W703" s="131"/>
      <c r="X703" s="131"/>
    </row>
    <row r="704" spans="2:24" x14ac:dyDescent="0.25">
      <c r="B704" s="137"/>
      <c r="C704" s="137"/>
      <c r="D704" s="137"/>
      <c r="E704" s="137"/>
      <c r="I704" s="131"/>
      <c r="J704" s="131"/>
      <c r="K704" s="131"/>
      <c r="L704" s="131"/>
      <c r="U704" s="131"/>
      <c r="V704" s="131"/>
      <c r="W704" s="131"/>
      <c r="X704" s="131"/>
    </row>
    <row r="705" spans="2:24" x14ac:dyDescent="0.25">
      <c r="B705" s="137"/>
      <c r="C705" s="137"/>
      <c r="D705" s="137"/>
      <c r="E705" s="137"/>
      <c r="I705" s="131"/>
      <c r="J705" s="131"/>
      <c r="K705" s="131"/>
      <c r="L705" s="131"/>
      <c r="U705" s="131"/>
      <c r="V705" s="131"/>
      <c r="W705" s="131"/>
      <c r="X705" s="131"/>
    </row>
    <row r="706" spans="2:24" x14ac:dyDescent="0.25">
      <c r="B706" s="137"/>
      <c r="C706" s="137"/>
      <c r="D706" s="137"/>
      <c r="E706" s="137"/>
      <c r="I706" s="131"/>
      <c r="J706" s="131"/>
      <c r="K706" s="131"/>
      <c r="L706" s="131"/>
      <c r="U706" s="131"/>
      <c r="V706" s="131"/>
      <c r="W706" s="131"/>
      <c r="X706" s="131"/>
    </row>
    <row r="707" spans="2:24" x14ac:dyDescent="0.25">
      <c r="B707" s="137"/>
      <c r="C707" s="137"/>
      <c r="D707" s="137"/>
      <c r="E707" s="137"/>
      <c r="I707" s="131"/>
      <c r="J707" s="131"/>
      <c r="K707" s="131"/>
      <c r="L707" s="131"/>
      <c r="U707" s="131"/>
      <c r="V707" s="131"/>
      <c r="W707" s="131"/>
      <c r="X707" s="131"/>
    </row>
    <row r="708" spans="2:24" x14ac:dyDescent="0.25">
      <c r="B708" s="137"/>
      <c r="C708" s="137"/>
      <c r="D708" s="137"/>
      <c r="E708" s="137"/>
      <c r="I708" s="131"/>
      <c r="J708" s="131"/>
      <c r="K708" s="131"/>
      <c r="L708" s="131"/>
      <c r="U708" s="131"/>
      <c r="V708" s="131"/>
      <c r="W708" s="131"/>
      <c r="X708" s="131"/>
    </row>
    <row r="709" spans="2:24" x14ac:dyDescent="0.25">
      <c r="B709" s="137"/>
      <c r="C709" s="137"/>
      <c r="D709" s="137"/>
      <c r="E709" s="137"/>
      <c r="I709" s="131"/>
      <c r="J709" s="131"/>
      <c r="K709" s="131"/>
      <c r="L709" s="131"/>
      <c r="U709" s="131"/>
      <c r="V709" s="131"/>
      <c r="W709" s="131"/>
      <c r="X709" s="131"/>
    </row>
    <row r="710" spans="2:24" x14ac:dyDescent="0.25">
      <c r="B710" s="137"/>
      <c r="C710" s="137"/>
      <c r="D710" s="137"/>
      <c r="E710" s="137"/>
      <c r="I710" s="131"/>
      <c r="J710" s="131"/>
      <c r="K710" s="131"/>
      <c r="L710" s="131"/>
      <c r="U710" s="131"/>
      <c r="V710" s="131"/>
      <c r="W710" s="131"/>
      <c r="X710" s="131"/>
    </row>
    <row r="711" spans="2:24" x14ac:dyDescent="0.25">
      <c r="B711" s="137"/>
      <c r="C711" s="137"/>
      <c r="D711" s="137"/>
      <c r="E711" s="137"/>
      <c r="I711" s="131"/>
      <c r="J711" s="131"/>
      <c r="K711" s="131"/>
      <c r="L711" s="131"/>
      <c r="U711" s="131"/>
      <c r="V711" s="131"/>
      <c r="W711" s="131"/>
      <c r="X711" s="131"/>
    </row>
    <row r="712" spans="2:24" x14ac:dyDescent="0.25">
      <c r="B712" s="137"/>
      <c r="C712" s="137"/>
      <c r="D712" s="137"/>
      <c r="E712" s="137"/>
      <c r="I712" s="131"/>
      <c r="J712" s="131"/>
      <c r="K712" s="131"/>
      <c r="L712" s="131"/>
      <c r="U712" s="131"/>
      <c r="V712" s="131"/>
      <c r="W712" s="131"/>
      <c r="X712" s="131"/>
    </row>
    <row r="713" spans="2:24" x14ac:dyDescent="0.25">
      <c r="B713" s="137"/>
      <c r="C713" s="137"/>
      <c r="D713" s="137"/>
      <c r="E713" s="137"/>
      <c r="I713" s="131"/>
      <c r="J713" s="131"/>
      <c r="K713" s="131"/>
      <c r="L713" s="131"/>
      <c r="U713" s="131"/>
      <c r="V713" s="131"/>
      <c r="W713" s="131"/>
      <c r="X713" s="131"/>
    </row>
    <row r="714" spans="2:24" x14ac:dyDescent="0.25">
      <c r="B714" s="137"/>
      <c r="C714" s="137"/>
      <c r="D714" s="137"/>
      <c r="E714" s="137"/>
      <c r="I714" s="131"/>
      <c r="J714" s="131"/>
      <c r="K714" s="131"/>
      <c r="L714" s="131"/>
      <c r="U714" s="131"/>
      <c r="V714" s="131"/>
      <c r="W714" s="131"/>
      <c r="X714" s="131"/>
    </row>
    <row r="715" spans="2:24" x14ac:dyDescent="0.25">
      <c r="B715" s="137"/>
      <c r="C715" s="137"/>
      <c r="D715" s="137"/>
      <c r="E715" s="137"/>
      <c r="I715" s="131"/>
      <c r="J715" s="131"/>
      <c r="K715" s="131"/>
      <c r="L715" s="131"/>
      <c r="U715" s="131"/>
      <c r="V715" s="131"/>
      <c r="W715" s="131"/>
      <c r="X715" s="131"/>
    </row>
    <row r="716" spans="2:24" x14ac:dyDescent="0.25">
      <c r="B716" s="137"/>
      <c r="C716" s="137"/>
      <c r="D716" s="137"/>
      <c r="E716" s="137"/>
      <c r="I716" s="131"/>
      <c r="J716" s="131"/>
      <c r="K716" s="131"/>
      <c r="L716" s="131"/>
      <c r="U716" s="131"/>
      <c r="V716" s="131"/>
      <c r="W716" s="131"/>
      <c r="X716" s="131"/>
    </row>
    <row r="717" spans="2:24" x14ac:dyDescent="0.25">
      <c r="B717" s="137"/>
      <c r="C717" s="137"/>
      <c r="D717" s="137"/>
      <c r="E717" s="137"/>
      <c r="I717" s="131"/>
      <c r="J717" s="131"/>
      <c r="K717" s="131"/>
      <c r="L717" s="131"/>
      <c r="U717" s="131"/>
      <c r="V717" s="131"/>
      <c r="W717" s="131"/>
      <c r="X717" s="131"/>
    </row>
    <row r="718" spans="2:24" x14ac:dyDescent="0.25">
      <c r="B718" s="137"/>
      <c r="C718" s="137"/>
      <c r="D718" s="137"/>
      <c r="E718" s="137"/>
      <c r="I718" s="131"/>
      <c r="J718" s="131"/>
      <c r="K718" s="131"/>
      <c r="L718" s="131"/>
      <c r="U718" s="131"/>
      <c r="V718" s="131"/>
      <c r="W718" s="131"/>
      <c r="X718" s="131"/>
    </row>
    <row r="719" spans="2:24" x14ac:dyDescent="0.25">
      <c r="B719" s="137"/>
      <c r="C719" s="137"/>
      <c r="D719" s="137"/>
      <c r="E719" s="137"/>
      <c r="I719" s="131"/>
      <c r="J719" s="131"/>
      <c r="K719" s="131"/>
      <c r="L719" s="131"/>
      <c r="U719" s="131"/>
      <c r="V719" s="131"/>
      <c r="W719" s="131"/>
      <c r="X719" s="131"/>
    </row>
    <row r="720" spans="2:24" x14ac:dyDescent="0.25">
      <c r="B720" s="137"/>
      <c r="C720" s="137"/>
      <c r="D720" s="137"/>
      <c r="E720" s="137"/>
      <c r="I720" s="131"/>
      <c r="J720" s="131"/>
      <c r="K720" s="131"/>
      <c r="L720" s="131"/>
      <c r="U720" s="131"/>
      <c r="V720" s="131"/>
      <c r="W720" s="131"/>
      <c r="X720" s="131"/>
    </row>
    <row r="721" spans="2:24" x14ac:dyDescent="0.25">
      <c r="B721" s="137"/>
      <c r="C721" s="137"/>
      <c r="D721" s="137"/>
      <c r="E721" s="137"/>
      <c r="I721" s="131"/>
      <c r="J721" s="131"/>
      <c r="K721" s="131"/>
      <c r="L721" s="131"/>
      <c r="U721" s="131"/>
      <c r="V721" s="131"/>
      <c r="W721" s="131"/>
      <c r="X721" s="131"/>
    </row>
    <row r="722" spans="2:24" x14ac:dyDescent="0.25">
      <c r="B722" s="137"/>
      <c r="C722" s="137"/>
      <c r="D722" s="137"/>
      <c r="E722" s="137"/>
      <c r="I722" s="131"/>
      <c r="J722" s="131"/>
      <c r="K722" s="131"/>
      <c r="L722" s="131"/>
      <c r="U722" s="131"/>
      <c r="V722" s="131"/>
      <c r="W722" s="131"/>
      <c r="X722" s="131"/>
    </row>
    <row r="723" spans="2:24" x14ac:dyDescent="0.25">
      <c r="B723" s="137"/>
      <c r="C723" s="137"/>
      <c r="D723" s="137"/>
      <c r="E723" s="137"/>
      <c r="I723" s="131"/>
      <c r="J723" s="131"/>
      <c r="K723" s="131"/>
      <c r="L723" s="131"/>
      <c r="U723" s="131"/>
      <c r="V723" s="131"/>
      <c r="W723" s="131"/>
      <c r="X723" s="131"/>
    </row>
    <row r="724" spans="2:24" x14ac:dyDescent="0.25">
      <c r="B724" s="137"/>
      <c r="C724" s="137"/>
      <c r="D724" s="137"/>
      <c r="E724" s="137"/>
      <c r="I724" s="131"/>
      <c r="J724" s="131"/>
      <c r="K724" s="131"/>
      <c r="L724" s="131"/>
      <c r="U724" s="131"/>
      <c r="V724" s="131"/>
      <c r="W724" s="131"/>
      <c r="X724" s="131"/>
    </row>
    <row r="725" spans="2:24" x14ac:dyDescent="0.25">
      <c r="B725" s="137"/>
      <c r="C725" s="137"/>
      <c r="D725" s="137"/>
      <c r="E725" s="137"/>
      <c r="I725" s="131"/>
      <c r="J725" s="131"/>
      <c r="K725" s="131"/>
      <c r="L725" s="131"/>
      <c r="U725" s="131"/>
      <c r="V725" s="131"/>
      <c r="W725" s="131"/>
      <c r="X725" s="131"/>
    </row>
    <row r="726" spans="2:24" x14ac:dyDescent="0.25">
      <c r="B726" s="137"/>
      <c r="C726" s="137"/>
      <c r="D726" s="137"/>
      <c r="E726" s="137"/>
      <c r="I726" s="131"/>
      <c r="J726" s="131"/>
      <c r="K726" s="131"/>
      <c r="L726" s="131"/>
      <c r="U726" s="131"/>
      <c r="V726" s="131"/>
      <c r="W726" s="131"/>
      <c r="X726" s="131"/>
    </row>
    <row r="727" spans="2:24" x14ac:dyDescent="0.25">
      <c r="B727" s="137"/>
      <c r="C727" s="137"/>
      <c r="D727" s="137"/>
      <c r="E727" s="137"/>
      <c r="I727" s="131"/>
      <c r="J727" s="131"/>
      <c r="K727" s="131"/>
      <c r="L727" s="131"/>
      <c r="U727" s="131"/>
      <c r="V727" s="131"/>
      <c r="W727" s="131"/>
      <c r="X727" s="131"/>
    </row>
    <row r="728" spans="2:24" x14ac:dyDescent="0.25">
      <c r="B728" s="137"/>
      <c r="C728" s="137"/>
      <c r="D728" s="137"/>
      <c r="E728" s="137"/>
      <c r="I728" s="131"/>
      <c r="J728" s="131"/>
      <c r="K728" s="131"/>
      <c r="L728" s="131"/>
      <c r="U728" s="131"/>
      <c r="V728" s="131"/>
      <c r="W728" s="131"/>
      <c r="X728" s="131"/>
    </row>
    <row r="729" spans="2:24" x14ac:dyDescent="0.25">
      <c r="B729" s="137"/>
      <c r="C729" s="137"/>
      <c r="D729" s="137"/>
      <c r="E729" s="137"/>
      <c r="I729" s="131"/>
      <c r="J729" s="131"/>
      <c r="K729" s="131"/>
      <c r="L729" s="131"/>
      <c r="U729" s="131"/>
      <c r="V729" s="131"/>
      <c r="W729" s="131"/>
      <c r="X729" s="131"/>
    </row>
    <row r="730" spans="2:24" x14ac:dyDescent="0.25">
      <c r="B730" s="137"/>
      <c r="C730" s="137"/>
      <c r="D730" s="137"/>
      <c r="E730" s="137"/>
      <c r="I730" s="131"/>
      <c r="J730" s="131"/>
      <c r="K730" s="131"/>
      <c r="L730" s="131"/>
      <c r="U730" s="131"/>
      <c r="V730" s="131"/>
      <c r="W730" s="131"/>
      <c r="X730" s="131"/>
    </row>
    <row r="731" spans="2:24" x14ac:dyDescent="0.25">
      <c r="B731" s="137"/>
      <c r="C731" s="137"/>
      <c r="D731" s="137"/>
      <c r="E731" s="137"/>
      <c r="I731" s="131"/>
      <c r="J731" s="131"/>
      <c r="K731" s="131"/>
      <c r="L731" s="131"/>
      <c r="U731" s="131"/>
      <c r="V731" s="131"/>
      <c r="W731" s="131"/>
      <c r="X731" s="131"/>
    </row>
    <row r="732" spans="2:24" x14ac:dyDescent="0.25">
      <c r="B732" s="137"/>
      <c r="C732" s="137"/>
      <c r="D732" s="137"/>
      <c r="E732" s="137"/>
      <c r="I732" s="131"/>
      <c r="J732" s="131"/>
      <c r="K732" s="131"/>
      <c r="L732" s="131"/>
      <c r="U732" s="131"/>
      <c r="V732" s="131"/>
      <c r="W732" s="131"/>
      <c r="X732" s="131"/>
    </row>
    <row r="733" spans="2:24" x14ac:dyDescent="0.25">
      <c r="B733" s="137"/>
      <c r="C733" s="137"/>
      <c r="D733" s="137"/>
      <c r="E733" s="137"/>
      <c r="I733" s="131"/>
      <c r="J733" s="131"/>
      <c r="K733" s="131"/>
      <c r="L733" s="131"/>
      <c r="U733" s="131"/>
      <c r="V733" s="131"/>
      <c r="W733" s="131"/>
      <c r="X733" s="131"/>
    </row>
    <row r="734" spans="2:24" x14ac:dyDescent="0.25">
      <c r="B734" s="137"/>
      <c r="C734" s="137"/>
      <c r="D734" s="137"/>
      <c r="E734" s="137"/>
      <c r="I734" s="131"/>
      <c r="J734" s="131"/>
      <c r="K734" s="131"/>
      <c r="L734" s="131"/>
      <c r="U734" s="131"/>
      <c r="V734" s="131"/>
      <c r="W734" s="131"/>
      <c r="X734" s="131"/>
    </row>
    <row r="735" spans="2:24" x14ac:dyDescent="0.25">
      <c r="B735" s="137"/>
      <c r="C735" s="137"/>
      <c r="D735" s="137"/>
      <c r="E735" s="137"/>
      <c r="I735" s="131"/>
      <c r="J735" s="131"/>
      <c r="K735" s="131"/>
      <c r="L735" s="131"/>
      <c r="U735" s="131"/>
      <c r="V735" s="131"/>
      <c r="W735" s="131"/>
      <c r="X735" s="131"/>
    </row>
    <row r="736" spans="2:24" x14ac:dyDescent="0.25">
      <c r="B736" s="137"/>
      <c r="C736" s="137"/>
      <c r="D736" s="137"/>
      <c r="E736" s="137"/>
      <c r="I736" s="131"/>
      <c r="J736" s="131"/>
      <c r="K736" s="131"/>
      <c r="L736" s="131"/>
      <c r="U736" s="131"/>
      <c r="V736" s="131"/>
      <c r="W736" s="131"/>
      <c r="X736" s="131"/>
    </row>
    <row r="737" spans="2:24" x14ac:dyDescent="0.25">
      <c r="B737" s="137"/>
      <c r="C737" s="137"/>
      <c r="D737" s="137"/>
      <c r="E737" s="137"/>
      <c r="I737" s="131"/>
      <c r="J737" s="131"/>
      <c r="K737" s="131"/>
      <c r="L737" s="131"/>
      <c r="U737" s="131"/>
      <c r="V737" s="131"/>
      <c r="W737" s="131"/>
      <c r="X737" s="131"/>
    </row>
    <row r="738" spans="2:24" x14ac:dyDescent="0.25">
      <c r="B738" s="137"/>
      <c r="C738" s="137"/>
      <c r="D738" s="137"/>
      <c r="E738" s="137"/>
      <c r="I738" s="131"/>
      <c r="J738" s="131"/>
      <c r="K738" s="131"/>
      <c r="L738" s="131"/>
      <c r="U738" s="131"/>
      <c r="V738" s="131"/>
      <c r="W738" s="131"/>
      <c r="X738" s="131"/>
    </row>
    <row r="739" spans="2:24" x14ac:dyDescent="0.25">
      <c r="B739" s="137"/>
      <c r="C739" s="137"/>
      <c r="D739" s="137"/>
      <c r="E739" s="137"/>
      <c r="I739" s="131"/>
      <c r="J739" s="131"/>
      <c r="K739" s="131"/>
      <c r="L739" s="131"/>
      <c r="U739" s="131"/>
      <c r="V739" s="131"/>
      <c r="W739" s="131"/>
      <c r="X739" s="131"/>
    </row>
    <row r="740" spans="2:24" x14ac:dyDescent="0.25">
      <c r="B740" s="137"/>
      <c r="C740" s="137"/>
      <c r="D740" s="137"/>
      <c r="E740" s="137"/>
      <c r="I740" s="131"/>
      <c r="J740" s="131"/>
      <c r="K740" s="131"/>
      <c r="L740" s="131"/>
      <c r="U740" s="131"/>
      <c r="V740" s="131"/>
      <c r="W740" s="131"/>
      <c r="X740" s="131"/>
    </row>
    <row r="741" spans="2:24" x14ac:dyDescent="0.25">
      <c r="B741" s="137"/>
      <c r="C741" s="137"/>
      <c r="D741" s="137"/>
      <c r="E741" s="137"/>
      <c r="I741" s="131"/>
      <c r="J741" s="131"/>
      <c r="K741" s="131"/>
      <c r="L741" s="131"/>
      <c r="U741" s="131"/>
      <c r="V741" s="131"/>
      <c r="W741" s="131"/>
      <c r="X741" s="131"/>
    </row>
    <row r="742" spans="2:24" x14ac:dyDescent="0.25">
      <c r="B742" s="137"/>
      <c r="C742" s="137"/>
      <c r="D742" s="137"/>
      <c r="E742" s="137"/>
      <c r="I742" s="131"/>
      <c r="J742" s="131"/>
      <c r="K742" s="131"/>
      <c r="L742" s="131"/>
      <c r="U742" s="131"/>
      <c r="V742" s="131"/>
      <c r="W742" s="131"/>
      <c r="X742" s="131"/>
    </row>
    <row r="743" spans="2:24" x14ac:dyDescent="0.25">
      <c r="B743" s="137"/>
      <c r="C743" s="137"/>
      <c r="D743" s="137"/>
      <c r="E743" s="137"/>
      <c r="I743" s="131"/>
      <c r="J743" s="131"/>
      <c r="K743" s="131"/>
      <c r="L743" s="131"/>
      <c r="U743" s="131"/>
      <c r="V743" s="131"/>
      <c r="W743" s="131"/>
      <c r="X743" s="131"/>
    </row>
    <row r="744" spans="2:24" x14ac:dyDescent="0.25">
      <c r="B744" s="137"/>
      <c r="C744" s="137"/>
      <c r="D744" s="137"/>
      <c r="E744" s="137"/>
      <c r="I744" s="131"/>
      <c r="J744" s="131"/>
      <c r="K744" s="131"/>
      <c r="L744" s="131"/>
      <c r="U744" s="131"/>
      <c r="V744" s="131"/>
      <c r="W744" s="131"/>
      <c r="X744" s="131"/>
    </row>
    <row r="745" spans="2:24" x14ac:dyDescent="0.25">
      <c r="B745" s="137"/>
      <c r="C745" s="137"/>
      <c r="D745" s="137"/>
      <c r="E745" s="137"/>
      <c r="I745" s="131"/>
      <c r="J745" s="131"/>
      <c r="K745" s="131"/>
      <c r="L745" s="131"/>
      <c r="U745" s="131"/>
      <c r="V745" s="131"/>
      <c r="W745" s="131"/>
      <c r="X745" s="131"/>
    </row>
    <row r="746" spans="2:24" x14ac:dyDescent="0.25">
      <c r="B746" s="137"/>
      <c r="C746" s="137"/>
      <c r="D746" s="137"/>
      <c r="E746" s="137"/>
      <c r="I746" s="131"/>
      <c r="J746" s="131"/>
      <c r="K746" s="131"/>
      <c r="L746" s="131"/>
      <c r="U746" s="131"/>
      <c r="V746" s="131"/>
      <c r="W746" s="131"/>
      <c r="X746" s="131"/>
    </row>
    <row r="747" spans="2:24" x14ac:dyDescent="0.25">
      <c r="B747" s="137"/>
      <c r="C747" s="137"/>
      <c r="D747" s="137"/>
      <c r="E747" s="137"/>
      <c r="I747" s="131"/>
      <c r="J747" s="131"/>
      <c r="K747" s="131"/>
      <c r="L747" s="131"/>
      <c r="U747" s="131"/>
      <c r="V747" s="131"/>
      <c r="W747" s="131"/>
      <c r="X747" s="131"/>
    </row>
    <row r="748" spans="2:24" x14ac:dyDescent="0.25">
      <c r="B748" s="137"/>
      <c r="C748" s="137"/>
      <c r="D748" s="137"/>
      <c r="E748" s="137"/>
      <c r="I748" s="131"/>
      <c r="J748" s="131"/>
      <c r="K748" s="131"/>
      <c r="L748" s="131"/>
      <c r="U748" s="131"/>
      <c r="V748" s="131"/>
      <c r="W748" s="131"/>
      <c r="X748" s="131"/>
    </row>
    <row r="749" spans="2:24" x14ac:dyDescent="0.25">
      <c r="B749" s="137"/>
      <c r="C749" s="137"/>
      <c r="D749" s="137"/>
      <c r="E749" s="137"/>
      <c r="I749" s="131"/>
      <c r="J749" s="131"/>
      <c r="K749" s="131"/>
      <c r="L749" s="131"/>
      <c r="U749" s="131"/>
      <c r="V749" s="131"/>
      <c r="W749" s="131"/>
      <c r="X749" s="131"/>
    </row>
    <row r="750" spans="2:24" x14ac:dyDescent="0.25">
      <c r="B750" s="137"/>
      <c r="C750" s="137"/>
      <c r="D750" s="137"/>
      <c r="E750" s="137"/>
      <c r="I750" s="131"/>
      <c r="J750" s="131"/>
      <c r="K750" s="131"/>
      <c r="L750" s="131"/>
      <c r="U750" s="131"/>
      <c r="V750" s="131"/>
      <c r="W750" s="131"/>
      <c r="X750" s="131"/>
    </row>
    <row r="751" spans="2:24" x14ac:dyDescent="0.25">
      <c r="B751" s="137"/>
      <c r="C751" s="137"/>
      <c r="D751" s="137"/>
      <c r="E751" s="137"/>
      <c r="I751" s="131"/>
      <c r="J751" s="131"/>
      <c r="K751" s="131"/>
      <c r="L751" s="131"/>
      <c r="U751" s="131"/>
      <c r="V751" s="131"/>
      <c r="W751" s="131"/>
      <c r="X751" s="131"/>
    </row>
    <row r="752" spans="2:24" x14ac:dyDescent="0.25">
      <c r="B752" s="137"/>
      <c r="C752" s="137"/>
      <c r="D752" s="137"/>
      <c r="E752" s="137"/>
      <c r="I752" s="131"/>
      <c r="J752" s="131"/>
      <c r="K752" s="131"/>
      <c r="L752" s="131"/>
      <c r="U752" s="131"/>
      <c r="V752" s="131"/>
      <c r="W752" s="131"/>
      <c r="X752" s="131"/>
    </row>
    <row r="753" spans="2:24" x14ac:dyDescent="0.25">
      <c r="B753" s="137"/>
      <c r="C753" s="137"/>
      <c r="D753" s="137"/>
      <c r="E753" s="137"/>
      <c r="I753" s="131"/>
      <c r="J753" s="131"/>
      <c r="K753" s="131"/>
      <c r="L753" s="131"/>
      <c r="U753" s="131"/>
      <c r="V753" s="131"/>
      <c r="W753" s="131"/>
      <c r="X753" s="131"/>
    </row>
    <row r="754" spans="2:24" x14ac:dyDescent="0.25">
      <c r="B754" s="137"/>
      <c r="C754" s="137"/>
      <c r="D754" s="137"/>
      <c r="E754" s="137"/>
      <c r="I754" s="131"/>
      <c r="J754" s="131"/>
      <c r="K754" s="131"/>
      <c r="L754" s="131"/>
      <c r="U754" s="131"/>
      <c r="V754" s="131"/>
      <c r="W754" s="131"/>
      <c r="X754" s="131"/>
    </row>
    <row r="755" spans="2:24" x14ac:dyDescent="0.25">
      <c r="B755" s="137"/>
      <c r="C755" s="137"/>
      <c r="D755" s="137"/>
      <c r="E755" s="137"/>
      <c r="I755" s="131"/>
      <c r="J755" s="131"/>
      <c r="K755" s="131"/>
      <c r="L755" s="131"/>
      <c r="U755" s="131"/>
      <c r="V755" s="131"/>
      <c r="W755" s="131"/>
      <c r="X755" s="131"/>
    </row>
    <row r="756" spans="2:24" x14ac:dyDescent="0.25">
      <c r="B756" s="137"/>
      <c r="C756" s="137"/>
      <c r="D756" s="137"/>
      <c r="E756" s="137"/>
      <c r="I756" s="131"/>
      <c r="J756" s="131"/>
      <c r="K756" s="131"/>
      <c r="L756" s="131"/>
      <c r="U756" s="131"/>
      <c r="V756" s="131"/>
      <c r="W756" s="131"/>
      <c r="X756" s="131"/>
    </row>
    <row r="757" spans="2:24" x14ac:dyDescent="0.25">
      <c r="B757" s="137"/>
      <c r="C757" s="137"/>
      <c r="D757" s="137"/>
      <c r="E757" s="137"/>
      <c r="I757" s="131"/>
      <c r="J757" s="131"/>
      <c r="K757" s="131"/>
      <c r="L757" s="131"/>
      <c r="U757" s="131"/>
      <c r="V757" s="131"/>
      <c r="W757" s="131"/>
      <c r="X757" s="131"/>
    </row>
    <row r="758" spans="2:24" x14ac:dyDescent="0.25">
      <c r="B758" s="137"/>
      <c r="C758" s="137"/>
      <c r="D758" s="137"/>
      <c r="E758" s="137"/>
      <c r="I758" s="131"/>
      <c r="J758" s="131"/>
      <c r="K758" s="131"/>
      <c r="L758" s="131"/>
      <c r="U758" s="131"/>
      <c r="V758" s="131"/>
      <c r="W758" s="131"/>
      <c r="X758" s="131"/>
    </row>
    <row r="759" spans="2:24" x14ac:dyDescent="0.25">
      <c r="B759" s="137"/>
      <c r="C759" s="137"/>
      <c r="D759" s="137"/>
      <c r="E759" s="137"/>
      <c r="I759" s="131"/>
      <c r="J759" s="131"/>
      <c r="K759" s="131"/>
      <c r="L759" s="131"/>
      <c r="U759" s="131"/>
      <c r="V759" s="131"/>
      <c r="W759" s="131"/>
      <c r="X759" s="131"/>
    </row>
    <row r="760" spans="2:24" x14ac:dyDescent="0.25">
      <c r="B760" s="137"/>
      <c r="C760" s="137"/>
      <c r="D760" s="137"/>
      <c r="E760" s="137"/>
      <c r="I760" s="131"/>
      <c r="J760" s="131"/>
      <c r="K760" s="131"/>
      <c r="L760" s="131"/>
      <c r="U760" s="131"/>
      <c r="V760" s="131"/>
      <c r="W760" s="131"/>
      <c r="X760" s="131"/>
    </row>
    <row r="761" spans="2:24" x14ac:dyDescent="0.25">
      <c r="B761" s="137"/>
      <c r="C761" s="137"/>
      <c r="D761" s="137"/>
      <c r="E761" s="137"/>
      <c r="I761" s="131"/>
      <c r="J761" s="131"/>
      <c r="K761" s="131"/>
      <c r="L761" s="131"/>
      <c r="U761" s="131"/>
      <c r="V761" s="131"/>
      <c r="W761" s="131"/>
      <c r="X761" s="131"/>
    </row>
    <row r="762" spans="2:24" x14ac:dyDescent="0.25">
      <c r="B762" s="137"/>
      <c r="C762" s="137"/>
      <c r="D762" s="137"/>
      <c r="E762" s="137"/>
      <c r="I762" s="131"/>
      <c r="J762" s="131"/>
      <c r="K762" s="131"/>
      <c r="L762" s="131"/>
      <c r="U762" s="131"/>
      <c r="V762" s="131"/>
      <c r="W762" s="131"/>
      <c r="X762" s="131"/>
    </row>
    <row r="763" spans="2:24" x14ac:dyDescent="0.25">
      <c r="B763" s="137"/>
      <c r="C763" s="137"/>
      <c r="D763" s="137"/>
      <c r="E763" s="137"/>
      <c r="I763" s="131"/>
      <c r="J763" s="131"/>
      <c r="K763" s="131"/>
      <c r="L763" s="131"/>
      <c r="U763" s="131"/>
      <c r="V763" s="131"/>
      <c r="W763" s="131"/>
      <c r="X763" s="131"/>
    </row>
    <row r="764" spans="2:24" x14ac:dyDescent="0.25">
      <c r="B764" s="137"/>
      <c r="C764" s="137"/>
      <c r="D764" s="137"/>
      <c r="E764" s="137"/>
      <c r="I764" s="131"/>
      <c r="J764" s="131"/>
      <c r="K764" s="131"/>
      <c r="L764" s="131"/>
      <c r="U764" s="131"/>
      <c r="V764" s="131"/>
      <c r="W764" s="131"/>
      <c r="X764" s="131"/>
    </row>
    <row r="765" spans="2:24" x14ac:dyDescent="0.25">
      <c r="B765" s="137"/>
      <c r="C765" s="137"/>
      <c r="D765" s="137"/>
      <c r="E765" s="137"/>
      <c r="I765" s="131"/>
      <c r="J765" s="131"/>
      <c r="K765" s="131"/>
      <c r="L765" s="131"/>
      <c r="U765" s="131"/>
      <c r="V765" s="131"/>
      <c r="W765" s="131"/>
      <c r="X765" s="131"/>
    </row>
    <row r="766" spans="2:24" x14ac:dyDescent="0.25">
      <c r="B766" s="137"/>
      <c r="C766" s="137"/>
      <c r="D766" s="137"/>
      <c r="E766" s="137"/>
      <c r="I766" s="131"/>
      <c r="J766" s="131"/>
      <c r="K766" s="131"/>
      <c r="L766" s="131"/>
      <c r="U766" s="131"/>
      <c r="V766" s="131"/>
      <c r="W766" s="131"/>
      <c r="X766" s="131"/>
    </row>
    <row r="767" spans="2:24" x14ac:dyDescent="0.25">
      <c r="B767" s="137"/>
      <c r="C767" s="137"/>
      <c r="D767" s="137"/>
      <c r="E767" s="137"/>
      <c r="I767" s="131"/>
      <c r="J767" s="131"/>
      <c r="K767" s="131"/>
      <c r="L767" s="131"/>
      <c r="U767" s="131"/>
      <c r="V767" s="131"/>
      <c r="W767" s="131"/>
      <c r="X767" s="131"/>
    </row>
    <row r="768" spans="2:24" x14ac:dyDescent="0.25">
      <c r="B768" s="137"/>
      <c r="C768" s="137"/>
      <c r="D768" s="137"/>
      <c r="E768" s="137"/>
      <c r="I768" s="131"/>
      <c r="J768" s="131"/>
      <c r="K768" s="131"/>
      <c r="L768" s="131"/>
      <c r="U768" s="131"/>
      <c r="V768" s="131"/>
      <c r="W768" s="131"/>
      <c r="X768" s="131"/>
    </row>
    <row r="769" spans="2:24" x14ac:dyDescent="0.25">
      <c r="B769" s="137"/>
      <c r="C769" s="137"/>
      <c r="D769" s="137"/>
      <c r="E769" s="137"/>
      <c r="I769" s="131"/>
      <c r="J769" s="131"/>
      <c r="K769" s="131"/>
      <c r="L769" s="131"/>
      <c r="U769" s="131"/>
      <c r="V769" s="131"/>
      <c r="W769" s="131"/>
      <c r="X769" s="131"/>
    </row>
    <row r="770" spans="2:24" x14ac:dyDescent="0.25">
      <c r="B770" s="137"/>
      <c r="C770" s="137"/>
      <c r="D770" s="137"/>
      <c r="E770" s="137"/>
      <c r="I770" s="131"/>
      <c r="J770" s="131"/>
      <c r="K770" s="131"/>
      <c r="L770" s="131"/>
      <c r="U770" s="131"/>
      <c r="V770" s="131"/>
      <c r="W770" s="131"/>
      <c r="X770" s="131"/>
    </row>
    <row r="771" spans="2:24" x14ac:dyDescent="0.25">
      <c r="B771" s="137"/>
      <c r="C771" s="137"/>
      <c r="D771" s="137"/>
      <c r="E771" s="137"/>
      <c r="I771" s="131"/>
      <c r="J771" s="131"/>
      <c r="K771" s="131"/>
      <c r="L771" s="131"/>
      <c r="U771" s="131"/>
      <c r="V771" s="131"/>
      <c r="W771" s="131"/>
      <c r="X771" s="131"/>
    </row>
    <row r="772" spans="2:24" x14ac:dyDescent="0.25">
      <c r="B772" s="137"/>
      <c r="C772" s="137"/>
      <c r="D772" s="137"/>
      <c r="E772" s="137"/>
      <c r="I772" s="131"/>
      <c r="J772" s="131"/>
      <c r="K772" s="131"/>
      <c r="L772" s="131"/>
      <c r="U772" s="131"/>
      <c r="V772" s="131"/>
      <c r="W772" s="131"/>
      <c r="X772" s="131"/>
    </row>
    <row r="773" spans="2:24" x14ac:dyDescent="0.25">
      <c r="B773" s="137"/>
      <c r="C773" s="137"/>
      <c r="D773" s="137"/>
      <c r="E773" s="137"/>
      <c r="I773" s="131"/>
      <c r="J773" s="131"/>
      <c r="K773" s="131"/>
      <c r="L773" s="131"/>
      <c r="U773" s="131"/>
      <c r="V773" s="131"/>
      <c r="W773" s="131"/>
      <c r="X773" s="131"/>
    </row>
    <row r="774" spans="2:24" x14ac:dyDescent="0.25">
      <c r="B774" s="137"/>
      <c r="C774" s="137"/>
      <c r="D774" s="137"/>
      <c r="E774" s="137"/>
      <c r="I774" s="131"/>
      <c r="J774" s="131"/>
      <c r="K774" s="131"/>
      <c r="L774" s="131"/>
      <c r="U774" s="131"/>
      <c r="V774" s="131"/>
      <c r="W774" s="131"/>
      <c r="X774" s="131"/>
    </row>
    <row r="775" spans="2:24" x14ac:dyDescent="0.25">
      <c r="B775" s="137"/>
      <c r="C775" s="137"/>
      <c r="D775" s="137"/>
      <c r="E775" s="137"/>
      <c r="I775" s="131"/>
      <c r="J775" s="131"/>
      <c r="K775" s="131"/>
      <c r="L775" s="131"/>
      <c r="U775" s="131"/>
      <c r="V775" s="131"/>
      <c r="W775" s="131"/>
      <c r="X775" s="131"/>
    </row>
    <row r="776" spans="2:24" x14ac:dyDescent="0.25">
      <c r="B776" s="137"/>
      <c r="C776" s="137"/>
      <c r="D776" s="137"/>
      <c r="E776" s="137"/>
      <c r="I776" s="131"/>
      <c r="J776" s="131"/>
      <c r="K776" s="131"/>
      <c r="L776" s="131"/>
      <c r="U776" s="131"/>
      <c r="V776" s="131"/>
      <c r="W776" s="131"/>
      <c r="X776" s="131"/>
    </row>
    <row r="777" spans="2:24" x14ac:dyDescent="0.25">
      <c r="B777" s="137"/>
      <c r="C777" s="137"/>
      <c r="D777" s="137"/>
      <c r="E777" s="137"/>
      <c r="I777" s="131"/>
      <c r="J777" s="131"/>
      <c r="K777" s="131"/>
      <c r="L777" s="131"/>
      <c r="U777" s="131"/>
      <c r="V777" s="131"/>
      <c r="W777" s="131"/>
      <c r="X777" s="131"/>
    </row>
    <row r="778" spans="2:24" x14ac:dyDescent="0.25">
      <c r="B778" s="137"/>
      <c r="C778" s="137"/>
      <c r="D778" s="137"/>
      <c r="E778" s="137"/>
      <c r="I778" s="131"/>
      <c r="J778" s="131"/>
      <c r="K778" s="131"/>
      <c r="L778" s="131"/>
      <c r="U778" s="131"/>
      <c r="V778" s="131"/>
      <c r="W778" s="131"/>
      <c r="X778" s="131"/>
    </row>
    <row r="779" spans="2:24" x14ac:dyDescent="0.25">
      <c r="B779" s="137"/>
      <c r="C779" s="137"/>
      <c r="D779" s="137"/>
      <c r="E779" s="137"/>
      <c r="I779" s="131"/>
      <c r="J779" s="131"/>
      <c r="K779" s="131"/>
      <c r="L779" s="131"/>
      <c r="U779" s="131"/>
      <c r="V779" s="131"/>
      <c r="W779" s="131"/>
      <c r="X779" s="131"/>
    </row>
    <row r="780" spans="2:24" x14ac:dyDescent="0.25">
      <c r="B780" s="137"/>
      <c r="C780" s="137"/>
      <c r="D780" s="137"/>
      <c r="E780" s="137"/>
      <c r="I780" s="131"/>
      <c r="J780" s="131"/>
      <c r="K780" s="131"/>
      <c r="L780" s="131"/>
      <c r="U780" s="131"/>
      <c r="V780" s="131"/>
      <c r="W780" s="131"/>
      <c r="X780" s="131"/>
    </row>
    <row r="781" spans="2:24" x14ac:dyDescent="0.25">
      <c r="B781" s="137"/>
      <c r="C781" s="137"/>
      <c r="D781" s="137"/>
      <c r="E781" s="137"/>
      <c r="I781" s="131"/>
      <c r="J781" s="131"/>
      <c r="K781" s="131"/>
      <c r="L781" s="131"/>
      <c r="U781" s="131"/>
      <c r="V781" s="131"/>
      <c r="W781" s="131"/>
      <c r="X781" s="131"/>
    </row>
    <row r="782" spans="2:24" x14ac:dyDescent="0.25">
      <c r="B782" s="137"/>
      <c r="C782" s="137"/>
      <c r="D782" s="137"/>
      <c r="E782" s="137"/>
      <c r="I782" s="131"/>
      <c r="J782" s="131"/>
      <c r="K782" s="131"/>
      <c r="L782" s="131"/>
      <c r="U782" s="131"/>
      <c r="V782" s="131"/>
      <c r="W782" s="131"/>
      <c r="X782" s="131"/>
    </row>
    <row r="783" spans="2:24" x14ac:dyDescent="0.25">
      <c r="B783" s="137"/>
      <c r="C783" s="137"/>
      <c r="D783" s="137"/>
      <c r="E783" s="137"/>
      <c r="I783" s="131"/>
      <c r="J783" s="131"/>
      <c r="K783" s="131"/>
      <c r="L783" s="131"/>
      <c r="U783" s="131"/>
      <c r="V783" s="131"/>
      <c r="W783" s="131"/>
      <c r="X783" s="131"/>
    </row>
    <row r="784" spans="2:24" x14ac:dyDescent="0.25">
      <c r="B784" s="137"/>
      <c r="C784" s="137"/>
      <c r="D784" s="137"/>
      <c r="E784" s="137"/>
      <c r="I784" s="131"/>
      <c r="J784" s="131"/>
      <c r="K784" s="131"/>
      <c r="L784" s="131"/>
      <c r="U784" s="131"/>
      <c r="V784" s="131"/>
      <c r="W784" s="131"/>
      <c r="X784" s="131"/>
    </row>
    <row r="785" spans="2:24" x14ac:dyDescent="0.25">
      <c r="B785" s="137"/>
      <c r="C785" s="137"/>
      <c r="D785" s="137"/>
      <c r="E785" s="137"/>
      <c r="I785" s="131"/>
      <c r="J785" s="131"/>
      <c r="K785" s="131"/>
      <c r="L785" s="131"/>
      <c r="U785" s="131"/>
      <c r="V785" s="131"/>
      <c r="W785" s="131"/>
      <c r="X785" s="131"/>
    </row>
    <row r="786" spans="2:24" x14ac:dyDescent="0.25">
      <c r="B786" s="137"/>
      <c r="C786" s="137"/>
      <c r="D786" s="137"/>
      <c r="E786" s="137"/>
      <c r="I786" s="131"/>
      <c r="J786" s="131"/>
      <c r="K786" s="131"/>
      <c r="L786" s="131"/>
      <c r="U786" s="131"/>
      <c r="V786" s="131"/>
      <c r="W786" s="131"/>
      <c r="X786" s="131"/>
    </row>
    <row r="787" spans="2:24" x14ac:dyDescent="0.25">
      <c r="B787" s="137"/>
      <c r="C787" s="137"/>
      <c r="D787" s="137"/>
      <c r="E787" s="137"/>
      <c r="I787" s="131"/>
      <c r="J787" s="131"/>
      <c r="K787" s="131"/>
      <c r="L787" s="131"/>
      <c r="U787" s="131"/>
      <c r="V787" s="131"/>
      <c r="W787" s="131"/>
      <c r="X787" s="131"/>
    </row>
    <row r="788" spans="2:24" x14ac:dyDescent="0.25">
      <c r="B788" s="137"/>
      <c r="C788" s="137"/>
      <c r="D788" s="137"/>
      <c r="E788" s="137"/>
      <c r="I788" s="131"/>
      <c r="J788" s="131"/>
      <c r="K788" s="131"/>
      <c r="L788" s="131"/>
      <c r="U788" s="131"/>
      <c r="V788" s="131"/>
      <c r="W788" s="131"/>
      <c r="X788" s="131"/>
    </row>
    <row r="789" spans="2:24" x14ac:dyDescent="0.25">
      <c r="B789" s="137"/>
      <c r="C789" s="137"/>
      <c r="D789" s="137"/>
      <c r="E789" s="137"/>
      <c r="I789" s="131"/>
      <c r="J789" s="131"/>
      <c r="K789" s="131"/>
      <c r="L789" s="131"/>
      <c r="U789" s="131"/>
      <c r="V789" s="131"/>
      <c r="W789" s="131"/>
      <c r="X789" s="131"/>
    </row>
    <row r="790" spans="2:24" x14ac:dyDescent="0.25">
      <c r="B790" s="137"/>
      <c r="C790" s="137"/>
      <c r="D790" s="137"/>
      <c r="E790" s="137"/>
      <c r="I790" s="131"/>
      <c r="J790" s="131"/>
      <c r="K790" s="131"/>
      <c r="L790" s="131"/>
      <c r="U790" s="131"/>
      <c r="V790" s="131"/>
      <c r="W790" s="131"/>
      <c r="X790" s="131"/>
    </row>
    <row r="791" spans="2:24" x14ac:dyDescent="0.25">
      <c r="B791" s="137"/>
      <c r="C791" s="137"/>
      <c r="D791" s="137"/>
      <c r="E791" s="137"/>
      <c r="I791" s="131"/>
      <c r="J791" s="131"/>
      <c r="K791" s="131"/>
      <c r="L791" s="131"/>
      <c r="U791" s="131"/>
      <c r="V791" s="131"/>
      <c r="W791" s="131"/>
      <c r="X791" s="131"/>
    </row>
    <row r="792" spans="2:24" x14ac:dyDescent="0.25">
      <c r="B792" s="137"/>
      <c r="C792" s="137"/>
      <c r="D792" s="137"/>
      <c r="E792" s="137"/>
      <c r="I792" s="131"/>
      <c r="J792" s="131"/>
      <c r="K792" s="131"/>
      <c r="L792" s="131"/>
      <c r="U792" s="131"/>
      <c r="V792" s="131"/>
      <c r="W792" s="131"/>
      <c r="X792" s="131"/>
    </row>
    <row r="793" spans="2:24" x14ac:dyDescent="0.25">
      <c r="B793" s="137"/>
      <c r="C793" s="137"/>
      <c r="D793" s="137"/>
      <c r="E793" s="137"/>
      <c r="I793" s="131"/>
      <c r="J793" s="131"/>
      <c r="K793" s="131"/>
      <c r="L793" s="131"/>
      <c r="U793" s="131"/>
      <c r="V793" s="131"/>
      <c r="W793" s="131"/>
      <c r="X793" s="131"/>
    </row>
    <row r="794" spans="2:24" x14ac:dyDescent="0.25">
      <c r="B794" s="137"/>
      <c r="C794" s="137"/>
      <c r="D794" s="137"/>
      <c r="E794" s="137"/>
      <c r="I794" s="131"/>
      <c r="J794" s="131"/>
      <c r="K794" s="131"/>
      <c r="L794" s="131"/>
      <c r="U794" s="131"/>
      <c r="V794" s="131"/>
      <c r="W794" s="131"/>
      <c r="X794" s="131"/>
    </row>
    <row r="795" spans="2:24" x14ac:dyDescent="0.25">
      <c r="B795" s="137"/>
      <c r="C795" s="137"/>
      <c r="D795" s="137"/>
      <c r="E795" s="137"/>
      <c r="I795" s="131"/>
      <c r="J795" s="131"/>
      <c r="K795" s="131"/>
      <c r="L795" s="131"/>
      <c r="U795" s="131"/>
      <c r="V795" s="131"/>
      <c r="W795" s="131"/>
      <c r="X795" s="131"/>
    </row>
    <row r="796" spans="2:24" x14ac:dyDescent="0.25">
      <c r="B796" s="137"/>
      <c r="C796" s="137"/>
      <c r="D796" s="137"/>
      <c r="E796" s="137"/>
      <c r="I796" s="131"/>
      <c r="J796" s="131"/>
      <c r="K796" s="131"/>
      <c r="L796" s="131"/>
      <c r="U796" s="131"/>
      <c r="V796" s="131"/>
      <c r="W796" s="131"/>
      <c r="X796" s="131"/>
    </row>
    <row r="797" spans="2:24" x14ac:dyDescent="0.25">
      <c r="B797" s="137"/>
      <c r="C797" s="137"/>
      <c r="D797" s="137"/>
      <c r="E797" s="137"/>
      <c r="I797" s="131"/>
      <c r="J797" s="131"/>
      <c r="K797" s="131"/>
      <c r="L797" s="131"/>
      <c r="U797" s="131"/>
      <c r="V797" s="131"/>
      <c r="W797" s="131"/>
      <c r="X797" s="131"/>
    </row>
    <row r="798" spans="2:24" x14ac:dyDescent="0.25">
      <c r="B798" s="137"/>
      <c r="C798" s="137"/>
      <c r="D798" s="137"/>
      <c r="E798" s="137"/>
      <c r="I798" s="131"/>
      <c r="J798" s="131"/>
      <c r="K798" s="131"/>
      <c r="L798" s="131"/>
      <c r="U798" s="131"/>
      <c r="V798" s="131"/>
      <c r="W798" s="131"/>
      <c r="X798" s="131"/>
    </row>
    <row r="799" spans="2:24" x14ac:dyDescent="0.25">
      <c r="B799" s="137"/>
      <c r="C799" s="137"/>
      <c r="D799" s="137"/>
      <c r="E799" s="137"/>
      <c r="I799" s="131"/>
      <c r="J799" s="131"/>
      <c r="K799" s="131"/>
      <c r="L799" s="131"/>
      <c r="U799" s="131"/>
      <c r="V799" s="131"/>
      <c r="W799" s="131"/>
      <c r="X799" s="131"/>
    </row>
    <row r="800" spans="2:24" x14ac:dyDescent="0.25">
      <c r="B800" s="137"/>
      <c r="C800" s="137"/>
      <c r="D800" s="137"/>
      <c r="E800" s="137"/>
      <c r="I800" s="131"/>
      <c r="J800" s="131"/>
      <c r="K800" s="131"/>
      <c r="L800" s="131"/>
      <c r="U800" s="131"/>
      <c r="V800" s="131"/>
      <c r="W800" s="131"/>
      <c r="X800" s="131"/>
    </row>
    <row r="801" spans="2:24" x14ac:dyDescent="0.25">
      <c r="B801" s="137"/>
      <c r="C801" s="137"/>
      <c r="D801" s="137"/>
      <c r="E801" s="137"/>
      <c r="I801" s="131"/>
      <c r="J801" s="131"/>
      <c r="K801" s="131"/>
      <c r="L801" s="131"/>
      <c r="U801" s="131"/>
      <c r="V801" s="131"/>
      <c r="W801" s="131"/>
      <c r="X801" s="131"/>
    </row>
    <row r="802" spans="2:24" x14ac:dyDescent="0.25">
      <c r="B802" s="137"/>
      <c r="C802" s="137"/>
      <c r="D802" s="137"/>
      <c r="E802" s="137"/>
      <c r="I802" s="131"/>
      <c r="J802" s="131"/>
      <c r="K802" s="131"/>
      <c r="L802" s="131"/>
      <c r="U802" s="131"/>
      <c r="V802" s="131"/>
      <c r="W802" s="131"/>
      <c r="X802" s="131"/>
    </row>
    <row r="803" spans="2:24" x14ac:dyDescent="0.25">
      <c r="B803" s="137"/>
      <c r="C803" s="137"/>
      <c r="D803" s="137"/>
      <c r="E803" s="137"/>
      <c r="I803" s="131"/>
      <c r="J803" s="131"/>
      <c r="K803" s="131"/>
      <c r="L803" s="131"/>
      <c r="U803" s="131"/>
      <c r="V803" s="131"/>
      <c r="W803" s="131"/>
      <c r="X803" s="131"/>
    </row>
    <row r="804" spans="2:24" x14ac:dyDescent="0.25">
      <c r="B804" s="137"/>
      <c r="C804" s="137"/>
      <c r="D804" s="137"/>
      <c r="E804" s="137"/>
      <c r="I804" s="131"/>
      <c r="J804" s="131"/>
      <c r="K804" s="131"/>
      <c r="L804" s="131"/>
      <c r="U804" s="131"/>
      <c r="V804" s="131"/>
      <c r="W804" s="131"/>
      <c r="X804" s="131"/>
    </row>
    <row r="805" spans="2:24" x14ac:dyDescent="0.25">
      <c r="B805" s="137"/>
      <c r="C805" s="137"/>
      <c r="D805" s="137"/>
      <c r="E805" s="137"/>
      <c r="I805" s="131"/>
      <c r="J805" s="131"/>
      <c r="K805" s="131"/>
      <c r="L805" s="131"/>
      <c r="U805" s="131"/>
      <c r="V805" s="131"/>
      <c r="W805" s="131"/>
      <c r="X805" s="131"/>
    </row>
    <row r="806" spans="2:24" x14ac:dyDescent="0.25">
      <c r="B806" s="137"/>
      <c r="C806" s="137"/>
      <c r="D806" s="137"/>
      <c r="E806" s="137"/>
      <c r="I806" s="131"/>
      <c r="J806" s="131"/>
      <c r="K806" s="131"/>
      <c r="L806" s="131"/>
      <c r="U806" s="131"/>
      <c r="V806" s="131"/>
      <c r="W806" s="131"/>
      <c r="X806" s="131"/>
    </row>
    <row r="807" spans="2:24" x14ac:dyDescent="0.25">
      <c r="B807" s="137"/>
      <c r="C807" s="137"/>
      <c r="D807" s="137"/>
      <c r="E807" s="137"/>
      <c r="I807" s="131"/>
      <c r="J807" s="131"/>
      <c r="K807" s="131"/>
      <c r="L807" s="131"/>
      <c r="U807" s="131"/>
      <c r="V807" s="131"/>
      <c r="W807" s="131"/>
      <c r="X807" s="131"/>
    </row>
    <row r="808" spans="2:24" x14ac:dyDescent="0.25">
      <c r="B808" s="137"/>
      <c r="C808" s="137"/>
      <c r="D808" s="137"/>
      <c r="E808" s="137"/>
      <c r="I808" s="131"/>
      <c r="J808" s="131"/>
      <c r="K808" s="131"/>
      <c r="L808" s="131"/>
      <c r="U808" s="131"/>
      <c r="V808" s="131"/>
      <c r="W808" s="131"/>
      <c r="X808" s="131"/>
    </row>
    <row r="809" spans="2:24" x14ac:dyDescent="0.25">
      <c r="B809" s="137"/>
      <c r="C809" s="137"/>
      <c r="D809" s="137"/>
      <c r="E809" s="137"/>
      <c r="I809" s="131"/>
      <c r="J809" s="131"/>
      <c r="K809" s="131"/>
      <c r="L809" s="131"/>
      <c r="U809" s="131"/>
      <c r="V809" s="131"/>
      <c r="W809" s="131"/>
      <c r="X809" s="131"/>
    </row>
    <row r="810" spans="2:24" x14ac:dyDescent="0.25">
      <c r="B810" s="137"/>
      <c r="C810" s="137"/>
      <c r="D810" s="137"/>
      <c r="E810" s="137"/>
      <c r="I810" s="131"/>
      <c r="J810" s="131"/>
      <c r="K810" s="131"/>
      <c r="L810" s="131"/>
      <c r="U810" s="131"/>
      <c r="V810" s="131"/>
      <c r="W810" s="131"/>
      <c r="X810" s="131"/>
    </row>
    <row r="811" spans="2:24" x14ac:dyDescent="0.25">
      <c r="B811" s="137"/>
      <c r="C811" s="137"/>
      <c r="D811" s="137"/>
      <c r="E811" s="137"/>
      <c r="I811" s="131"/>
      <c r="J811" s="131"/>
      <c r="K811" s="131"/>
      <c r="L811" s="131"/>
      <c r="U811" s="131"/>
      <c r="V811" s="131"/>
      <c r="W811" s="131"/>
      <c r="X811" s="131"/>
    </row>
    <row r="812" spans="2:24" x14ac:dyDescent="0.25">
      <c r="B812" s="137"/>
      <c r="C812" s="137"/>
      <c r="D812" s="137"/>
      <c r="E812" s="137"/>
      <c r="I812" s="131"/>
      <c r="J812" s="131"/>
      <c r="K812" s="131"/>
      <c r="L812" s="131"/>
      <c r="U812" s="131"/>
      <c r="V812" s="131"/>
      <c r="W812" s="131"/>
      <c r="X812" s="131"/>
    </row>
    <row r="813" spans="2:24" x14ac:dyDescent="0.25">
      <c r="B813" s="137"/>
      <c r="C813" s="137"/>
      <c r="D813" s="137"/>
      <c r="E813" s="137"/>
      <c r="I813" s="131"/>
      <c r="J813" s="131"/>
      <c r="K813" s="131"/>
      <c r="L813" s="131"/>
      <c r="U813" s="131"/>
      <c r="V813" s="131"/>
      <c r="W813" s="131"/>
      <c r="X813" s="131"/>
    </row>
    <row r="814" spans="2:24" x14ac:dyDescent="0.25">
      <c r="B814" s="137"/>
      <c r="C814" s="137"/>
      <c r="D814" s="137"/>
      <c r="E814" s="137"/>
      <c r="I814" s="131"/>
      <c r="J814" s="131"/>
      <c r="K814" s="131"/>
      <c r="L814" s="131"/>
      <c r="U814" s="131"/>
      <c r="V814" s="131"/>
      <c r="W814" s="131"/>
      <c r="X814" s="131"/>
    </row>
    <row r="815" spans="2:24" x14ac:dyDescent="0.25">
      <c r="B815" s="137"/>
      <c r="C815" s="137"/>
      <c r="D815" s="137"/>
      <c r="E815" s="137"/>
      <c r="I815" s="131"/>
      <c r="J815" s="131"/>
      <c r="K815" s="131"/>
      <c r="L815" s="131"/>
      <c r="U815" s="131"/>
      <c r="V815" s="131"/>
      <c r="W815" s="131"/>
      <c r="X815" s="131"/>
    </row>
    <row r="816" spans="2:24" x14ac:dyDescent="0.25">
      <c r="B816" s="137"/>
      <c r="C816" s="137"/>
      <c r="D816" s="137"/>
      <c r="E816" s="137"/>
      <c r="I816" s="131"/>
      <c r="J816" s="131"/>
      <c r="K816" s="131"/>
      <c r="L816" s="131"/>
      <c r="U816" s="131"/>
      <c r="V816" s="131"/>
      <c r="W816" s="131"/>
      <c r="X816" s="131"/>
    </row>
    <row r="817" spans="2:24" x14ac:dyDescent="0.25">
      <c r="B817" s="137"/>
      <c r="C817" s="137"/>
      <c r="D817" s="137"/>
      <c r="E817" s="137"/>
      <c r="I817" s="131"/>
      <c r="J817" s="131"/>
      <c r="K817" s="131"/>
      <c r="L817" s="131"/>
      <c r="U817" s="131"/>
      <c r="V817" s="131"/>
      <c r="W817" s="131"/>
      <c r="X817" s="131"/>
    </row>
    <row r="818" spans="2:24" x14ac:dyDescent="0.25">
      <c r="B818" s="137"/>
      <c r="C818" s="137"/>
      <c r="D818" s="137"/>
      <c r="E818" s="137"/>
      <c r="I818" s="131"/>
      <c r="J818" s="131"/>
      <c r="K818" s="131"/>
      <c r="L818" s="131"/>
      <c r="U818" s="131"/>
      <c r="V818" s="131"/>
      <c r="W818" s="131"/>
      <c r="X818" s="131"/>
    </row>
    <row r="819" spans="2:24" x14ac:dyDescent="0.25">
      <c r="B819" s="137"/>
      <c r="C819" s="137"/>
      <c r="D819" s="137"/>
      <c r="E819" s="137"/>
      <c r="I819" s="131"/>
      <c r="J819" s="131"/>
      <c r="K819" s="131"/>
      <c r="L819" s="131"/>
      <c r="U819" s="131"/>
      <c r="V819" s="131"/>
      <c r="W819" s="131"/>
      <c r="X819" s="131"/>
    </row>
    <row r="820" spans="2:24" x14ac:dyDescent="0.25">
      <c r="B820" s="137"/>
      <c r="C820" s="137"/>
      <c r="D820" s="137"/>
      <c r="E820" s="137"/>
      <c r="I820" s="131"/>
      <c r="J820" s="131"/>
      <c r="K820" s="131"/>
      <c r="L820" s="131"/>
      <c r="U820" s="131"/>
      <c r="V820" s="131"/>
      <c r="W820" s="131"/>
      <c r="X820" s="131"/>
    </row>
    <row r="821" spans="2:24" x14ac:dyDescent="0.25">
      <c r="B821" s="137"/>
      <c r="C821" s="137"/>
      <c r="D821" s="137"/>
      <c r="E821" s="137"/>
      <c r="I821" s="131"/>
      <c r="J821" s="131"/>
      <c r="K821" s="131"/>
      <c r="L821" s="131"/>
      <c r="U821" s="131"/>
      <c r="V821" s="131"/>
      <c r="W821" s="131"/>
      <c r="X821" s="131"/>
    </row>
    <row r="822" spans="2:24" x14ac:dyDescent="0.25">
      <c r="B822" s="137"/>
      <c r="C822" s="137"/>
      <c r="D822" s="137"/>
      <c r="E822" s="137"/>
      <c r="I822" s="131"/>
      <c r="J822" s="131"/>
      <c r="K822" s="131"/>
      <c r="L822" s="131"/>
      <c r="U822" s="131"/>
      <c r="V822" s="131"/>
      <c r="W822" s="131"/>
      <c r="X822" s="131"/>
    </row>
    <row r="823" spans="2:24" x14ac:dyDescent="0.25">
      <c r="B823" s="137"/>
      <c r="C823" s="137"/>
      <c r="D823" s="137"/>
      <c r="E823" s="137"/>
      <c r="I823" s="131"/>
      <c r="J823" s="131"/>
      <c r="K823" s="131"/>
      <c r="L823" s="131"/>
      <c r="U823" s="131"/>
      <c r="V823" s="131"/>
      <c r="W823" s="131"/>
      <c r="X823" s="131"/>
    </row>
    <row r="824" spans="2:24" x14ac:dyDescent="0.25">
      <c r="B824" s="137"/>
      <c r="C824" s="137"/>
      <c r="D824" s="137"/>
      <c r="E824" s="137"/>
      <c r="I824" s="131"/>
      <c r="J824" s="131"/>
      <c r="K824" s="131"/>
      <c r="L824" s="131"/>
      <c r="U824" s="131"/>
      <c r="V824" s="131"/>
      <c r="W824" s="131"/>
      <c r="X824" s="131"/>
    </row>
    <row r="825" spans="2:24" x14ac:dyDescent="0.25">
      <c r="B825" s="137"/>
      <c r="C825" s="137"/>
      <c r="D825" s="137"/>
      <c r="E825" s="137"/>
      <c r="I825" s="131"/>
      <c r="J825" s="131"/>
      <c r="K825" s="131"/>
      <c r="L825" s="131"/>
      <c r="U825" s="131"/>
      <c r="V825" s="131"/>
      <c r="W825" s="131"/>
      <c r="X825" s="131"/>
    </row>
    <row r="826" spans="2:24" x14ac:dyDescent="0.25">
      <c r="B826" s="137"/>
      <c r="C826" s="137"/>
      <c r="D826" s="137"/>
      <c r="E826" s="137"/>
      <c r="I826" s="131"/>
      <c r="J826" s="131"/>
      <c r="K826" s="131"/>
      <c r="L826" s="131"/>
      <c r="U826" s="131"/>
      <c r="V826" s="131"/>
      <c r="W826" s="131"/>
      <c r="X826" s="131"/>
    </row>
    <row r="827" spans="2:24" x14ac:dyDescent="0.25">
      <c r="B827" s="137"/>
      <c r="C827" s="137"/>
      <c r="D827" s="137"/>
      <c r="E827" s="137"/>
      <c r="I827" s="131"/>
      <c r="J827" s="131"/>
      <c r="K827" s="131"/>
      <c r="L827" s="131"/>
      <c r="U827" s="131"/>
      <c r="V827" s="131"/>
      <c r="W827" s="131"/>
      <c r="X827" s="131"/>
    </row>
    <row r="828" spans="2:24" x14ac:dyDescent="0.25">
      <c r="B828" s="137"/>
      <c r="C828" s="137"/>
      <c r="D828" s="137"/>
      <c r="E828" s="137"/>
      <c r="I828" s="131"/>
      <c r="J828" s="131"/>
      <c r="K828" s="131"/>
      <c r="L828" s="131"/>
      <c r="U828" s="131"/>
      <c r="V828" s="131"/>
      <c r="W828" s="131"/>
      <c r="X828" s="131"/>
    </row>
    <row r="829" spans="2:24" x14ac:dyDescent="0.25">
      <c r="B829" s="137"/>
      <c r="C829" s="137"/>
      <c r="D829" s="137"/>
      <c r="E829" s="137"/>
      <c r="I829" s="131"/>
      <c r="J829" s="131"/>
      <c r="K829" s="131"/>
      <c r="L829" s="131"/>
      <c r="U829" s="131"/>
      <c r="V829" s="131"/>
      <c r="W829" s="131"/>
      <c r="X829" s="131"/>
    </row>
    <row r="830" spans="2:24" x14ac:dyDescent="0.25">
      <c r="B830" s="137"/>
      <c r="C830" s="137"/>
      <c r="D830" s="137"/>
      <c r="E830" s="137"/>
      <c r="I830" s="131"/>
      <c r="J830" s="131"/>
      <c r="K830" s="131"/>
      <c r="L830" s="131"/>
      <c r="U830" s="131"/>
      <c r="V830" s="131"/>
      <c r="W830" s="131"/>
      <c r="X830" s="131"/>
    </row>
    <row r="831" spans="2:24" x14ac:dyDescent="0.25">
      <c r="B831" s="137"/>
      <c r="C831" s="137"/>
      <c r="D831" s="137"/>
      <c r="E831" s="137"/>
      <c r="I831" s="131"/>
      <c r="J831" s="131"/>
      <c r="K831" s="131"/>
      <c r="L831" s="131"/>
      <c r="U831" s="131"/>
      <c r="V831" s="131"/>
      <c r="W831" s="131"/>
      <c r="X831" s="131"/>
    </row>
    <row r="832" spans="2:24" x14ac:dyDescent="0.25">
      <c r="B832" s="137"/>
      <c r="C832" s="137"/>
      <c r="D832" s="137"/>
      <c r="E832" s="137"/>
      <c r="I832" s="131"/>
      <c r="J832" s="131"/>
      <c r="K832" s="131"/>
      <c r="L832" s="131"/>
      <c r="U832" s="131"/>
      <c r="V832" s="131"/>
      <c r="W832" s="131"/>
      <c r="X832" s="131"/>
    </row>
    <row r="833" spans="2:24" x14ac:dyDescent="0.25">
      <c r="B833" s="137"/>
      <c r="C833" s="137"/>
      <c r="D833" s="137"/>
      <c r="E833" s="137"/>
      <c r="I833" s="131"/>
      <c r="J833" s="131"/>
      <c r="K833" s="131"/>
      <c r="L833" s="131"/>
      <c r="U833" s="131"/>
      <c r="V833" s="131"/>
      <c r="W833" s="131"/>
      <c r="X833" s="131"/>
    </row>
    <row r="834" spans="2:24" x14ac:dyDescent="0.25">
      <c r="B834" s="137"/>
      <c r="C834" s="137"/>
      <c r="D834" s="137"/>
      <c r="E834" s="137"/>
      <c r="I834" s="131"/>
      <c r="J834" s="131"/>
      <c r="K834" s="131"/>
      <c r="L834" s="131"/>
      <c r="U834" s="131"/>
      <c r="V834" s="131"/>
      <c r="W834" s="131"/>
      <c r="X834" s="131"/>
    </row>
    <row r="835" spans="2:24" x14ac:dyDescent="0.25">
      <c r="B835" s="137"/>
      <c r="C835" s="137"/>
      <c r="D835" s="137"/>
      <c r="E835" s="137"/>
      <c r="I835" s="131"/>
      <c r="J835" s="131"/>
      <c r="K835" s="131"/>
      <c r="L835" s="131"/>
      <c r="U835" s="131"/>
      <c r="V835" s="131"/>
      <c r="W835" s="131"/>
      <c r="X835" s="131"/>
    </row>
    <row r="836" spans="2:24" x14ac:dyDescent="0.25">
      <c r="B836" s="137"/>
      <c r="C836" s="137"/>
      <c r="D836" s="137"/>
      <c r="E836" s="137"/>
      <c r="I836" s="131"/>
      <c r="J836" s="131"/>
      <c r="K836" s="131"/>
      <c r="L836" s="131"/>
      <c r="U836" s="131"/>
      <c r="V836" s="131"/>
      <c r="W836" s="131"/>
      <c r="X836" s="131"/>
    </row>
    <row r="837" spans="2:24" x14ac:dyDescent="0.25">
      <c r="B837" s="137"/>
      <c r="C837" s="137"/>
      <c r="D837" s="137"/>
      <c r="E837" s="137"/>
      <c r="I837" s="131"/>
      <c r="J837" s="131"/>
      <c r="K837" s="131"/>
      <c r="L837" s="131"/>
      <c r="U837" s="131"/>
      <c r="V837" s="131"/>
      <c r="W837" s="131"/>
      <c r="X837" s="131"/>
    </row>
    <row r="838" spans="2:24" x14ac:dyDescent="0.25">
      <c r="B838" s="137"/>
      <c r="C838" s="137"/>
      <c r="D838" s="137"/>
      <c r="E838" s="137"/>
      <c r="I838" s="131"/>
      <c r="J838" s="131"/>
      <c r="K838" s="131"/>
      <c r="L838" s="131"/>
      <c r="U838" s="131"/>
      <c r="V838" s="131"/>
      <c r="W838" s="131"/>
      <c r="X838" s="131"/>
    </row>
    <row r="839" spans="2:24" x14ac:dyDescent="0.25">
      <c r="B839" s="137"/>
      <c r="C839" s="137"/>
      <c r="D839" s="137"/>
      <c r="E839" s="137"/>
      <c r="I839" s="131"/>
      <c r="J839" s="131"/>
      <c r="K839" s="131"/>
      <c r="L839" s="131"/>
      <c r="U839" s="131"/>
      <c r="V839" s="131"/>
      <c r="W839" s="131"/>
      <c r="X839" s="131"/>
    </row>
    <row r="840" spans="2:24" x14ac:dyDescent="0.25">
      <c r="B840" s="137"/>
      <c r="C840" s="137"/>
      <c r="D840" s="137"/>
      <c r="E840" s="137"/>
      <c r="I840" s="131"/>
      <c r="J840" s="131"/>
      <c r="K840" s="131"/>
      <c r="L840" s="131"/>
      <c r="U840" s="131"/>
      <c r="V840" s="131"/>
      <c r="W840" s="131"/>
      <c r="X840" s="131"/>
    </row>
    <row r="841" spans="2:24" x14ac:dyDescent="0.25">
      <c r="B841" s="137"/>
      <c r="C841" s="137"/>
      <c r="D841" s="137"/>
      <c r="E841" s="137"/>
      <c r="I841" s="131"/>
      <c r="J841" s="131"/>
      <c r="K841" s="131"/>
      <c r="L841" s="131"/>
      <c r="U841" s="131"/>
      <c r="V841" s="131"/>
      <c r="W841" s="131"/>
      <c r="X841" s="131"/>
    </row>
    <row r="842" spans="2:24" x14ac:dyDescent="0.25">
      <c r="B842" s="137"/>
      <c r="C842" s="137"/>
      <c r="D842" s="137"/>
      <c r="E842" s="137"/>
      <c r="I842" s="131"/>
      <c r="J842" s="131"/>
      <c r="K842" s="131"/>
      <c r="L842" s="131"/>
      <c r="U842" s="131"/>
      <c r="V842" s="131"/>
      <c r="W842" s="131"/>
      <c r="X842" s="131"/>
    </row>
    <row r="843" spans="2:24" x14ac:dyDescent="0.25">
      <c r="B843" s="137"/>
      <c r="C843" s="137"/>
      <c r="D843" s="137"/>
      <c r="E843" s="137"/>
      <c r="I843" s="131"/>
      <c r="J843" s="131"/>
      <c r="K843" s="131"/>
      <c r="L843" s="131"/>
      <c r="U843" s="131"/>
      <c r="V843" s="131"/>
      <c r="W843" s="131"/>
      <c r="X843" s="131"/>
    </row>
    <row r="844" spans="2:24" x14ac:dyDescent="0.25">
      <c r="B844" s="137"/>
      <c r="C844" s="137"/>
      <c r="D844" s="137"/>
      <c r="E844" s="137"/>
      <c r="I844" s="131"/>
      <c r="J844" s="131"/>
      <c r="K844" s="131"/>
      <c r="L844" s="131"/>
      <c r="U844" s="131"/>
      <c r="V844" s="131"/>
      <c r="W844" s="131"/>
      <c r="X844" s="131"/>
    </row>
    <row r="845" spans="2:24" x14ac:dyDescent="0.25">
      <c r="B845" s="137"/>
      <c r="C845" s="137"/>
      <c r="D845" s="137"/>
      <c r="E845" s="137"/>
      <c r="I845" s="131"/>
      <c r="J845" s="131"/>
      <c r="K845" s="131"/>
      <c r="L845" s="131"/>
      <c r="U845" s="131"/>
      <c r="V845" s="131"/>
      <c r="W845" s="131"/>
      <c r="X845" s="131"/>
    </row>
    <row r="846" spans="2:24" x14ac:dyDescent="0.25">
      <c r="B846" s="137"/>
      <c r="C846" s="137"/>
      <c r="D846" s="137"/>
      <c r="E846" s="137"/>
      <c r="I846" s="131"/>
      <c r="J846" s="131"/>
      <c r="K846" s="131"/>
      <c r="L846" s="131"/>
      <c r="U846" s="131"/>
      <c r="V846" s="131"/>
      <c r="W846" s="131"/>
      <c r="X846" s="131"/>
    </row>
    <row r="847" spans="2:24" x14ac:dyDescent="0.25">
      <c r="B847" s="137"/>
      <c r="C847" s="137"/>
      <c r="D847" s="137"/>
      <c r="E847" s="137"/>
      <c r="I847" s="131"/>
      <c r="J847" s="131"/>
      <c r="K847" s="131"/>
      <c r="L847" s="131"/>
      <c r="U847" s="131"/>
      <c r="V847" s="131"/>
      <c r="W847" s="131"/>
      <c r="X847" s="131"/>
    </row>
    <row r="848" spans="2:24" x14ac:dyDescent="0.25">
      <c r="B848" s="137"/>
      <c r="C848" s="137"/>
      <c r="D848" s="137"/>
      <c r="E848" s="137"/>
      <c r="I848" s="131"/>
      <c r="J848" s="131"/>
      <c r="K848" s="131"/>
      <c r="L848" s="131"/>
      <c r="U848" s="131"/>
      <c r="V848" s="131"/>
      <c r="W848" s="131"/>
      <c r="X848" s="131"/>
    </row>
    <row r="849" spans="2:24" x14ac:dyDescent="0.25">
      <c r="B849" s="137"/>
      <c r="C849" s="137"/>
      <c r="D849" s="137"/>
      <c r="E849" s="137"/>
      <c r="I849" s="131"/>
      <c r="J849" s="131"/>
      <c r="K849" s="131"/>
      <c r="L849" s="131"/>
      <c r="U849" s="131"/>
      <c r="V849" s="131"/>
      <c r="W849" s="131"/>
      <c r="X849" s="131"/>
    </row>
    <row r="850" spans="2:24" x14ac:dyDescent="0.25">
      <c r="B850" s="137"/>
      <c r="C850" s="137"/>
      <c r="D850" s="137"/>
      <c r="E850" s="137"/>
      <c r="I850" s="131"/>
      <c r="J850" s="131"/>
      <c r="K850" s="131"/>
      <c r="L850" s="131"/>
      <c r="U850" s="131"/>
      <c r="V850" s="131"/>
      <c r="W850" s="131"/>
      <c r="X850" s="131"/>
    </row>
    <row r="851" spans="2:24" x14ac:dyDescent="0.25">
      <c r="B851" s="137"/>
      <c r="C851" s="137"/>
      <c r="D851" s="137"/>
      <c r="E851" s="137"/>
      <c r="I851" s="131"/>
      <c r="J851" s="131"/>
      <c r="K851" s="131"/>
      <c r="L851" s="131"/>
      <c r="U851" s="131"/>
      <c r="V851" s="131"/>
      <c r="W851" s="131"/>
      <c r="X851" s="131"/>
    </row>
    <row r="852" spans="2:24" x14ac:dyDescent="0.25">
      <c r="B852" s="137"/>
      <c r="C852" s="137"/>
      <c r="D852" s="137"/>
      <c r="E852" s="137"/>
      <c r="I852" s="131"/>
      <c r="J852" s="131"/>
      <c r="K852" s="131"/>
      <c r="L852" s="131"/>
      <c r="U852" s="131"/>
      <c r="V852" s="131"/>
      <c r="W852" s="131"/>
      <c r="X852" s="131"/>
    </row>
    <row r="853" spans="2:24" x14ac:dyDescent="0.25">
      <c r="B853" s="137"/>
      <c r="C853" s="137"/>
      <c r="D853" s="137"/>
      <c r="E853" s="137"/>
      <c r="I853" s="131"/>
      <c r="J853" s="131"/>
      <c r="K853" s="131"/>
      <c r="L853" s="131"/>
      <c r="U853" s="131"/>
      <c r="V853" s="131"/>
      <c r="W853" s="131"/>
      <c r="X853" s="131"/>
    </row>
    <row r="854" spans="2:24" x14ac:dyDescent="0.25">
      <c r="B854" s="137"/>
      <c r="C854" s="137"/>
      <c r="D854" s="137"/>
      <c r="E854" s="137"/>
      <c r="I854" s="131"/>
      <c r="J854" s="131"/>
      <c r="K854" s="131"/>
      <c r="L854" s="131"/>
      <c r="U854" s="131"/>
      <c r="V854" s="131"/>
      <c r="W854" s="131"/>
      <c r="X854" s="131"/>
    </row>
    <row r="855" spans="2:24" x14ac:dyDescent="0.25">
      <c r="B855" s="137"/>
      <c r="C855" s="137"/>
      <c r="D855" s="137"/>
      <c r="E855" s="137"/>
      <c r="I855" s="131"/>
      <c r="J855" s="131"/>
      <c r="K855" s="131"/>
      <c r="L855" s="131"/>
      <c r="U855" s="131"/>
      <c r="V855" s="131"/>
      <c r="W855" s="131"/>
      <c r="X855" s="131"/>
    </row>
    <row r="856" spans="2:24" x14ac:dyDescent="0.25">
      <c r="B856" s="137"/>
      <c r="C856" s="137"/>
      <c r="D856" s="137"/>
      <c r="E856" s="137"/>
      <c r="I856" s="131"/>
      <c r="J856" s="131"/>
      <c r="K856" s="131"/>
      <c r="L856" s="131"/>
      <c r="U856" s="131"/>
      <c r="V856" s="131"/>
      <c r="W856" s="131"/>
      <c r="X856" s="131"/>
    </row>
    <row r="857" spans="2:24" x14ac:dyDescent="0.25">
      <c r="B857" s="137"/>
      <c r="C857" s="137"/>
      <c r="D857" s="137"/>
      <c r="E857" s="137"/>
      <c r="I857" s="131"/>
      <c r="J857" s="131"/>
      <c r="K857" s="131"/>
      <c r="L857" s="131"/>
      <c r="U857" s="131"/>
      <c r="V857" s="131"/>
      <c r="W857" s="131"/>
      <c r="X857" s="131"/>
    </row>
    <row r="858" spans="2:24" x14ac:dyDescent="0.25">
      <c r="B858" s="137"/>
      <c r="C858" s="137"/>
      <c r="D858" s="137"/>
      <c r="E858" s="137"/>
      <c r="I858" s="131"/>
      <c r="J858" s="131"/>
      <c r="K858" s="131"/>
      <c r="L858" s="131"/>
      <c r="U858" s="131"/>
      <c r="V858" s="131"/>
      <c r="W858" s="131"/>
      <c r="X858" s="131"/>
    </row>
    <row r="859" spans="2:24" x14ac:dyDescent="0.25">
      <c r="B859" s="137"/>
      <c r="C859" s="137"/>
      <c r="D859" s="137"/>
      <c r="E859" s="137"/>
      <c r="I859" s="131"/>
      <c r="J859" s="131"/>
      <c r="K859" s="131"/>
      <c r="L859" s="131"/>
      <c r="U859" s="131"/>
      <c r="V859" s="131"/>
      <c r="W859" s="131"/>
      <c r="X859" s="131"/>
    </row>
    <row r="860" spans="2:24" x14ac:dyDescent="0.25">
      <c r="B860" s="137"/>
      <c r="C860" s="137"/>
      <c r="D860" s="137"/>
      <c r="E860" s="137"/>
      <c r="I860" s="131"/>
      <c r="J860" s="131"/>
      <c r="K860" s="131"/>
      <c r="L860" s="131"/>
      <c r="U860" s="131"/>
      <c r="V860" s="131"/>
      <c r="W860" s="131"/>
      <c r="X860" s="131"/>
    </row>
    <row r="861" spans="2:24" x14ac:dyDescent="0.25">
      <c r="B861" s="137"/>
      <c r="C861" s="137"/>
      <c r="D861" s="137"/>
      <c r="E861" s="137"/>
      <c r="I861" s="131"/>
      <c r="J861" s="131"/>
      <c r="K861" s="131"/>
      <c r="L861" s="131"/>
      <c r="U861" s="131"/>
      <c r="V861" s="131"/>
      <c r="W861" s="131"/>
      <c r="X861" s="131"/>
    </row>
    <row r="862" spans="2:24" x14ac:dyDescent="0.25">
      <c r="B862" s="137"/>
      <c r="C862" s="137"/>
      <c r="D862" s="137"/>
      <c r="E862" s="137"/>
      <c r="I862" s="131"/>
      <c r="J862" s="131"/>
      <c r="K862" s="131"/>
      <c r="L862" s="131"/>
      <c r="U862" s="131"/>
      <c r="V862" s="131"/>
      <c r="W862" s="131"/>
      <c r="X862" s="131"/>
    </row>
    <row r="863" spans="2:24" x14ac:dyDescent="0.25">
      <c r="B863" s="137"/>
      <c r="C863" s="137"/>
      <c r="D863" s="137"/>
      <c r="E863" s="137"/>
      <c r="I863" s="131"/>
      <c r="J863" s="131"/>
      <c r="K863" s="131"/>
      <c r="L863" s="131"/>
      <c r="U863" s="131"/>
      <c r="V863" s="131"/>
      <c r="W863" s="131"/>
      <c r="X863" s="131"/>
    </row>
    <row r="864" spans="2:24" x14ac:dyDescent="0.25">
      <c r="B864" s="137"/>
      <c r="C864" s="137"/>
      <c r="D864" s="137"/>
      <c r="E864" s="137"/>
      <c r="I864" s="131"/>
      <c r="J864" s="131"/>
      <c r="K864" s="131"/>
      <c r="L864" s="131"/>
      <c r="U864" s="131"/>
      <c r="V864" s="131"/>
      <c r="W864" s="131"/>
      <c r="X864" s="131"/>
    </row>
    <row r="865" spans="2:24" x14ac:dyDescent="0.25">
      <c r="B865" s="137"/>
      <c r="C865" s="137"/>
      <c r="D865" s="137"/>
      <c r="E865" s="137"/>
      <c r="I865" s="131"/>
      <c r="J865" s="131"/>
      <c r="K865" s="131"/>
      <c r="L865" s="131"/>
      <c r="U865" s="131"/>
      <c r="V865" s="131"/>
      <c r="W865" s="131"/>
      <c r="X865" s="131"/>
    </row>
    <row r="866" spans="2:24" x14ac:dyDescent="0.25">
      <c r="B866" s="137"/>
      <c r="C866" s="137"/>
      <c r="D866" s="137"/>
      <c r="E866" s="137"/>
      <c r="I866" s="131"/>
      <c r="J866" s="131"/>
      <c r="K866" s="131"/>
      <c r="L866" s="131"/>
      <c r="U866" s="131"/>
      <c r="V866" s="131"/>
      <c r="W866" s="131"/>
      <c r="X866" s="131"/>
    </row>
    <row r="867" spans="2:24" x14ac:dyDescent="0.25">
      <c r="B867" s="137"/>
      <c r="C867" s="137"/>
      <c r="D867" s="137"/>
      <c r="E867" s="137"/>
      <c r="I867" s="131"/>
      <c r="J867" s="131"/>
      <c r="K867" s="131"/>
      <c r="L867" s="131"/>
      <c r="U867" s="131"/>
      <c r="V867" s="131"/>
      <c r="W867" s="131"/>
      <c r="X867" s="131"/>
    </row>
    <row r="868" spans="2:24" x14ac:dyDescent="0.25">
      <c r="B868" s="137"/>
      <c r="C868" s="137"/>
      <c r="D868" s="137"/>
      <c r="E868" s="137"/>
      <c r="I868" s="131"/>
      <c r="J868" s="131"/>
      <c r="K868" s="131"/>
      <c r="L868" s="131"/>
      <c r="U868" s="131"/>
      <c r="V868" s="131"/>
      <c r="W868" s="131"/>
      <c r="X868" s="131"/>
    </row>
    <row r="869" spans="2:24" x14ac:dyDescent="0.25">
      <c r="B869" s="137"/>
      <c r="C869" s="137"/>
      <c r="D869" s="137"/>
      <c r="E869" s="137"/>
      <c r="I869" s="131"/>
      <c r="J869" s="131"/>
      <c r="K869" s="131"/>
      <c r="L869" s="131"/>
      <c r="U869" s="131"/>
      <c r="V869" s="131"/>
      <c r="W869" s="131"/>
      <c r="X869" s="131"/>
    </row>
    <row r="870" spans="2:24" x14ac:dyDescent="0.25">
      <c r="B870" s="137"/>
      <c r="C870" s="137"/>
      <c r="D870" s="137"/>
      <c r="E870" s="137"/>
      <c r="I870" s="131"/>
      <c r="J870" s="131"/>
      <c r="K870" s="131"/>
      <c r="L870" s="131"/>
      <c r="U870" s="131"/>
      <c r="V870" s="131"/>
      <c r="W870" s="131"/>
      <c r="X870" s="131"/>
    </row>
    <row r="871" spans="2:24" x14ac:dyDescent="0.25">
      <c r="B871" s="137"/>
      <c r="C871" s="137"/>
      <c r="D871" s="137"/>
      <c r="E871" s="137"/>
      <c r="I871" s="131"/>
      <c r="J871" s="131"/>
      <c r="K871" s="131"/>
      <c r="L871" s="131"/>
      <c r="U871" s="131"/>
      <c r="V871" s="131"/>
      <c r="W871" s="131"/>
      <c r="X871" s="131"/>
    </row>
    <row r="872" spans="2:24" x14ac:dyDescent="0.25">
      <c r="B872" s="137"/>
      <c r="C872" s="137"/>
      <c r="D872" s="137"/>
      <c r="E872" s="137"/>
      <c r="I872" s="131"/>
      <c r="J872" s="131"/>
      <c r="K872" s="131"/>
      <c r="L872" s="131"/>
      <c r="U872" s="131"/>
      <c r="V872" s="131"/>
      <c r="W872" s="131"/>
      <c r="X872" s="131"/>
    </row>
    <row r="873" spans="2:24" x14ac:dyDescent="0.25">
      <c r="B873" s="137"/>
      <c r="C873" s="137"/>
      <c r="D873" s="137"/>
      <c r="E873" s="137"/>
      <c r="I873" s="131"/>
      <c r="J873" s="131"/>
      <c r="K873" s="131"/>
      <c r="L873" s="131"/>
      <c r="U873" s="131"/>
      <c r="V873" s="131"/>
      <c r="W873" s="131"/>
      <c r="X873" s="131"/>
    </row>
    <row r="874" spans="2:24" x14ac:dyDescent="0.25">
      <c r="B874" s="137"/>
      <c r="C874" s="137"/>
      <c r="D874" s="137"/>
      <c r="E874" s="137"/>
      <c r="I874" s="131"/>
      <c r="J874" s="131"/>
      <c r="K874" s="131"/>
      <c r="L874" s="131"/>
      <c r="U874" s="131"/>
      <c r="V874" s="131"/>
      <c r="W874" s="131"/>
      <c r="X874" s="131"/>
    </row>
    <row r="875" spans="2:24" x14ac:dyDescent="0.25">
      <c r="B875" s="137"/>
      <c r="C875" s="137"/>
      <c r="D875" s="137"/>
      <c r="E875" s="137"/>
      <c r="I875" s="131"/>
      <c r="J875" s="131"/>
      <c r="K875" s="131"/>
      <c r="L875" s="131"/>
      <c r="U875" s="131"/>
      <c r="V875" s="131"/>
      <c r="W875" s="131"/>
      <c r="X875" s="131"/>
    </row>
    <row r="876" spans="2:24" x14ac:dyDescent="0.25">
      <c r="B876" s="137"/>
      <c r="C876" s="137"/>
      <c r="D876" s="137"/>
      <c r="E876" s="137"/>
      <c r="I876" s="131"/>
      <c r="J876" s="131"/>
      <c r="K876" s="131"/>
      <c r="L876" s="131"/>
      <c r="U876" s="131"/>
      <c r="V876" s="131"/>
      <c r="W876" s="131"/>
      <c r="X876" s="131"/>
    </row>
    <row r="877" spans="2:24" x14ac:dyDescent="0.25">
      <c r="B877" s="137"/>
      <c r="C877" s="137"/>
      <c r="D877" s="137"/>
      <c r="E877" s="137"/>
      <c r="I877" s="131"/>
      <c r="J877" s="131"/>
      <c r="K877" s="131"/>
      <c r="L877" s="131"/>
      <c r="U877" s="131"/>
      <c r="V877" s="131"/>
      <c r="W877" s="131"/>
      <c r="X877" s="131"/>
    </row>
    <row r="878" spans="2:24" x14ac:dyDescent="0.25">
      <c r="B878" s="137"/>
      <c r="C878" s="137"/>
      <c r="D878" s="137"/>
      <c r="E878" s="137"/>
      <c r="I878" s="131"/>
      <c r="J878" s="131"/>
      <c r="K878" s="131"/>
      <c r="L878" s="131"/>
      <c r="U878" s="131"/>
      <c r="V878" s="131"/>
      <c r="W878" s="131"/>
      <c r="X878" s="131"/>
    </row>
    <row r="879" spans="2:24" x14ac:dyDescent="0.25">
      <c r="B879" s="137"/>
      <c r="C879" s="137"/>
      <c r="D879" s="137"/>
      <c r="E879" s="137"/>
      <c r="I879" s="131"/>
      <c r="J879" s="131"/>
      <c r="K879" s="131"/>
      <c r="L879" s="131"/>
      <c r="U879" s="131"/>
      <c r="V879" s="131"/>
      <c r="W879" s="131"/>
      <c r="X879" s="131"/>
    </row>
    <row r="880" spans="2:24" x14ac:dyDescent="0.25">
      <c r="B880" s="137"/>
      <c r="C880" s="137"/>
      <c r="D880" s="137"/>
      <c r="E880" s="137"/>
      <c r="I880" s="131"/>
      <c r="J880" s="131"/>
      <c r="K880" s="131"/>
      <c r="L880" s="131"/>
      <c r="U880" s="131"/>
      <c r="V880" s="131"/>
      <c r="W880" s="131"/>
      <c r="X880" s="131"/>
    </row>
    <row r="881" spans="2:24" x14ac:dyDescent="0.25">
      <c r="B881" s="137"/>
      <c r="C881" s="137"/>
      <c r="D881" s="137"/>
      <c r="E881" s="137"/>
      <c r="I881" s="131"/>
      <c r="J881" s="131"/>
      <c r="K881" s="131"/>
      <c r="L881" s="131"/>
      <c r="U881" s="131"/>
      <c r="V881" s="131"/>
      <c r="W881" s="131"/>
      <c r="X881" s="131"/>
    </row>
    <row r="882" spans="2:24" x14ac:dyDescent="0.25">
      <c r="B882" s="137"/>
      <c r="C882" s="137"/>
      <c r="D882" s="137"/>
      <c r="E882" s="137"/>
      <c r="I882" s="131"/>
      <c r="J882" s="131"/>
      <c r="K882" s="131"/>
      <c r="L882" s="131"/>
      <c r="U882" s="131"/>
      <c r="V882" s="131"/>
      <c r="W882" s="131"/>
      <c r="X882" s="131"/>
    </row>
    <row r="883" spans="2:24" x14ac:dyDescent="0.25">
      <c r="B883" s="137"/>
      <c r="C883" s="137"/>
      <c r="D883" s="137"/>
      <c r="E883" s="137"/>
      <c r="I883" s="131"/>
      <c r="J883" s="131"/>
      <c r="K883" s="131"/>
      <c r="L883" s="131"/>
      <c r="U883" s="131"/>
      <c r="V883" s="131"/>
      <c r="W883" s="131"/>
      <c r="X883" s="131"/>
    </row>
    <row r="884" spans="2:24" x14ac:dyDescent="0.25">
      <c r="B884" s="137"/>
      <c r="C884" s="137"/>
      <c r="D884" s="137"/>
      <c r="E884" s="137"/>
      <c r="I884" s="131"/>
      <c r="J884" s="131"/>
      <c r="K884" s="131"/>
      <c r="L884" s="131"/>
      <c r="U884" s="131"/>
      <c r="V884" s="131"/>
      <c r="W884" s="131"/>
      <c r="X884" s="131"/>
    </row>
    <row r="885" spans="2:24" x14ac:dyDescent="0.25">
      <c r="B885" s="137"/>
      <c r="C885" s="137"/>
      <c r="D885" s="137"/>
      <c r="E885" s="137"/>
      <c r="I885" s="131"/>
      <c r="J885" s="131"/>
      <c r="K885" s="131"/>
      <c r="L885" s="131"/>
      <c r="U885" s="131"/>
      <c r="V885" s="131"/>
      <c r="W885" s="131"/>
      <c r="X885" s="131"/>
    </row>
    <row r="886" spans="2:24" x14ac:dyDescent="0.25">
      <c r="B886" s="137"/>
      <c r="C886" s="137"/>
      <c r="D886" s="137"/>
      <c r="E886" s="137"/>
      <c r="I886" s="131"/>
      <c r="J886" s="131"/>
      <c r="K886" s="131"/>
      <c r="L886" s="131"/>
      <c r="U886" s="131"/>
      <c r="V886" s="131"/>
      <c r="W886" s="131"/>
      <c r="X886" s="131"/>
    </row>
    <row r="887" spans="2:24" x14ac:dyDescent="0.25">
      <c r="B887" s="137"/>
      <c r="C887" s="137"/>
      <c r="D887" s="137"/>
      <c r="E887" s="137"/>
      <c r="I887" s="131"/>
      <c r="J887" s="131"/>
      <c r="K887" s="131"/>
      <c r="L887" s="131"/>
      <c r="U887" s="131"/>
      <c r="V887" s="131"/>
      <c r="W887" s="131"/>
      <c r="X887" s="131"/>
    </row>
    <row r="888" spans="2:24" x14ac:dyDescent="0.25">
      <c r="B888" s="137"/>
      <c r="C888" s="137"/>
      <c r="D888" s="137"/>
      <c r="E888" s="137"/>
      <c r="I888" s="131"/>
      <c r="J888" s="131"/>
      <c r="K888" s="131"/>
      <c r="L888" s="131"/>
      <c r="U888" s="131"/>
      <c r="V888" s="131"/>
      <c r="W888" s="131"/>
      <c r="X888" s="131"/>
    </row>
    <row r="889" spans="2:24" x14ac:dyDescent="0.25">
      <c r="B889" s="137"/>
      <c r="C889" s="137"/>
      <c r="D889" s="137"/>
      <c r="E889" s="137"/>
      <c r="I889" s="131"/>
      <c r="J889" s="131"/>
      <c r="K889" s="131"/>
      <c r="L889" s="131"/>
      <c r="U889" s="131"/>
      <c r="V889" s="131"/>
      <c r="W889" s="131"/>
      <c r="X889" s="131"/>
    </row>
    <row r="890" spans="2:24" x14ac:dyDescent="0.25">
      <c r="B890" s="137"/>
      <c r="C890" s="137"/>
      <c r="D890" s="137"/>
      <c r="E890" s="137"/>
      <c r="I890" s="131"/>
      <c r="J890" s="131"/>
      <c r="K890" s="131"/>
      <c r="L890" s="131"/>
      <c r="U890" s="131"/>
      <c r="V890" s="131"/>
      <c r="W890" s="131"/>
      <c r="X890" s="131"/>
    </row>
    <row r="891" spans="2:24" x14ac:dyDescent="0.25">
      <c r="B891" s="137"/>
      <c r="C891" s="137"/>
      <c r="D891" s="137"/>
      <c r="E891" s="137"/>
      <c r="I891" s="131"/>
      <c r="J891" s="131"/>
      <c r="K891" s="131"/>
      <c r="L891" s="131"/>
      <c r="U891" s="131"/>
      <c r="V891" s="131"/>
      <c r="W891" s="131"/>
      <c r="X891" s="131"/>
    </row>
    <row r="892" spans="2:24" x14ac:dyDescent="0.25">
      <c r="B892" s="137"/>
      <c r="C892" s="137"/>
      <c r="D892" s="137"/>
      <c r="E892" s="137"/>
      <c r="I892" s="131"/>
      <c r="J892" s="131"/>
      <c r="K892" s="131"/>
      <c r="L892" s="131"/>
      <c r="U892" s="131"/>
      <c r="V892" s="131"/>
      <c r="W892" s="131"/>
      <c r="X892" s="131"/>
    </row>
    <row r="893" spans="2:24" x14ac:dyDescent="0.25">
      <c r="B893" s="137"/>
      <c r="C893" s="137"/>
      <c r="D893" s="137"/>
      <c r="E893" s="137"/>
      <c r="I893" s="131"/>
      <c r="J893" s="131"/>
      <c r="K893" s="131"/>
      <c r="L893" s="131"/>
      <c r="U893" s="131"/>
      <c r="V893" s="131"/>
      <c r="W893" s="131"/>
      <c r="X893" s="131"/>
    </row>
    <row r="894" spans="2:24" x14ac:dyDescent="0.25">
      <c r="B894" s="137"/>
      <c r="C894" s="137"/>
      <c r="D894" s="137"/>
      <c r="E894" s="137"/>
      <c r="I894" s="131"/>
      <c r="J894" s="131"/>
      <c r="K894" s="131"/>
      <c r="L894" s="131"/>
      <c r="U894" s="131"/>
      <c r="V894" s="131"/>
      <c r="W894" s="131"/>
      <c r="X894" s="131"/>
    </row>
    <row r="895" spans="2:24" x14ac:dyDescent="0.25">
      <c r="B895" s="137"/>
      <c r="C895" s="137"/>
      <c r="D895" s="137"/>
      <c r="E895" s="137"/>
      <c r="I895" s="131"/>
      <c r="J895" s="131"/>
      <c r="K895" s="131"/>
      <c r="L895" s="131"/>
      <c r="U895" s="131"/>
      <c r="V895" s="131"/>
      <c r="W895" s="131"/>
      <c r="X895" s="131"/>
    </row>
    <row r="896" spans="2:24" x14ac:dyDescent="0.25">
      <c r="B896" s="137"/>
      <c r="C896" s="137"/>
      <c r="D896" s="137"/>
      <c r="E896" s="137"/>
      <c r="I896" s="131"/>
      <c r="J896" s="131"/>
      <c r="K896" s="131"/>
      <c r="L896" s="131"/>
      <c r="U896" s="131"/>
      <c r="V896" s="131"/>
      <c r="W896" s="131"/>
      <c r="X896" s="131"/>
    </row>
    <row r="897" spans="2:24" x14ac:dyDescent="0.25">
      <c r="B897" s="137"/>
      <c r="C897" s="137"/>
      <c r="D897" s="137"/>
      <c r="E897" s="137"/>
      <c r="I897" s="131"/>
      <c r="J897" s="131"/>
      <c r="K897" s="131"/>
      <c r="L897" s="131"/>
      <c r="U897" s="131"/>
      <c r="V897" s="131"/>
      <c r="W897" s="131"/>
      <c r="X897" s="131"/>
    </row>
    <row r="898" spans="2:24" x14ac:dyDescent="0.25">
      <c r="B898" s="137"/>
      <c r="C898" s="137"/>
      <c r="D898" s="137"/>
      <c r="E898" s="137"/>
      <c r="I898" s="131"/>
      <c r="J898" s="131"/>
      <c r="K898" s="131"/>
      <c r="L898" s="131"/>
      <c r="U898" s="131"/>
      <c r="V898" s="131"/>
      <c r="W898" s="131"/>
      <c r="X898" s="131"/>
    </row>
    <row r="899" spans="2:24" x14ac:dyDescent="0.25">
      <c r="B899" s="137"/>
      <c r="C899" s="137"/>
      <c r="D899" s="137"/>
      <c r="E899" s="137"/>
      <c r="I899" s="131"/>
      <c r="J899" s="131"/>
      <c r="K899" s="131"/>
      <c r="L899" s="131"/>
      <c r="U899" s="131"/>
      <c r="V899" s="131"/>
      <c r="W899" s="131"/>
      <c r="X899" s="131"/>
    </row>
    <row r="900" spans="2:24" x14ac:dyDescent="0.25">
      <c r="B900" s="137"/>
      <c r="C900" s="137"/>
      <c r="D900" s="137"/>
      <c r="E900" s="137"/>
      <c r="I900" s="131"/>
      <c r="J900" s="131"/>
      <c r="K900" s="131"/>
      <c r="L900" s="131"/>
      <c r="U900" s="131"/>
      <c r="V900" s="131"/>
      <c r="W900" s="131"/>
      <c r="X900" s="131"/>
    </row>
    <row r="901" spans="2:24" x14ac:dyDescent="0.25">
      <c r="B901" s="137"/>
      <c r="C901" s="137"/>
      <c r="D901" s="137"/>
      <c r="E901" s="137"/>
      <c r="I901" s="131"/>
      <c r="J901" s="131"/>
      <c r="K901" s="131"/>
      <c r="L901" s="131"/>
      <c r="U901" s="131"/>
      <c r="V901" s="131"/>
      <c r="W901" s="131"/>
      <c r="X901" s="131"/>
    </row>
    <row r="902" spans="2:24" x14ac:dyDescent="0.25">
      <c r="B902" s="137"/>
      <c r="C902" s="137"/>
      <c r="D902" s="137"/>
      <c r="E902" s="137"/>
      <c r="I902" s="131"/>
      <c r="J902" s="131"/>
      <c r="K902" s="131"/>
      <c r="L902" s="131"/>
      <c r="U902" s="131"/>
      <c r="V902" s="131"/>
      <c r="W902" s="131"/>
      <c r="X902" s="131"/>
    </row>
    <row r="903" spans="2:24" x14ac:dyDescent="0.25">
      <c r="B903" s="137"/>
      <c r="C903" s="137"/>
      <c r="D903" s="137"/>
      <c r="E903" s="137"/>
      <c r="I903" s="131"/>
      <c r="J903" s="131"/>
      <c r="K903" s="131"/>
      <c r="L903" s="131"/>
      <c r="U903" s="131"/>
      <c r="V903" s="131"/>
      <c r="W903" s="131"/>
      <c r="X903" s="131"/>
    </row>
    <row r="904" spans="2:24" x14ac:dyDescent="0.25">
      <c r="B904" s="137"/>
      <c r="C904" s="137"/>
      <c r="D904" s="137"/>
      <c r="E904" s="137"/>
      <c r="I904" s="131"/>
      <c r="J904" s="131"/>
      <c r="K904" s="131"/>
      <c r="L904" s="131"/>
      <c r="U904" s="131"/>
      <c r="V904" s="131"/>
      <c r="W904" s="131"/>
      <c r="X904" s="131"/>
    </row>
    <row r="905" spans="2:24" x14ac:dyDescent="0.25">
      <c r="B905" s="137"/>
      <c r="C905" s="137"/>
      <c r="D905" s="137"/>
      <c r="E905" s="137"/>
      <c r="I905" s="131"/>
      <c r="J905" s="131"/>
      <c r="K905" s="131"/>
      <c r="L905" s="131"/>
      <c r="U905" s="131"/>
      <c r="V905" s="131"/>
      <c r="W905" s="131"/>
      <c r="X905" s="131"/>
    </row>
    <row r="906" spans="2:24" x14ac:dyDescent="0.25">
      <c r="B906" s="137"/>
      <c r="C906" s="137"/>
      <c r="D906" s="137"/>
      <c r="E906" s="137"/>
      <c r="I906" s="131"/>
      <c r="J906" s="131"/>
      <c r="K906" s="131"/>
      <c r="L906" s="131"/>
      <c r="U906" s="131"/>
      <c r="V906" s="131"/>
      <c r="W906" s="131"/>
      <c r="X906" s="131"/>
    </row>
    <row r="907" spans="2:24" x14ac:dyDescent="0.25">
      <c r="B907" s="137"/>
      <c r="C907" s="137"/>
      <c r="D907" s="137"/>
      <c r="E907" s="137"/>
      <c r="I907" s="131"/>
      <c r="J907" s="131"/>
      <c r="K907" s="131"/>
      <c r="L907" s="131"/>
      <c r="U907" s="131"/>
      <c r="V907" s="131"/>
      <c r="W907" s="131"/>
      <c r="X907" s="131"/>
    </row>
    <row r="908" spans="2:24" x14ac:dyDescent="0.25">
      <c r="B908" s="137"/>
      <c r="C908" s="137"/>
      <c r="D908" s="137"/>
      <c r="E908" s="137"/>
      <c r="I908" s="131"/>
      <c r="J908" s="131"/>
      <c r="K908" s="131"/>
      <c r="L908" s="131"/>
      <c r="U908" s="131"/>
      <c r="V908" s="131"/>
      <c r="W908" s="131"/>
      <c r="X908" s="131"/>
    </row>
    <row r="909" spans="2:24" x14ac:dyDescent="0.25">
      <c r="B909" s="137"/>
      <c r="C909" s="137"/>
      <c r="D909" s="137"/>
      <c r="E909" s="137"/>
      <c r="I909" s="131"/>
      <c r="J909" s="131"/>
      <c r="K909" s="131"/>
      <c r="L909" s="131"/>
      <c r="U909" s="131"/>
      <c r="V909" s="131"/>
      <c r="W909" s="131"/>
      <c r="X909" s="131"/>
    </row>
    <row r="910" spans="2:24" x14ac:dyDescent="0.25">
      <c r="B910" s="137"/>
      <c r="C910" s="137"/>
      <c r="D910" s="137"/>
      <c r="E910" s="137"/>
      <c r="I910" s="131"/>
      <c r="J910" s="131"/>
      <c r="K910" s="131"/>
      <c r="L910" s="131"/>
      <c r="U910" s="131"/>
      <c r="V910" s="131"/>
      <c r="W910" s="131"/>
      <c r="X910" s="131"/>
    </row>
    <row r="911" spans="2:24" x14ac:dyDescent="0.25">
      <c r="B911" s="137"/>
      <c r="C911" s="137"/>
      <c r="D911" s="137"/>
      <c r="E911" s="137"/>
      <c r="I911" s="131"/>
      <c r="J911" s="131"/>
      <c r="K911" s="131"/>
      <c r="L911" s="131"/>
      <c r="U911" s="131"/>
      <c r="V911" s="131"/>
      <c r="W911" s="131"/>
      <c r="X911" s="131"/>
    </row>
    <row r="912" spans="2:24" x14ac:dyDescent="0.25">
      <c r="B912" s="137"/>
      <c r="C912" s="137"/>
      <c r="D912" s="137"/>
      <c r="E912" s="137"/>
      <c r="I912" s="131"/>
      <c r="J912" s="131"/>
      <c r="K912" s="131"/>
      <c r="L912" s="131"/>
      <c r="U912" s="131"/>
      <c r="V912" s="131"/>
      <c r="W912" s="131"/>
      <c r="X912" s="131"/>
    </row>
    <row r="913" spans="2:24" x14ac:dyDescent="0.25">
      <c r="B913" s="137"/>
      <c r="C913" s="137"/>
      <c r="D913" s="137"/>
      <c r="E913" s="137"/>
      <c r="I913" s="131"/>
      <c r="J913" s="131"/>
      <c r="K913" s="131"/>
      <c r="L913" s="131"/>
      <c r="U913" s="131"/>
      <c r="V913" s="131"/>
      <c r="W913" s="131"/>
      <c r="X913" s="131"/>
    </row>
    <row r="914" spans="2:24" x14ac:dyDescent="0.25">
      <c r="B914" s="137"/>
      <c r="C914" s="137"/>
      <c r="D914" s="137"/>
      <c r="E914" s="137"/>
      <c r="I914" s="131"/>
      <c r="J914" s="131"/>
      <c r="K914" s="131"/>
      <c r="L914" s="131"/>
      <c r="U914" s="131"/>
      <c r="V914" s="131"/>
      <c r="W914" s="131"/>
      <c r="X914" s="131"/>
    </row>
    <row r="915" spans="2:24" x14ac:dyDescent="0.25">
      <c r="B915" s="137"/>
      <c r="C915" s="137"/>
      <c r="D915" s="137"/>
      <c r="E915" s="137"/>
      <c r="I915" s="131"/>
      <c r="J915" s="131"/>
      <c r="K915" s="131"/>
      <c r="L915" s="131"/>
      <c r="U915" s="131"/>
      <c r="V915" s="131"/>
      <c r="W915" s="131"/>
      <c r="X915" s="131"/>
    </row>
    <row r="916" spans="2:24" x14ac:dyDescent="0.25">
      <c r="B916" s="137"/>
      <c r="C916" s="137"/>
      <c r="D916" s="137"/>
      <c r="E916" s="137"/>
      <c r="I916" s="131"/>
      <c r="J916" s="131"/>
      <c r="K916" s="131"/>
      <c r="L916" s="131"/>
      <c r="U916" s="131"/>
      <c r="V916" s="131"/>
      <c r="W916" s="131"/>
      <c r="X916" s="131"/>
    </row>
    <row r="917" spans="2:24" x14ac:dyDescent="0.25">
      <c r="B917" s="137"/>
      <c r="C917" s="137"/>
      <c r="D917" s="137"/>
      <c r="E917" s="137"/>
      <c r="I917" s="131"/>
      <c r="J917" s="131"/>
      <c r="K917" s="131"/>
      <c r="L917" s="131"/>
      <c r="U917" s="131"/>
      <c r="V917" s="131"/>
      <c r="W917" s="131"/>
      <c r="X917" s="131"/>
    </row>
    <row r="918" spans="2:24" x14ac:dyDescent="0.25">
      <c r="B918" s="137"/>
      <c r="C918" s="137"/>
      <c r="D918" s="137"/>
      <c r="E918" s="137"/>
      <c r="I918" s="131"/>
      <c r="J918" s="131"/>
      <c r="K918" s="131"/>
      <c r="L918" s="131"/>
      <c r="U918" s="131"/>
      <c r="V918" s="131"/>
      <c r="W918" s="131"/>
      <c r="X918" s="131"/>
    </row>
    <row r="919" spans="2:24" x14ac:dyDescent="0.25">
      <c r="B919" s="137"/>
      <c r="C919" s="137"/>
      <c r="D919" s="137"/>
      <c r="E919" s="137"/>
      <c r="I919" s="131"/>
      <c r="J919" s="131"/>
      <c r="K919" s="131"/>
      <c r="L919" s="131"/>
      <c r="U919" s="131"/>
      <c r="V919" s="131"/>
      <c r="W919" s="131"/>
      <c r="X919" s="131"/>
    </row>
    <row r="920" spans="2:24" x14ac:dyDescent="0.25">
      <c r="B920" s="137"/>
      <c r="C920" s="137"/>
      <c r="D920" s="137"/>
      <c r="E920" s="137"/>
      <c r="I920" s="131"/>
      <c r="J920" s="131"/>
      <c r="K920" s="131"/>
      <c r="L920" s="131"/>
      <c r="U920" s="131"/>
      <c r="V920" s="131"/>
      <c r="W920" s="131"/>
      <c r="X920" s="131"/>
    </row>
    <row r="921" spans="2:24" x14ac:dyDescent="0.25">
      <c r="B921" s="137"/>
      <c r="C921" s="137"/>
      <c r="D921" s="137"/>
      <c r="E921" s="137"/>
      <c r="I921" s="131"/>
      <c r="J921" s="131"/>
      <c r="K921" s="131"/>
      <c r="L921" s="131"/>
      <c r="U921" s="131"/>
      <c r="V921" s="131"/>
      <c r="W921" s="131"/>
      <c r="X921" s="131"/>
    </row>
    <row r="922" spans="2:24" x14ac:dyDescent="0.25">
      <c r="B922" s="137"/>
      <c r="C922" s="137"/>
      <c r="D922" s="137"/>
      <c r="E922" s="137"/>
      <c r="I922" s="131"/>
      <c r="J922" s="131"/>
      <c r="K922" s="131"/>
      <c r="L922" s="131"/>
      <c r="U922" s="131"/>
      <c r="V922" s="131"/>
      <c r="W922" s="131"/>
      <c r="X922" s="131"/>
    </row>
    <row r="923" spans="2:24" x14ac:dyDescent="0.25">
      <c r="B923" s="137"/>
      <c r="C923" s="137"/>
      <c r="D923" s="137"/>
      <c r="E923" s="137"/>
      <c r="I923" s="131"/>
      <c r="J923" s="131"/>
      <c r="K923" s="131"/>
      <c r="L923" s="131"/>
      <c r="U923" s="131"/>
      <c r="V923" s="131"/>
      <c r="W923" s="131"/>
      <c r="X923" s="131"/>
    </row>
    <row r="924" spans="2:24" x14ac:dyDescent="0.25">
      <c r="B924" s="137"/>
      <c r="C924" s="137"/>
      <c r="D924" s="137"/>
      <c r="E924" s="137"/>
      <c r="I924" s="131"/>
      <c r="J924" s="131"/>
      <c r="K924" s="131"/>
      <c r="L924" s="131"/>
      <c r="U924" s="131"/>
      <c r="V924" s="131"/>
      <c r="W924" s="131"/>
      <c r="X924" s="131"/>
    </row>
    <row r="925" spans="2:24" x14ac:dyDescent="0.25">
      <c r="B925" s="137"/>
      <c r="C925" s="137"/>
      <c r="D925" s="137"/>
      <c r="E925" s="137"/>
      <c r="I925" s="131"/>
      <c r="J925" s="131"/>
      <c r="K925" s="131"/>
      <c r="L925" s="131"/>
      <c r="U925" s="131"/>
      <c r="V925" s="131"/>
      <c r="W925" s="131"/>
      <c r="X925" s="131"/>
    </row>
    <row r="926" spans="2:24" x14ac:dyDescent="0.25">
      <c r="B926" s="137"/>
      <c r="C926" s="137"/>
      <c r="D926" s="137"/>
      <c r="E926" s="137"/>
      <c r="I926" s="131"/>
      <c r="J926" s="131"/>
      <c r="K926" s="131"/>
      <c r="L926" s="131"/>
      <c r="U926" s="131"/>
      <c r="V926" s="131"/>
      <c r="W926" s="131"/>
      <c r="X926" s="131"/>
    </row>
    <row r="927" spans="2:24" x14ac:dyDescent="0.25">
      <c r="B927" s="137"/>
      <c r="C927" s="137"/>
      <c r="D927" s="137"/>
      <c r="E927" s="137"/>
      <c r="I927" s="131"/>
      <c r="J927" s="131"/>
      <c r="K927" s="131"/>
      <c r="L927" s="131"/>
      <c r="U927" s="131"/>
      <c r="V927" s="131"/>
      <c r="W927" s="131"/>
      <c r="X927" s="131"/>
    </row>
    <row r="928" spans="2:24" x14ac:dyDescent="0.25">
      <c r="B928" s="137"/>
      <c r="C928" s="137"/>
      <c r="D928" s="137"/>
      <c r="E928" s="137"/>
      <c r="I928" s="131"/>
      <c r="J928" s="131"/>
      <c r="K928" s="131"/>
      <c r="L928" s="131"/>
      <c r="U928" s="131"/>
      <c r="V928" s="131"/>
      <c r="W928" s="131"/>
      <c r="X928" s="131"/>
    </row>
    <row r="929" spans="2:24" x14ac:dyDescent="0.25">
      <c r="B929" s="137"/>
      <c r="C929" s="137"/>
      <c r="D929" s="137"/>
      <c r="E929" s="137"/>
      <c r="I929" s="131"/>
      <c r="J929" s="131"/>
      <c r="K929" s="131"/>
      <c r="L929" s="131"/>
      <c r="U929" s="131"/>
      <c r="V929" s="131"/>
      <c r="W929" s="131"/>
      <c r="X929" s="131"/>
    </row>
    <row r="930" spans="2:24" x14ac:dyDescent="0.25">
      <c r="B930" s="137"/>
      <c r="C930" s="137"/>
      <c r="D930" s="137"/>
      <c r="E930" s="137"/>
      <c r="I930" s="131"/>
      <c r="J930" s="131"/>
      <c r="K930" s="131"/>
      <c r="L930" s="131"/>
      <c r="U930" s="131"/>
      <c r="V930" s="131"/>
      <c r="W930" s="131"/>
      <c r="X930" s="131"/>
    </row>
    <row r="931" spans="2:24" x14ac:dyDescent="0.25">
      <c r="B931" s="137"/>
      <c r="C931" s="137"/>
      <c r="D931" s="137"/>
      <c r="E931" s="137"/>
      <c r="I931" s="131"/>
      <c r="J931" s="131"/>
      <c r="K931" s="131"/>
      <c r="L931" s="131"/>
      <c r="U931" s="131"/>
      <c r="V931" s="131"/>
      <c r="W931" s="131"/>
      <c r="X931" s="131"/>
    </row>
    <row r="932" spans="2:24" x14ac:dyDescent="0.25">
      <c r="B932" s="137"/>
      <c r="C932" s="137"/>
      <c r="D932" s="137"/>
      <c r="E932" s="137"/>
      <c r="I932" s="131"/>
      <c r="J932" s="131"/>
      <c r="K932" s="131"/>
      <c r="L932" s="131"/>
      <c r="U932" s="131"/>
      <c r="V932" s="131"/>
      <c r="W932" s="131"/>
      <c r="X932" s="131"/>
    </row>
    <row r="933" spans="2:24" x14ac:dyDescent="0.25">
      <c r="B933" s="137"/>
      <c r="C933" s="137"/>
      <c r="D933" s="137"/>
      <c r="E933" s="137"/>
      <c r="I933" s="131"/>
      <c r="J933" s="131"/>
      <c r="K933" s="131"/>
      <c r="L933" s="131"/>
      <c r="U933" s="131"/>
      <c r="V933" s="131"/>
      <c r="W933" s="131"/>
      <c r="X933" s="131"/>
    </row>
    <row r="934" spans="2:24" x14ac:dyDescent="0.25">
      <c r="B934" s="137"/>
      <c r="C934" s="137"/>
      <c r="D934" s="137"/>
      <c r="E934" s="137"/>
      <c r="I934" s="131"/>
      <c r="J934" s="131"/>
      <c r="K934" s="131"/>
      <c r="L934" s="131"/>
      <c r="U934" s="131"/>
      <c r="V934" s="131"/>
      <c r="W934" s="131"/>
      <c r="X934" s="131"/>
    </row>
    <row r="935" spans="2:24" x14ac:dyDescent="0.25">
      <c r="B935" s="137"/>
      <c r="C935" s="137"/>
      <c r="D935" s="137"/>
      <c r="E935" s="137"/>
      <c r="I935" s="131"/>
      <c r="J935" s="131"/>
      <c r="K935" s="131"/>
      <c r="L935" s="131"/>
      <c r="U935" s="131"/>
      <c r="V935" s="131"/>
      <c r="W935" s="131"/>
      <c r="X935" s="131"/>
    </row>
    <row r="936" spans="2:24" x14ac:dyDescent="0.25">
      <c r="B936" s="137"/>
      <c r="C936" s="137"/>
      <c r="D936" s="137"/>
      <c r="E936" s="137"/>
      <c r="I936" s="131"/>
      <c r="J936" s="131"/>
      <c r="K936" s="131"/>
      <c r="L936" s="131"/>
      <c r="U936" s="131"/>
      <c r="V936" s="131"/>
      <c r="W936" s="131"/>
      <c r="X936" s="131"/>
    </row>
    <row r="937" spans="2:24" x14ac:dyDescent="0.25">
      <c r="B937" s="137"/>
      <c r="C937" s="137"/>
      <c r="D937" s="137"/>
      <c r="E937" s="137"/>
      <c r="I937" s="131"/>
      <c r="J937" s="131"/>
      <c r="K937" s="131"/>
      <c r="L937" s="131"/>
      <c r="U937" s="131"/>
      <c r="V937" s="131"/>
      <c r="W937" s="131"/>
      <c r="X937" s="131"/>
    </row>
    <row r="938" spans="2:24" x14ac:dyDescent="0.25">
      <c r="B938" s="137"/>
      <c r="C938" s="137"/>
      <c r="D938" s="137"/>
      <c r="E938" s="137"/>
      <c r="I938" s="131"/>
      <c r="J938" s="131"/>
      <c r="K938" s="131"/>
      <c r="L938" s="131"/>
      <c r="U938" s="131"/>
      <c r="V938" s="131"/>
      <c r="W938" s="131"/>
      <c r="X938" s="131"/>
    </row>
    <row r="939" spans="2:24" x14ac:dyDescent="0.25">
      <c r="B939" s="137"/>
      <c r="C939" s="137"/>
      <c r="D939" s="137"/>
      <c r="E939" s="137"/>
      <c r="I939" s="131"/>
      <c r="J939" s="131"/>
      <c r="K939" s="131"/>
      <c r="L939" s="131"/>
      <c r="U939" s="131"/>
      <c r="V939" s="131"/>
      <c r="W939" s="131"/>
      <c r="X939" s="131"/>
    </row>
    <row r="940" spans="2:24" x14ac:dyDescent="0.25">
      <c r="B940" s="137"/>
      <c r="C940" s="137"/>
      <c r="D940" s="137"/>
      <c r="E940" s="137"/>
      <c r="I940" s="131"/>
      <c r="J940" s="131"/>
      <c r="K940" s="131"/>
      <c r="L940" s="131"/>
      <c r="U940" s="131"/>
      <c r="V940" s="131"/>
      <c r="W940" s="131"/>
      <c r="X940" s="131"/>
    </row>
    <row r="941" spans="2:24" x14ac:dyDescent="0.25">
      <c r="B941" s="137"/>
      <c r="C941" s="137"/>
      <c r="D941" s="137"/>
      <c r="E941" s="137"/>
      <c r="I941" s="131"/>
      <c r="J941" s="131"/>
      <c r="K941" s="131"/>
      <c r="L941" s="131"/>
      <c r="U941" s="131"/>
      <c r="V941" s="131"/>
      <c r="W941" s="131"/>
      <c r="X941" s="131"/>
    </row>
    <row r="942" spans="2:24" x14ac:dyDescent="0.25">
      <c r="B942" s="137"/>
      <c r="C942" s="137"/>
      <c r="D942" s="137"/>
      <c r="E942" s="137"/>
      <c r="I942" s="131"/>
      <c r="J942" s="131"/>
      <c r="K942" s="131"/>
      <c r="L942" s="131"/>
      <c r="U942" s="131"/>
      <c r="V942" s="131"/>
      <c r="W942" s="131"/>
      <c r="X942" s="131"/>
    </row>
    <row r="943" spans="2:24" x14ac:dyDescent="0.25">
      <c r="B943" s="137"/>
      <c r="C943" s="137"/>
      <c r="D943" s="137"/>
      <c r="E943" s="137"/>
      <c r="I943" s="131"/>
      <c r="J943" s="131"/>
      <c r="K943" s="131"/>
      <c r="L943" s="131"/>
      <c r="U943" s="131"/>
      <c r="V943" s="131"/>
      <c r="W943" s="131"/>
      <c r="X943" s="131"/>
    </row>
    <row r="944" spans="2:24" x14ac:dyDescent="0.25">
      <c r="B944" s="137"/>
      <c r="C944" s="137"/>
      <c r="D944" s="137"/>
      <c r="E944" s="137"/>
      <c r="I944" s="131"/>
      <c r="J944" s="131"/>
      <c r="K944" s="131"/>
      <c r="L944" s="131"/>
      <c r="U944" s="131"/>
      <c r="V944" s="131"/>
      <c r="W944" s="131"/>
      <c r="X944" s="131"/>
    </row>
    <row r="945" spans="2:24" x14ac:dyDescent="0.25">
      <c r="B945" s="137"/>
      <c r="C945" s="137"/>
      <c r="D945" s="137"/>
      <c r="E945" s="137"/>
      <c r="I945" s="131"/>
      <c r="J945" s="131"/>
      <c r="K945" s="131"/>
      <c r="L945" s="131"/>
      <c r="U945" s="131"/>
      <c r="V945" s="131"/>
      <c r="W945" s="131"/>
      <c r="X945" s="131"/>
    </row>
    <row r="946" spans="2:24" x14ac:dyDescent="0.25">
      <c r="B946" s="137"/>
      <c r="C946" s="137"/>
      <c r="D946" s="137"/>
      <c r="E946" s="137"/>
      <c r="I946" s="131"/>
      <c r="J946" s="131"/>
      <c r="K946" s="131"/>
      <c r="L946" s="131"/>
      <c r="U946" s="131"/>
      <c r="V946" s="131"/>
      <c r="W946" s="131"/>
      <c r="X946" s="131"/>
    </row>
    <row r="947" spans="2:24" x14ac:dyDescent="0.25">
      <c r="B947" s="137"/>
      <c r="C947" s="137"/>
      <c r="D947" s="137"/>
      <c r="E947" s="137"/>
      <c r="I947" s="131"/>
      <c r="J947" s="131"/>
      <c r="K947" s="131"/>
      <c r="L947" s="131"/>
      <c r="U947" s="131"/>
      <c r="V947" s="131"/>
      <c r="W947" s="131"/>
      <c r="X947" s="131"/>
    </row>
    <row r="948" spans="2:24" x14ac:dyDescent="0.25">
      <c r="B948" s="137"/>
      <c r="C948" s="137"/>
      <c r="D948" s="137"/>
      <c r="E948" s="137"/>
      <c r="I948" s="131"/>
      <c r="J948" s="131"/>
      <c r="K948" s="131"/>
      <c r="L948" s="131"/>
      <c r="U948" s="131"/>
      <c r="V948" s="131"/>
      <c r="W948" s="131"/>
      <c r="X948" s="131"/>
    </row>
    <row r="949" spans="2:24" x14ac:dyDescent="0.25">
      <c r="B949" s="137"/>
      <c r="C949" s="137"/>
      <c r="D949" s="137"/>
      <c r="E949" s="137"/>
      <c r="I949" s="131"/>
      <c r="J949" s="131"/>
      <c r="K949" s="131"/>
      <c r="L949" s="131"/>
      <c r="U949" s="131"/>
      <c r="V949" s="131"/>
      <c r="W949" s="131"/>
      <c r="X949" s="131"/>
    </row>
    <row r="950" spans="2:24" x14ac:dyDescent="0.25">
      <c r="B950" s="137"/>
      <c r="C950" s="137"/>
      <c r="D950" s="137"/>
      <c r="E950" s="137"/>
      <c r="I950" s="131"/>
      <c r="J950" s="131"/>
      <c r="K950" s="131"/>
      <c r="L950" s="131"/>
      <c r="U950" s="131"/>
      <c r="V950" s="131"/>
      <c r="W950" s="131"/>
      <c r="X950" s="131"/>
    </row>
    <row r="951" spans="2:24" x14ac:dyDescent="0.25">
      <c r="B951" s="137"/>
      <c r="C951" s="137"/>
      <c r="D951" s="137"/>
      <c r="E951" s="137"/>
      <c r="I951" s="131"/>
      <c r="J951" s="131"/>
      <c r="K951" s="131"/>
      <c r="L951" s="131"/>
      <c r="U951" s="131"/>
      <c r="V951" s="131"/>
      <c r="W951" s="131"/>
      <c r="X951" s="131"/>
    </row>
    <row r="952" spans="2:24" x14ac:dyDescent="0.25">
      <c r="B952" s="137"/>
      <c r="C952" s="137"/>
      <c r="D952" s="137"/>
      <c r="E952" s="137"/>
      <c r="I952" s="131"/>
      <c r="J952" s="131"/>
      <c r="K952" s="131"/>
      <c r="L952" s="131"/>
      <c r="U952" s="131"/>
      <c r="V952" s="131"/>
      <c r="W952" s="131"/>
      <c r="X952" s="131"/>
    </row>
    <row r="953" spans="2:24" x14ac:dyDescent="0.25">
      <c r="B953" s="137"/>
      <c r="C953" s="137"/>
      <c r="D953" s="137"/>
      <c r="E953" s="137"/>
      <c r="I953" s="131"/>
      <c r="J953" s="131"/>
      <c r="K953" s="131"/>
      <c r="L953" s="131"/>
      <c r="U953" s="131"/>
      <c r="V953" s="131"/>
      <c r="W953" s="131"/>
      <c r="X953" s="131"/>
    </row>
    <row r="954" spans="2:24" x14ac:dyDescent="0.25">
      <c r="B954" s="137"/>
      <c r="C954" s="137"/>
      <c r="D954" s="137"/>
      <c r="E954" s="137"/>
      <c r="I954" s="131"/>
      <c r="J954" s="131"/>
      <c r="K954" s="131"/>
      <c r="L954" s="131"/>
      <c r="U954" s="131"/>
      <c r="V954" s="131"/>
      <c r="W954" s="131"/>
      <c r="X954" s="131"/>
    </row>
    <row r="955" spans="2:24" x14ac:dyDescent="0.25">
      <c r="B955" s="137"/>
      <c r="C955" s="137"/>
      <c r="D955" s="137"/>
      <c r="E955" s="137"/>
      <c r="I955" s="131"/>
      <c r="J955" s="131"/>
      <c r="K955" s="131"/>
      <c r="L955" s="131"/>
      <c r="U955" s="131"/>
      <c r="V955" s="131"/>
      <c r="W955" s="131"/>
      <c r="X955" s="131"/>
    </row>
    <row r="956" spans="2:24" x14ac:dyDescent="0.25">
      <c r="B956" s="137"/>
      <c r="C956" s="137"/>
      <c r="D956" s="137"/>
      <c r="E956" s="137"/>
      <c r="I956" s="131"/>
      <c r="J956" s="131"/>
      <c r="K956" s="131"/>
      <c r="L956" s="131"/>
      <c r="U956" s="131"/>
      <c r="V956" s="131"/>
      <c r="W956" s="131"/>
      <c r="X956" s="131"/>
    </row>
    <row r="957" spans="2:24" x14ac:dyDescent="0.25">
      <c r="B957" s="137"/>
      <c r="C957" s="137"/>
      <c r="D957" s="137"/>
      <c r="E957" s="137"/>
      <c r="I957" s="131"/>
      <c r="J957" s="131"/>
      <c r="K957" s="131"/>
      <c r="L957" s="131"/>
      <c r="U957" s="131"/>
      <c r="V957" s="131"/>
      <c r="W957" s="131"/>
      <c r="X957" s="131"/>
    </row>
    <row r="958" spans="2:24" x14ac:dyDescent="0.25">
      <c r="B958" s="137"/>
      <c r="C958" s="137"/>
      <c r="D958" s="137"/>
      <c r="E958" s="137"/>
      <c r="I958" s="131"/>
      <c r="J958" s="131"/>
      <c r="K958" s="131"/>
      <c r="L958" s="131"/>
      <c r="U958" s="131"/>
      <c r="V958" s="131"/>
      <c r="W958" s="131"/>
      <c r="X958" s="131"/>
    </row>
    <row r="959" spans="2:24" x14ac:dyDescent="0.25">
      <c r="B959" s="137"/>
      <c r="C959" s="137"/>
      <c r="D959" s="137"/>
      <c r="E959" s="137"/>
      <c r="I959" s="131"/>
      <c r="J959" s="131"/>
      <c r="K959" s="131"/>
      <c r="L959" s="131"/>
      <c r="U959" s="131"/>
      <c r="V959" s="131"/>
      <c r="W959" s="131"/>
      <c r="X959" s="131"/>
    </row>
    <row r="960" spans="2:24" x14ac:dyDescent="0.25">
      <c r="B960" s="137"/>
      <c r="C960" s="137"/>
      <c r="D960" s="137"/>
      <c r="E960" s="137"/>
      <c r="I960" s="131"/>
      <c r="J960" s="131"/>
      <c r="K960" s="131"/>
      <c r="L960" s="131"/>
      <c r="U960" s="131"/>
      <c r="V960" s="131"/>
      <c r="W960" s="131"/>
      <c r="X960" s="131"/>
    </row>
    <row r="961" spans="2:24" x14ac:dyDescent="0.25">
      <c r="B961" s="137"/>
      <c r="C961" s="137"/>
      <c r="D961" s="137"/>
      <c r="E961" s="137"/>
      <c r="I961" s="131"/>
      <c r="J961" s="131"/>
      <c r="K961" s="131"/>
      <c r="L961" s="131"/>
      <c r="U961" s="131"/>
      <c r="V961" s="131"/>
      <c r="W961" s="131"/>
      <c r="X961" s="131"/>
    </row>
    <row r="962" spans="2:24" x14ac:dyDescent="0.25">
      <c r="B962" s="137"/>
      <c r="C962" s="137"/>
      <c r="D962" s="137"/>
      <c r="E962" s="137"/>
      <c r="I962" s="131"/>
      <c r="J962" s="131"/>
      <c r="K962" s="131"/>
      <c r="L962" s="131"/>
      <c r="U962" s="131"/>
      <c r="V962" s="131"/>
      <c r="W962" s="131"/>
      <c r="X962" s="131"/>
    </row>
    <row r="963" spans="2:24" x14ac:dyDescent="0.25">
      <c r="B963" s="137"/>
      <c r="C963" s="137"/>
      <c r="D963" s="137"/>
      <c r="E963" s="137"/>
      <c r="I963" s="131"/>
      <c r="J963" s="131"/>
      <c r="K963" s="131"/>
      <c r="L963" s="131"/>
      <c r="U963" s="131"/>
      <c r="V963" s="131"/>
      <c r="W963" s="131"/>
      <c r="X963" s="131"/>
    </row>
    <row r="964" spans="2:24" x14ac:dyDescent="0.25">
      <c r="B964" s="137"/>
      <c r="C964" s="137"/>
      <c r="D964" s="137"/>
      <c r="E964" s="137"/>
      <c r="I964" s="131"/>
      <c r="J964" s="131"/>
      <c r="K964" s="131"/>
      <c r="L964" s="131"/>
      <c r="U964" s="131"/>
      <c r="V964" s="131"/>
      <c r="W964" s="131"/>
      <c r="X964" s="131"/>
    </row>
    <row r="965" spans="2:24" x14ac:dyDescent="0.25">
      <c r="B965" s="137"/>
      <c r="C965" s="137"/>
      <c r="D965" s="137"/>
      <c r="E965" s="137"/>
      <c r="I965" s="131"/>
      <c r="J965" s="131"/>
      <c r="K965" s="131"/>
      <c r="L965" s="131"/>
      <c r="U965" s="131"/>
      <c r="V965" s="131"/>
      <c r="W965" s="131"/>
      <c r="X965" s="131"/>
    </row>
    <row r="966" spans="2:24" x14ac:dyDescent="0.25">
      <c r="B966" s="137"/>
      <c r="C966" s="137"/>
      <c r="D966" s="137"/>
      <c r="E966" s="137"/>
      <c r="I966" s="131"/>
      <c r="J966" s="131"/>
      <c r="K966" s="131"/>
      <c r="L966" s="131"/>
      <c r="U966" s="131"/>
      <c r="V966" s="131"/>
      <c r="W966" s="131"/>
      <c r="X966" s="131"/>
    </row>
    <row r="967" spans="2:24" x14ac:dyDescent="0.25">
      <c r="B967" s="137"/>
      <c r="C967" s="137"/>
      <c r="D967" s="137"/>
      <c r="E967" s="137"/>
      <c r="I967" s="131"/>
      <c r="J967" s="131"/>
      <c r="K967" s="131"/>
      <c r="L967" s="131"/>
      <c r="U967" s="131"/>
      <c r="V967" s="131"/>
      <c r="W967" s="131"/>
      <c r="X967" s="131"/>
    </row>
    <row r="968" spans="2:24" x14ac:dyDescent="0.25">
      <c r="B968" s="137"/>
      <c r="C968" s="137"/>
      <c r="D968" s="137"/>
      <c r="E968" s="137"/>
      <c r="I968" s="131"/>
      <c r="J968" s="131"/>
      <c r="K968" s="131"/>
      <c r="L968" s="131"/>
      <c r="U968" s="131"/>
      <c r="V968" s="131"/>
      <c r="W968" s="131"/>
      <c r="X968" s="131"/>
    </row>
    <row r="969" spans="2:24" x14ac:dyDescent="0.25">
      <c r="B969" s="137"/>
      <c r="C969" s="137"/>
      <c r="D969" s="137"/>
      <c r="E969" s="137"/>
      <c r="I969" s="131"/>
      <c r="J969" s="131"/>
      <c r="K969" s="131"/>
      <c r="L969" s="131"/>
      <c r="U969" s="131"/>
      <c r="V969" s="131"/>
      <c r="W969" s="131"/>
      <c r="X969" s="131"/>
    </row>
    <row r="970" spans="2:24" x14ac:dyDescent="0.25">
      <c r="B970" s="137"/>
      <c r="C970" s="137"/>
      <c r="D970" s="137"/>
      <c r="E970" s="137"/>
      <c r="I970" s="131"/>
      <c r="J970" s="131"/>
      <c r="K970" s="131"/>
      <c r="L970" s="131"/>
      <c r="U970" s="131"/>
      <c r="V970" s="131"/>
      <c r="W970" s="131"/>
      <c r="X970" s="131"/>
    </row>
    <row r="971" spans="2:24" x14ac:dyDescent="0.25">
      <c r="B971" s="137"/>
      <c r="C971" s="137"/>
      <c r="D971" s="137"/>
      <c r="E971" s="137"/>
      <c r="I971" s="131"/>
      <c r="J971" s="131"/>
      <c r="K971" s="131"/>
      <c r="L971" s="131"/>
      <c r="U971" s="131"/>
      <c r="V971" s="131"/>
      <c r="W971" s="131"/>
      <c r="X971" s="131"/>
    </row>
    <row r="972" spans="2:24" x14ac:dyDescent="0.25">
      <c r="B972" s="137"/>
      <c r="C972" s="137"/>
      <c r="D972" s="137"/>
      <c r="E972" s="137"/>
      <c r="I972" s="131"/>
      <c r="J972" s="131"/>
      <c r="K972" s="131"/>
      <c r="L972" s="131"/>
      <c r="U972" s="131"/>
      <c r="V972" s="131"/>
      <c r="W972" s="131"/>
      <c r="X972" s="131"/>
    </row>
    <row r="973" spans="2:24" x14ac:dyDescent="0.25">
      <c r="B973" s="137"/>
      <c r="C973" s="137"/>
      <c r="D973" s="137"/>
      <c r="E973" s="137"/>
      <c r="I973" s="131"/>
      <c r="J973" s="131"/>
      <c r="K973" s="131"/>
      <c r="L973" s="131"/>
      <c r="U973" s="131"/>
      <c r="V973" s="131"/>
      <c r="W973" s="131"/>
      <c r="X973" s="131"/>
    </row>
    <row r="974" spans="2:24" x14ac:dyDescent="0.25">
      <c r="B974" s="137"/>
      <c r="C974" s="137"/>
      <c r="D974" s="137"/>
      <c r="E974" s="137"/>
      <c r="I974" s="131"/>
      <c r="J974" s="131"/>
      <c r="K974" s="131"/>
      <c r="L974" s="131"/>
      <c r="U974" s="131"/>
      <c r="V974" s="131"/>
      <c r="W974" s="131"/>
      <c r="X974" s="131"/>
    </row>
    <row r="975" spans="2:24" x14ac:dyDescent="0.25">
      <c r="B975" s="137"/>
      <c r="C975" s="137"/>
      <c r="D975" s="137"/>
      <c r="E975" s="137"/>
      <c r="I975" s="131"/>
      <c r="J975" s="131"/>
      <c r="K975" s="131"/>
      <c r="L975" s="131"/>
      <c r="U975" s="131"/>
      <c r="V975" s="131"/>
      <c r="W975" s="131"/>
      <c r="X975" s="131"/>
    </row>
    <row r="976" spans="2:24" x14ac:dyDescent="0.25">
      <c r="B976" s="137"/>
      <c r="C976" s="137"/>
      <c r="D976" s="137"/>
      <c r="E976" s="137"/>
      <c r="I976" s="131"/>
      <c r="J976" s="131"/>
      <c r="K976" s="131"/>
      <c r="L976" s="131"/>
      <c r="U976" s="131"/>
      <c r="V976" s="131"/>
      <c r="W976" s="131"/>
      <c r="X976" s="131"/>
    </row>
    <row r="977" spans="2:24" x14ac:dyDescent="0.25">
      <c r="B977" s="137"/>
      <c r="C977" s="137"/>
      <c r="D977" s="137"/>
      <c r="E977" s="137"/>
      <c r="I977" s="131"/>
      <c r="J977" s="131"/>
      <c r="K977" s="131"/>
      <c r="L977" s="131"/>
      <c r="U977" s="131"/>
      <c r="V977" s="131"/>
      <c r="W977" s="131"/>
      <c r="X977" s="131"/>
    </row>
    <row r="978" spans="2:24" x14ac:dyDescent="0.25">
      <c r="B978" s="137"/>
      <c r="C978" s="137"/>
      <c r="D978" s="137"/>
      <c r="E978" s="137"/>
      <c r="I978" s="131"/>
      <c r="J978" s="131"/>
      <c r="K978" s="131"/>
      <c r="L978" s="131"/>
      <c r="U978" s="131"/>
      <c r="V978" s="131"/>
      <c r="W978" s="131"/>
      <c r="X978" s="131"/>
    </row>
    <row r="979" spans="2:24" x14ac:dyDescent="0.25">
      <c r="B979" s="137"/>
      <c r="C979" s="137"/>
      <c r="D979" s="137"/>
      <c r="E979" s="137"/>
      <c r="I979" s="131"/>
      <c r="J979" s="131"/>
      <c r="K979" s="131"/>
      <c r="L979" s="131"/>
      <c r="U979" s="131"/>
      <c r="V979" s="131"/>
      <c r="W979" s="131"/>
      <c r="X979" s="131"/>
    </row>
    <row r="980" spans="2:24" x14ac:dyDescent="0.25">
      <c r="B980" s="137"/>
      <c r="C980" s="137"/>
      <c r="D980" s="137"/>
      <c r="E980" s="137"/>
      <c r="I980" s="131"/>
      <c r="J980" s="131"/>
      <c r="K980" s="131"/>
      <c r="L980" s="131"/>
      <c r="U980" s="131"/>
      <c r="V980" s="131"/>
      <c r="W980" s="131"/>
      <c r="X980" s="131"/>
    </row>
    <row r="981" spans="2:24" x14ac:dyDescent="0.25">
      <c r="B981" s="137"/>
      <c r="C981" s="137"/>
      <c r="D981" s="137"/>
      <c r="E981" s="137"/>
      <c r="I981" s="131"/>
      <c r="J981" s="131"/>
      <c r="K981" s="131"/>
      <c r="L981" s="131"/>
      <c r="U981" s="131"/>
      <c r="V981" s="131"/>
      <c r="W981" s="131"/>
      <c r="X981" s="131"/>
    </row>
    <row r="982" spans="2:24" x14ac:dyDescent="0.25">
      <c r="B982" s="137"/>
      <c r="C982" s="137"/>
      <c r="D982" s="137"/>
      <c r="E982" s="137"/>
      <c r="I982" s="131"/>
      <c r="J982" s="131"/>
      <c r="K982" s="131"/>
      <c r="L982" s="131"/>
      <c r="U982" s="131"/>
      <c r="V982" s="131"/>
      <c r="W982" s="131"/>
      <c r="X982" s="131"/>
    </row>
    <row r="983" spans="2:24" x14ac:dyDescent="0.25">
      <c r="B983" s="137"/>
      <c r="C983" s="137"/>
      <c r="D983" s="137"/>
      <c r="E983" s="137"/>
      <c r="I983" s="131"/>
      <c r="J983" s="131"/>
      <c r="K983" s="131"/>
      <c r="L983" s="131"/>
      <c r="U983" s="131"/>
      <c r="V983" s="131"/>
      <c r="W983" s="131"/>
      <c r="X983" s="131"/>
    </row>
    <row r="984" spans="2:24" x14ac:dyDescent="0.25">
      <c r="B984" s="137"/>
      <c r="C984" s="137"/>
      <c r="D984" s="137"/>
      <c r="E984" s="137"/>
      <c r="I984" s="131"/>
      <c r="J984" s="131"/>
      <c r="K984" s="131"/>
      <c r="L984" s="131"/>
      <c r="U984" s="131"/>
      <c r="V984" s="131"/>
      <c r="W984" s="131"/>
      <c r="X984" s="131"/>
    </row>
    <row r="985" spans="2:24" x14ac:dyDescent="0.25">
      <c r="B985" s="137"/>
      <c r="C985" s="137"/>
      <c r="D985" s="137"/>
      <c r="E985" s="137"/>
      <c r="I985" s="131"/>
      <c r="J985" s="131"/>
      <c r="K985" s="131"/>
      <c r="L985" s="131"/>
      <c r="U985" s="131"/>
      <c r="V985" s="131"/>
      <c r="W985" s="131"/>
      <c r="X985" s="131"/>
    </row>
    <row r="986" spans="2:24" x14ac:dyDescent="0.25">
      <c r="B986" s="137"/>
      <c r="C986" s="137"/>
      <c r="D986" s="137"/>
      <c r="E986" s="137"/>
      <c r="I986" s="131"/>
      <c r="J986" s="131"/>
      <c r="K986" s="131"/>
      <c r="L986" s="131"/>
      <c r="U986" s="131"/>
      <c r="V986" s="131"/>
      <c r="W986" s="131"/>
      <c r="X986" s="131"/>
    </row>
    <row r="987" spans="2:24" x14ac:dyDescent="0.25">
      <c r="B987" s="137"/>
      <c r="C987" s="137"/>
      <c r="D987" s="137"/>
      <c r="E987" s="137"/>
      <c r="I987" s="131"/>
      <c r="J987" s="131"/>
      <c r="K987" s="131"/>
      <c r="L987" s="131"/>
      <c r="U987" s="131"/>
      <c r="V987" s="131"/>
      <c r="W987" s="131"/>
      <c r="X987" s="131"/>
    </row>
    <row r="988" spans="2:24" x14ac:dyDescent="0.25">
      <c r="B988" s="137"/>
      <c r="C988" s="137"/>
      <c r="D988" s="137"/>
      <c r="E988" s="137"/>
      <c r="I988" s="131"/>
      <c r="J988" s="131"/>
      <c r="K988" s="131"/>
      <c r="L988" s="131"/>
      <c r="U988" s="131"/>
      <c r="V988" s="131"/>
      <c r="W988" s="131"/>
      <c r="X988" s="131"/>
    </row>
    <row r="989" spans="2:24" x14ac:dyDescent="0.25">
      <c r="B989" s="137"/>
      <c r="C989" s="137"/>
      <c r="D989" s="137"/>
      <c r="E989" s="137"/>
      <c r="I989" s="131"/>
      <c r="J989" s="131"/>
      <c r="K989" s="131"/>
      <c r="L989" s="131"/>
      <c r="U989" s="131"/>
      <c r="V989" s="131"/>
      <c r="W989" s="131"/>
      <c r="X989" s="131"/>
    </row>
    <row r="990" spans="2:24" x14ac:dyDescent="0.25">
      <c r="B990" s="137"/>
      <c r="C990" s="137"/>
      <c r="D990" s="137"/>
      <c r="E990" s="137"/>
      <c r="I990" s="131"/>
      <c r="J990" s="131"/>
      <c r="K990" s="131"/>
      <c r="L990" s="131"/>
      <c r="U990" s="131"/>
      <c r="V990" s="131"/>
      <c r="W990" s="131"/>
      <c r="X990" s="131"/>
    </row>
    <row r="991" spans="2:24" x14ac:dyDescent="0.25">
      <c r="B991" s="137"/>
      <c r="C991" s="137"/>
      <c r="D991" s="137"/>
      <c r="E991" s="137"/>
      <c r="I991" s="131"/>
      <c r="J991" s="131"/>
      <c r="K991" s="131"/>
      <c r="L991" s="131"/>
      <c r="U991" s="131"/>
      <c r="V991" s="131"/>
      <c r="W991" s="131"/>
      <c r="X991" s="131"/>
    </row>
    <row r="992" spans="2:24" x14ac:dyDescent="0.25">
      <c r="B992" s="137"/>
      <c r="C992" s="137"/>
      <c r="D992" s="137"/>
      <c r="E992" s="137"/>
      <c r="I992" s="131"/>
      <c r="J992" s="131"/>
      <c r="K992" s="131"/>
      <c r="L992" s="131"/>
      <c r="U992" s="131"/>
      <c r="V992" s="131"/>
      <c r="W992" s="131"/>
      <c r="X992" s="131"/>
    </row>
    <row r="993" spans="2:24" x14ac:dyDescent="0.25">
      <c r="B993" s="137"/>
      <c r="C993" s="137"/>
      <c r="D993" s="137"/>
      <c r="E993" s="137"/>
      <c r="I993" s="131"/>
      <c r="J993" s="131"/>
      <c r="K993" s="131"/>
      <c r="L993" s="131"/>
      <c r="U993" s="131"/>
      <c r="V993" s="131"/>
      <c r="W993" s="131"/>
      <c r="X993" s="131"/>
    </row>
    <row r="994" spans="2:24" x14ac:dyDescent="0.25">
      <c r="B994" s="137"/>
      <c r="C994" s="137"/>
      <c r="D994" s="137"/>
      <c r="E994" s="137"/>
      <c r="I994" s="131"/>
      <c r="J994" s="131"/>
      <c r="K994" s="131"/>
      <c r="L994" s="131"/>
      <c r="U994" s="131"/>
      <c r="V994" s="131"/>
      <c r="W994" s="131"/>
      <c r="X994" s="131"/>
    </row>
    <row r="995" spans="2:24" x14ac:dyDescent="0.25">
      <c r="B995" s="137"/>
      <c r="C995" s="137"/>
      <c r="D995" s="137"/>
      <c r="E995" s="137"/>
      <c r="I995" s="131"/>
      <c r="J995" s="131"/>
      <c r="K995" s="131"/>
      <c r="L995" s="131"/>
      <c r="U995" s="131"/>
      <c r="V995" s="131"/>
      <c r="W995" s="131"/>
      <c r="X995" s="131"/>
    </row>
    <row r="996" spans="2:24" x14ac:dyDescent="0.25">
      <c r="B996" s="137"/>
      <c r="C996" s="137"/>
      <c r="D996" s="137"/>
      <c r="E996" s="137"/>
      <c r="I996" s="131"/>
      <c r="J996" s="131"/>
      <c r="K996" s="131"/>
      <c r="L996" s="131"/>
      <c r="U996" s="131"/>
      <c r="V996" s="131"/>
      <c r="W996" s="131"/>
      <c r="X996" s="131"/>
    </row>
    <row r="997" spans="2:24" x14ac:dyDescent="0.25">
      <c r="B997" s="137"/>
      <c r="C997" s="137"/>
      <c r="D997" s="137"/>
      <c r="E997" s="137"/>
      <c r="I997" s="131"/>
      <c r="J997" s="131"/>
      <c r="K997" s="131"/>
      <c r="L997" s="131"/>
      <c r="U997" s="131"/>
      <c r="V997" s="131"/>
      <c r="W997" s="131"/>
      <c r="X997" s="131"/>
    </row>
    <row r="998" spans="2:24" x14ac:dyDescent="0.25">
      <c r="B998" s="137"/>
      <c r="C998" s="137"/>
      <c r="D998" s="137"/>
      <c r="E998" s="137"/>
      <c r="I998" s="131"/>
      <c r="J998" s="131"/>
      <c r="K998" s="131"/>
      <c r="L998" s="131"/>
      <c r="U998" s="131"/>
      <c r="V998" s="131"/>
      <c r="W998" s="131"/>
      <c r="X998" s="131"/>
    </row>
    <row r="999" spans="2:24" x14ac:dyDescent="0.25">
      <c r="B999" s="137"/>
      <c r="C999" s="137"/>
      <c r="D999" s="137"/>
      <c r="E999" s="137"/>
      <c r="I999" s="131"/>
      <c r="J999" s="131"/>
      <c r="K999" s="131"/>
      <c r="L999" s="131"/>
      <c r="U999" s="131"/>
      <c r="V999" s="131"/>
      <c r="W999" s="131"/>
      <c r="X999" s="131"/>
    </row>
    <row r="1000" spans="2:24" x14ac:dyDescent="0.25">
      <c r="B1000" s="137"/>
      <c r="C1000" s="137"/>
      <c r="D1000" s="137"/>
      <c r="E1000" s="137"/>
      <c r="I1000" s="131"/>
      <c r="J1000" s="131"/>
      <c r="K1000" s="131"/>
      <c r="L1000" s="131"/>
      <c r="U1000" s="131"/>
      <c r="V1000" s="131"/>
      <c r="W1000" s="131"/>
      <c r="X1000" s="131"/>
    </row>
    <row r="1001" spans="2:24" x14ac:dyDescent="0.25">
      <c r="I1001" s="131"/>
      <c r="J1001" s="131"/>
      <c r="K1001" s="131"/>
      <c r="L1001" s="131"/>
      <c r="U1001" s="131"/>
      <c r="V1001" s="131"/>
      <c r="W1001" s="131"/>
      <c r="X1001" s="131"/>
    </row>
    <row r="1002" spans="2:24" x14ac:dyDescent="0.25">
      <c r="I1002" s="131"/>
      <c r="J1002" s="131"/>
      <c r="K1002" s="131"/>
      <c r="L1002" s="131"/>
      <c r="U1002" s="131"/>
      <c r="V1002" s="131"/>
      <c r="W1002" s="131"/>
      <c r="X1002" s="131"/>
    </row>
    <row r="1003" spans="2:24" x14ac:dyDescent="0.25">
      <c r="I1003" s="131"/>
      <c r="J1003" s="131"/>
      <c r="K1003" s="131"/>
      <c r="L1003" s="131"/>
      <c r="U1003" s="131"/>
      <c r="V1003" s="131"/>
      <c r="W1003" s="131"/>
      <c r="X1003" s="131"/>
    </row>
    <row r="1004" spans="2:24" x14ac:dyDescent="0.25">
      <c r="I1004" s="131"/>
      <c r="J1004" s="131"/>
      <c r="K1004" s="131"/>
      <c r="L1004" s="131"/>
      <c r="U1004" s="131"/>
      <c r="V1004" s="131"/>
      <c r="W1004" s="131"/>
      <c r="X1004" s="131"/>
    </row>
    <row r="1005" spans="2:24" x14ac:dyDescent="0.25">
      <c r="I1005" s="131"/>
      <c r="J1005" s="131"/>
      <c r="K1005" s="131"/>
      <c r="L1005" s="131"/>
      <c r="U1005" s="131"/>
      <c r="V1005" s="131"/>
      <c r="W1005" s="131"/>
      <c r="X1005" s="131"/>
    </row>
    <row r="1006" spans="2:24" x14ac:dyDescent="0.25">
      <c r="I1006" s="131"/>
      <c r="J1006" s="131"/>
      <c r="K1006" s="131"/>
      <c r="L1006" s="131"/>
      <c r="U1006" s="131"/>
      <c r="V1006" s="131"/>
      <c r="W1006" s="131"/>
      <c r="X1006" s="131"/>
    </row>
    <row r="1007" spans="2:24" x14ac:dyDescent="0.25">
      <c r="I1007" s="131"/>
      <c r="J1007" s="131"/>
      <c r="K1007" s="131"/>
      <c r="L1007" s="131"/>
      <c r="U1007" s="131"/>
      <c r="V1007" s="131"/>
      <c r="W1007" s="131"/>
      <c r="X1007" s="131"/>
    </row>
    <row r="1008" spans="2:24" x14ac:dyDescent="0.25">
      <c r="I1008" s="131"/>
      <c r="J1008" s="131"/>
      <c r="K1008" s="131"/>
      <c r="L1008" s="131"/>
      <c r="U1008" s="131"/>
      <c r="V1008" s="131"/>
      <c r="W1008" s="131"/>
      <c r="X1008" s="131"/>
    </row>
    <row r="1009" spans="9:24" x14ac:dyDescent="0.25">
      <c r="I1009" s="131"/>
      <c r="J1009" s="131"/>
      <c r="K1009" s="131"/>
      <c r="L1009" s="131"/>
      <c r="U1009" s="131"/>
      <c r="V1009" s="131"/>
      <c r="W1009" s="131"/>
      <c r="X1009" s="131"/>
    </row>
    <row r="1010" spans="9:24" x14ac:dyDescent="0.25">
      <c r="I1010" s="131"/>
      <c r="J1010" s="131"/>
      <c r="K1010" s="131"/>
      <c r="L1010" s="131"/>
      <c r="U1010" s="131"/>
      <c r="V1010" s="131"/>
      <c r="W1010" s="131"/>
      <c r="X1010" s="131"/>
    </row>
    <row r="1011" spans="9:24" x14ac:dyDescent="0.25">
      <c r="I1011" s="131"/>
      <c r="J1011" s="131"/>
      <c r="K1011" s="131"/>
      <c r="L1011" s="131"/>
      <c r="U1011" s="131"/>
      <c r="V1011" s="131"/>
      <c r="W1011" s="131"/>
      <c r="X1011" s="131"/>
    </row>
    <row r="1012" spans="9:24" x14ac:dyDescent="0.25">
      <c r="I1012" s="131"/>
      <c r="J1012" s="131"/>
      <c r="K1012" s="131"/>
      <c r="L1012" s="131"/>
      <c r="U1012" s="131"/>
      <c r="V1012" s="131"/>
      <c r="W1012" s="131"/>
      <c r="X1012" s="131"/>
    </row>
    <row r="1013" spans="9:24" x14ac:dyDescent="0.25">
      <c r="I1013" s="131"/>
      <c r="J1013" s="131"/>
      <c r="K1013" s="131"/>
      <c r="L1013" s="131"/>
      <c r="U1013" s="131"/>
      <c r="V1013" s="131"/>
      <c r="W1013" s="131"/>
      <c r="X1013" s="131"/>
    </row>
    <row r="1014" spans="9:24" x14ac:dyDescent="0.25">
      <c r="I1014" s="131"/>
      <c r="J1014" s="131"/>
      <c r="K1014" s="131"/>
      <c r="L1014" s="131"/>
      <c r="U1014" s="131"/>
      <c r="V1014" s="131"/>
      <c r="W1014" s="131"/>
      <c r="X1014" s="131"/>
    </row>
    <row r="1015" spans="9:24" x14ac:dyDescent="0.25">
      <c r="I1015" s="131"/>
      <c r="J1015" s="131"/>
      <c r="K1015" s="131"/>
      <c r="L1015" s="131"/>
      <c r="U1015" s="131"/>
      <c r="V1015" s="131"/>
      <c r="W1015" s="131"/>
      <c r="X1015" s="131"/>
    </row>
    <row r="1016" spans="9:24" x14ac:dyDescent="0.25">
      <c r="I1016" s="131"/>
      <c r="J1016" s="131"/>
      <c r="K1016" s="131"/>
      <c r="L1016" s="131"/>
      <c r="U1016" s="131"/>
      <c r="V1016" s="131"/>
      <c r="W1016" s="131"/>
      <c r="X1016" s="131"/>
    </row>
    <row r="1017" spans="9:24" x14ac:dyDescent="0.25">
      <c r="I1017" s="131"/>
      <c r="J1017" s="131"/>
      <c r="K1017" s="131"/>
      <c r="L1017" s="131"/>
      <c r="U1017" s="131"/>
      <c r="V1017" s="131"/>
      <c r="W1017" s="131"/>
      <c r="X1017" s="131"/>
    </row>
    <row r="1018" spans="9:24" x14ac:dyDescent="0.25">
      <c r="I1018" s="131"/>
      <c r="J1018" s="131"/>
      <c r="K1018" s="131"/>
      <c r="L1018" s="131"/>
      <c r="U1018" s="131"/>
      <c r="V1018" s="131"/>
      <c r="W1018" s="131"/>
      <c r="X1018" s="131"/>
    </row>
    <row r="1019" spans="9:24" x14ac:dyDescent="0.25">
      <c r="I1019" s="131"/>
      <c r="J1019" s="131"/>
      <c r="K1019" s="131"/>
      <c r="L1019" s="131"/>
      <c r="U1019" s="131"/>
      <c r="V1019" s="131"/>
      <c r="W1019" s="131"/>
      <c r="X1019" s="131"/>
    </row>
    <row r="1020" spans="9:24" x14ac:dyDescent="0.25">
      <c r="I1020" s="131"/>
      <c r="J1020" s="131"/>
      <c r="K1020" s="131"/>
      <c r="L1020" s="131"/>
      <c r="U1020" s="131"/>
      <c r="V1020" s="131"/>
      <c r="W1020" s="131"/>
      <c r="X1020" s="131"/>
    </row>
    <row r="1021" spans="9:24" x14ac:dyDescent="0.25">
      <c r="I1021" s="131"/>
      <c r="J1021" s="131"/>
      <c r="K1021" s="131"/>
      <c r="L1021" s="131"/>
      <c r="U1021" s="131"/>
      <c r="V1021" s="131"/>
      <c r="W1021" s="131"/>
      <c r="X1021" s="131"/>
    </row>
    <row r="1022" spans="9:24" x14ac:dyDescent="0.25">
      <c r="I1022" s="131"/>
      <c r="J1022" s="131"/>
      <c r="K1022" s="131"/>
      <c r="L1022" s="131"/>
      <c r="U1022" s="131"/>
      <c r="V1022" s="131"/>
      <c r="W1022" s="131"/>
      <c r="X1022" s="131"/>
    </row>
    <row r="1023" spans="9:24" x14ac:dyDescent="0.25">
      <c r="I1023" s="131"/>
      <c r="J1023" s="131"/>
      <c r="K1023" s="131"/>
      <c r="L1023" s="131"/>
      <c r="U1023" s="131"/>
      <c r="V1023" s="131"/>
      <c r="W1023" s="131"/>
      <c r="X1023" s="131"/>
    </row>
    <row r="1024" spans="9:24" x14ac:dyDescent="0.25">
      <c r="I1024" s="131"/>
      <c r="J1024" s="131"/>
      <c r="K1024" s="131"/>
      <c r="L1024" s="131"/>
      <c r="U1024" s="131"/>
      <c r="V1024" s="131"/>
      <c r="W1024" s="131"/>
      <c r="X1024" s="131"/>
    </row>
    <row r="1025" spans="9:24" x14ac:dyDescent="0.25">
      <c r="I1025" s="131"/>
      <c r="J1025" s="131"/>
      <c r="K1025" s="131"/>
      <c r="L1025" s="131"/>
      <c r="U1025" s="131"/>
      <c r="V1025" s="131"/>
      <c r="W1025" s="131"/>
      <c r="X1025" s="131"/>
    </row>
    <row r="1026" spans="9:24" x14ac:dyDescent="0.25">
      <c r="I1026" s="131"/>
      <c r="J1026" s="131"/>
      <c r="K1026" s="131"/>
      <c r="L1026" s="131"/>
      <c r="U1026" s="131"/>
      <c r="V1026" s="131"/>
      <c r="W1026" s="131"/>
      <c r="X1026" s="131"/>
    </row>
    <row r="1027" spans="9:24" x14ac:dyDescent="0.25">
      <c r="I1027" s="131"/>
      <c r="J1027" s="131"/>
      <c r="K1027" s="131"/>
      <c r="L1027" s="131"/>
      <c r="U1027" s="131"/>
      <c r="V1027" s="131"/>
      <c r="W1027" s="131"/>
      <c r="X1027" s="131"/>
    </row>
    <row r="1028" spans="9:24" x14ac:dyDescent="0.25">
      <c r="I1028" s="131"/>
      <c r="J1028" s="131"/>
      <c r="K1028" s="131"/>
      <c r="L1028" s="131"/>
      <c r="U1028" s="131"/>
      <c r="V1028" s="131"/>
      <c r="W1028" s="131"/>
      <c r="X1028" s="131"/>
    </row>
    <row r="1029" spans="9:24" x14ac:dyDescent="0.25">
      <c r="I1029" s="131"/>
      <c r="J1029" s="131"/>
      <c r="K1029" s="131"/>
      <c r="L1029" s="131"/>
      <c r="U1029" s="131"/>
      <c r="V1029" s="131"/>
      <c r="W1029" s="131"/>
      <c r="X1029" s="131"/>
    </row>
    <row r="1030" spans="9:24" x14ac:dyDescent="0.25">
      <c r="I1030" s="131"/>
      <c r="J1030" s="131"/>
      <c r="K1030" s="131"/>
      <c r="L1030" s="131"/>
      <c r="U1030" s="131"/>
      <c r="V1030" s="131"/>
      <c r="W1030" s="131"/>
      <c r="X1030" s="131"/>
    </row>
    <row r="1031" spans="9:24" x14ac:dyDescent="0.25">
      <c r="I1031" s="131"/>
      <c r="J1031" s="131"/>
      <c r="K1031" s="131"/>
      <c r="L1031" s="131"/>
      <c r="U1031" s="131"/>
      <c r="V1031" s="131"/>
      <c r="W1031" s="131"/>
      <c r="X1031" s="131"/>
    </row>
    <row r="1032" spans="9:24" x14ac:dyDescent="0.25">
      <c r="I1032" s="131"/>
      <c r="J1032" s="131"/>
      <c r="K1032" s="131"/>
      <c r="L1032" s="131"/>
      <c r="U1032" s="131"/>
      <c r="V1032" s="131"/>
      <c r="W1032" s="131"/>
      <c r="X1032" s="131"/>
    </row>
    <row r="1033" spans="9:24" x14ac:dyDescent="0.25">
      <c r="I1033" s="131"/>
      <c r="J1033" s="131"/>
      <c r="K1033" s="131"/>
      <c r="L1033" s="131"/>
      <c r="U1033" s="131"/>
      <c r="V1033" s="131"/>
      <c r="W1033" s="131"/>
      <c r="X1033" s="131"/>
    </row>
    <row r="1034" spans="9:24" x14ac:dyDescent="0.25">
      <c r="I1034" s="131"/>
      <c r="J1034" s="131"/>
      <c r="K1034" s="131"/>
      <c r="L1034" s="131"/>
      <c r="U1034" s="131"/>
      <c r="V1034" s="131"/>
      <c r="W1034" s="131"/>
      <c r="X1034" s="131"/>
    </row>
    <row r="1035" spans="9:24" x14ac:dyDescent="0.25">
      <c r="I1035" s="131"/>
      <c r="J1035" s="131"/>
      <c r="K1035" s="131"/>
      <c r="L1035" s="131"/>
      <c r="U1035" s="131"/>
      <c r="V1035" s="131"/>
      <c r="W1035" s="131"/>
      <c r="X1035" s="131"/>
    </row>
    <row r="1036" spans="9:24" x14ac:dyDescent="0.25">
      <c r="I1036" s="131"/>
      <c r="J1036" s="131"/>
      <c r="K1036" s="131"/>
      <c r="L1036" s="131"/>
      <c r="U1036" s="131"/>
      <c r="V1036" s="131"/>
      <c r="W1036" s="131"/>
      <c r="X1036" s="131"/>
    </row>
    <row r="1037" spans="9:24" x14ac:dyDescent="0.25">
      <c r="I1037" s="131"/>
      <c r="J1037" s="131"/>
      <c r="K1037" s="131"/>
      <c r="L1037" s="131"/>
      <c r="U1037" s="131"/>
      <c r="V1037" s="131"/>
      <c r="W1037" s="131"/>
      <c r="X1037" s="131"/>
    </row>
    <row r="1038" spans="9:24" x14ac:dyDescent="0.25">
      <c r="I1038" s="131"/>
      <c r="J1038" s="131"/>
      <c r="K1038" s="131"/>
      <c r="L1038" s="131"/>
      <c r="U1038" s="131"/>
      <c r="V1038" s="131"/>
      <c r="W1038" s="131"/>
      <c r="X1038" s="131"/>
    </row>
    <row r="1039" spans="9:24" x14ac:dyDescent="0.25">
      <c r="I1039" s="131"/>
      <c r="J1039" s="131"/>
      <c r="K1039" s="131"/>
      <c r="L1039" s="131"/>
      <c r="U1039" s="131"/>
      <c r="V1039" s="131"/>
      <c r="W1039" s="131"/>
      <c r="X1039" s="131"/>
    </row>
    <row r="1040" spans="9:24" x14ac:dyDescent="0.25">
      <c r="I1040" s="131"/>
      <c r="J1040" s="131"/>
      <c r="K1040" s="131"/>
      <c r="L1040" s="131"/>
      <c r="U1040" s="131"/>
      <c r="V1040" s="131"/>
      <c r="W1040" s="131"/>
      <c r="X1040" s="131"/>
    </row>
    <row r="1041" spans="9:24" x14ac:dyDescent="0.25">
      <c r="I1041" s="131"/>
      <c r="J1041" s="131"/>
      <c r="K1041" s="131"/>
      <c r="L1041" s="131"/>
      <c r="U1041" s="131"/>
      <c r="V1041" s="131"/>
      <c r="W1041" s="131"/>
      <c r="X1041" s="131"/>
    </row>
    <row r="1042" spans="9:24" x14ac:dyDescent="0.25">
      <c r="I1042" s="131"/>
      <c r="J1042" s="131"/>
      <c r="K1042" s="131"/>
      <c r="L1042" s="131"/>
      <c r="U1042" s="131"/>
      <c r="V1042" s="131"/>
      <c r="W1042" s="131"/>
      <c r="X1042" s="131"/>
    </row>
    <row r="1043" spans="9:24" x14ac:dyDescent="0.25">
      <c r="I1043" s="131"/>
      <c r="J1043" s="131"/>
      <c r="K1043" s="131"/>
      <c r="L1043" s="131"/>
      <c r="U1043" s="131"/>
      <c r="V1043" s="131"/>
      <c r="W1043" s="131"/>
      <c r="X1043" s="131"/>
    </row>
    <row r="1044" spans="9:24" x14ac:dyDescent="0.25">
      <c r="I1044" s="131"/>
      <c r="J1044" s="131"/>
      <c r="K1044" s="131"/>
      <c r="L1044" s="131"/>
      <c r="U1044" s="131"/>
      <c r="V1044" s="131"/>
      <c r="W1044" s="131"/>
      <c r="X1044" s="131"/>
    </row>
    <row r="1045" spans="9:24" x14ac:dyDescent="0.25">
      <c r="I1045" s="131"/>
      <c r="J1045" s="131"/>
      <c r="K1045" s="131"/>
      <c r="L1045" s="131"/>
      <c r="U1045" s="131"/>
      <c r="V1045" s="131"/>
      <c r="W1045" s="131"/>
      <c r="X1045" s="131"/>
    </row>
    <row r="1046" spans="9:24" x14ac:dyDescent="0.25">
      <c r="I1046" s="131"/>
      <c r="J1046" s="131"/>
      <c r="K1046" s="131"/>
      <c r="L1046" s="131"/>
      <c r="U1046" s="131"/>
      <c r="V1046" s="131"/>
      <c r="W1046" s="131"/>
      <c r="X1046" s="131"/>
    </row>
    <row r="1047" spans="9:24" x14ac:dyDescent="0.25">
      <c r="I1047" s="131"/>
      <c r="J1047" s="131"/>
      <c r="K1047" s="131"/>
      <c r="L1047" s="131"/>
      <c r="U1047" s="131"/>
      <c r="V1047" s="131"/>
      <c r="W1047" s="131"/>
      <c r="X1047" s="131"/>
    </row>
    <row r="1048" spans="9:24" x14ac:dyDescent="0.25">
      <c r="I1048" s="131"/>
      <c r="J1048" s="131"/>
      <c r="K1048" s="131"/>
      <c r="L1048" s="131"/>
      <c r="U1048" s="131"/>
      <c r="V1048" s="131"/>
      <c r="W1048" s="131"/>
      <c r="X1048" s="131"/>
    </row>
    <row r="1049" spans="9:24" x14ac:dyDescent="0.25">
      <c r="I1049" s="131"/>
      <c r="J1049" s="131"/>
      <c r="K1049" s="131"/>
      <c r="L1049" s="131"/>
      <c r="U1049" s="131"/>
      <c r="V1049" s="131"/>
      <c r="W1049" s="131"/>
      <c r="X1049" s="131"/>
    </row>
    <row r="1050" spans="9:24" x14ac:dyDescent="0.25">
      <c r="I1050" s="131"/>
      <c r="J1050" s="131"/>
      <c r="K1050" s="131"/>
      <c r="L1050" s="131"/>
      <c r="U1050" s="131"/>
      <c r="V1050" s="131"/>
      <c r="W1050" s="131"/>
      <c r="X1050" s="131"/>
    </row>
    <row r="1051" spans="9:24" x14ac:dyDescent="0.25">
      <c r="I1051" s="131"/>
      <c r="J1051" s="131"/>
      <c r="K1051" s="131"/>
      <c r="L1051" s="131"/>
      <c r="U1051" s="131"/>
      <c r="V1051" s="131"/>
      <c r="W1051" s="131"/>
      <c r="X1051" s="131"/>
    </row>
    <row r="1052" spans="9:24" x14ac:dyDescent="0.25">
      <c r="I1052" s="131"/>
      <c r="J1052" s="131"/>
      <c r="K1052" s="131"/>
      <c r="L1052" s="131"/>
      <c r="U1052" s="131"/>
      <c r="V1052" s="131"/>
      <c r="W1052" s="131"/>
      <c r="X1052" s="131"/>
    </row>
    <row r="1053" spans="9:24" x14ac:dyDescent="0.25">
      <c r="I1053" s="131"/>
      <c r="J1053" s="131"/>
      <c r="K1053" s="131"/>
      <c r="L1053" s="131"/>
      <c r="U1053" s="131"/>
      <c r="V1053" s="131"/>
      <c r="W1053" s="131"/>
      <c r="X1053" s="131"/>
    </row>
    <row r="1054" spans="9:24" x14ac:dyDescent="0.25">
      <c r="I1054" s="131"/>
      <c r="J1054" s="131"/>
      <c r="K1054" s="131"/>
      <c r="L1054" s="131"/>
      <c r="U1054" s="131"/>
      <c r="V1054" s="131"/>
      <c r="W1054" s="131"/>
      <c r="X1054" s="131"/>
    </row>
    <row r="1055" spans="9:24" x14ac:dyDescent="0.25">
      <c r="I1055" s="131"/>
      <c r="J1055" s="131"/>
      <c r="K1055" s="131"/>
      <c r="L1055" s="131"/>
      <c r="U1055" s="131"/>
      <c r="V1055" s="131"/>
      <c r="W1055" s="131"/>
      <c r="X1055" s="131"/>
    </row>
    <row r="1056" spans="9:24" x14ac:dyDescent="0.25">
      <c r="I1056" s="131"/>
      <c r="J1056" s="131"/>
      <c r="K1056" s="131"/>
      <c r="L1056" s="131"/>
      <c r="U1056" s="131"/>
      <c r="V1056" s="131"/>
      <c r="W1056" s="131"/>
      <c r="X1056" s="131"/>
    </row>
    <row r="1057" spans="9:24" x14ac:dyDescent="0.25">
      <c r="I1057" s="131"/>
      <c r="J1057" s="131"/>
      <c r="K1057" s="131"/>
      <c r="L1057" s="131"/>
      <c r="U1057" s="131"/>
      <c r="V1057" s="131"/>
      <c r="W1057" s="131"/>
      <c r="X1057" s="131"/>
    </row>
    <row r="1058" spans="9:24" x14ac:dyDescent="0.25">
      <c r="I1058" s="131"/>
      <c r="J1058" s="131"/>
      <c r="K1058" s="131"/>
      <c r="L1058" s="131"/>
      <c r="U1058" s="131"/>
      <c r="V1058" s="131"/>
      <c r="W1058" s="131"/>
      <c r="X1058" s="131"/>
    </row>
    <row r="1059" spans="9:24" x14ac:dyDescent="0.25">
      <c r="I1059" s="131"/>
      <c r="J1059" s="131"/>
      <c r="K1059" s="131"/>
      <c r="L1059" s="131"/>
      <c r="U1059" s="131"/>
      <c r="V1059" s="131"/>
      <c r="W1059" s="131"/>
      <c r="X1059" s="131"/>
    </row>
    <row r="1060" spans="9:24" x14ac:dyDescent="0.25">
      <c r="I1060" s="131"/>
      <c r="J1060" s="131"/>
      <c r="K1060" s="131"/>
      <c r="L1060" s="131"/>
      <c r="U1060" s="131"/>
      <c r="V1060" s="131"/>
      <c r="W1060" s="131"/>
      <c r="X1060" s="131"/>
    </row>
    <row r="1061" spans="9:24" x14ac:dyDescent="0.25">
      <c r="I1061" s="131"/>
      <c r="J1061" s="131"/>
      <c r="K1061" s="131"/>
      <c r="L1061" s="131"/>
      <c r="U1061" s="131"/>
      <c r="V1061" s="131"/>
      <c r="W1061" s="131"/>
      <c r="X1061" s="131"/>
    </row>
    <row r="1062" spans="9:24" x14ac:dyDescent="0.25">
      <c r="I1062" s="131"/>
      <c r="J1062" s="131"/>
      <c r="K1062" s="131"/>
      <c r="L1062" s="131"/>
      <c r="U1062" s="131"/>
      <c r="V1062" s="131"/>
      <c r="W1062" s="131"/>
      <c r="X1062" s="131"/>
    </row>
    <row r="1063" spans="9:24" x14ac:dyDescent="0.25">
      <c r="I1063" s="131"/>
      <c r="J1063" s="131"/>
      <c r="K1063" s="131"/>
      <c r="L1063" s="131"/>
      <c r="U1063" s="131"/>
      <c r="V1063" s="131"/>
      <c r="W1063" s="131"/>
      <c r="X1063" s="131"/>
    </row>
    <row r="1064" spans="9:24" x14ac:dyDescent="0.25">
      <c r="I1064" s="131"/>
      <c r="J1064" s="131"/>
      <c r="K1064" s="131"/>
      <c r="L1064" s="131"/>
      <c r="U1064" s="131"/>
      <c r="V1064" s="131"/>
      <c r="W1064" s="131"/>
      <c r="X1064" s="131"/>
    </row>
    <row r="1065" spans="9:24" x14ac:dyDescent="0.25">
      <c r="I1065" s="131"/>
      <c r="J1065" s="131"/>
      <c r="K1065" s="131"/>
      <c r="L1065" s="131"/>
      <c r="U1065" s="131"/>
      <c r="V1065" s="131"/>
      <c r="W1065" s="131"/>
      <c r="X1065" s="131"/>
    </row>
    <row r="1066" spans="9:24" x14ac:dyDescent="0.25">
      <c r="I1066" s="131"/>
      <c r="J1066" s="131"/>
      <c r="K1066" s="131"/>
      <c r="L1066" s="131"/>
      <c r="U1066" s="131"/>
      <c r="V1066" s="131"/>
      <c r="W1066" s="131"/>
      <c r="X1066" s="131"/>
    </row>
    <row r="1067" spans="9:24" x14ac:dyDescent="0.25">
      <c r="I1067" s="131"/>
      <c r="J1067" s="131"/>
      <c r="K1067" s="131"/>
      <c r="L1067" s="131"/>
      <c r="U1067" s="131"/>
      <c r="V1067" s="131"/>
      <c r="W1067" s="131"/>
      <c r="X1067" s="131"/>
    </row>
    <row r="1068" spans="9:24" x14ac:dyDescent="0.25">
      <c r="I1068" s="131"/>
      <c r="J1068" s="131"/>
      <c r="K1068" s="131"/>
      <c r="L1068" s="131"/>
      <c r="U1068" s="131"/>
      <c r="V1068" s="131"/>
      <c r="W1068" s="131"/>
      <c r="X1068" s="131"/>
    </row>
    <row r="1069" spans="9:24" x14ac:dyDescent="0.25">
      <c r="I1069" s="131"/>
      <c r="J1069" s="131"/>
      <c r="K1069" s="131"/>
      <c r="L1069" s="131"/>
      <c r="U1069" s="131"/>
      <c r="V1069" s="131"/>
      <c r="W1069" s="131"/>
      <c r="X1069" s="131"/>
    </row>
    <row r="1070" spans="9:24" x14ac:dyDescent="0.25">
      <c r="I1070" s="131"/>
      <c r="J1070" s="131"/>
      <c r="K1070" s="131"/>
      <c r="L1070" s="131"/>
      <c r="U1070" s="131"/>
      <c r="V1070" s="131"/>
      <c r="W1070" s="131"/>
      <c r="X1070" s="131"/>
    </row>
    <row r="1071" spans="9:24" x14ac:dyDescent="0.25">
      <c r="I1071" s="131"/>
      <c r="J1071" s="131"/>
      <c r="K1071" s="131"/>
      <c r="L1071" s="131"/>
      <c r="U1071" s="131"/>
      <c r="V1071" s="131"/>
      <c r="W1071" s="131"/>
      <c r="X1071" s="131"/>
    </row>
    <row r="1072" spans="9:24" x14ac:dyDescent="0.25">
      <c r="I1072" s="131"/>
      <c r="J1072" s="131"/>
      <c r="K1072" s="131"/>
      <c r="L1072" s="131"/>
      <c r="U1072" s="131"/>
      <c r="V1072" s="131"/>
      <c r="W1072" s="131"/>
      <c r="X1072" s="131"/>
    </row>
    <row r="1073" spans="9:24" x14ac:dyDescent="0.25">
      <c r="I1073" s="131"/>
      <c r="J1073" s="131"/>
      <c r="K1073" s="131"/>
      <c r="L1073" s="131"/>
      <c r="U1073" s="131"/>
      <c r="V1073" s="131"/>
      <c r="W1073" s="131"/>
      <c r="X1073" s="131"/>
    </row>
    <row r="1074" spans="9:24" x14ac:dyDescent="0.25">
      <c r="I1074" s="131"/>
      <c r="J1074" s="131"/>
      <c r="K1074" s="131"/>
      <c r="L1074" s="131"/>
      <c r="U1074" s="131"/>
      <c r="V1074" s="131"/>
      <c r="W1074" s="131"/>
      <c r="X1074" s="131"/>
    </row>
    <row r="1075" spans="9:24" x14ac:dyDescent="0.25">
      <c r="I1075" s="131"/>
      <c r="J1075" s="131"/>
      <c r="K1075" s="131"/>
      <c r="L1075" s="131"/>
      <c r="U1075" s="131"/>
      <c r="V1075" s="131"/>
      <c r="W1075" s="131"/>
      <c r="X1075" s="131"/>
    </row>
    <row r="1076" spans="9:24" x14ac:dyDescent="0.25">
      <c r="I1076" s="131"/>
      <c r="J1076" s="131"/>
      <c r="K1076" s="131"/>
      <c r="L1076" s="131"/>
      <c r="U1076" s="131"/>
      <c r="V1076" s="131"/>
      <c r="W1076" s="131"/>
      <c r="X1076" s="131"/>
    </row>
    <row r="1077" spans="9:24" x14ac:dyDescent="0.25">
      <c r="I1077" s="131"/>
      <c r="J1077" s="131"/>
      <c r="K1077" s="131"/>
      <c r="L1077" s="131"/>
      <c r="U1077" s="131"/>
      <c r="V1077" s="131"/>
      <c r="W1077" s="131"/>
      <c r="X1077" s="131"/>
    </row>
    <row r="1078" spans="9:24" x14ac:dyDescent="0.25">
      <c r="I1078" s="131"/>
      <c r="J1078" s="131"/>
      <c r="K1078" s="131"/>
      <c r="L1078" s="131"/>
      <c r="U1078" s="131"/>
      <c r="V1078" s="131"/>
      <c r="W1078" s="131"/>
      <c r="X1078" s="131"/>
    </row>
    <row r="1079" spans="9:24" x14ac:dyDescent="0.25">
      <c r="I1079" s="131"/>
      <c r="J1079" s="131"/>
      <c r="K1079" s="131"/>
      <c r="L1079" s="131"/>
      <c r="U1079" s="131"/>
      <c r="V1079" s="131"/>
      <c r="W1079" s="131"/>
      <c r="X1079" s="131"/>
    </row>
    <row r="1080" spans="9:24" x14ac:dyDescent="0.25">
      <c r="I1080" s="131"/>
      <c r="J1080" s="131"/>
      <c r="K1080" s="131"/>
      <c r="L1080" s="131"/>
      <c r="U1080" s="131"/>
      <c r="V1080" s="131"/>
      <c r="W1080" s="131"/>
      <c r="X1080" s="131"/>
    </row>
    <row r="1081" spans="9:24" x14ac:dyDescent="0.25">
      <c r="I1081" s="131"/>
      <c r="J1081" s="131"/>
      <c r="K1081" s="131"/>
      <c r="L1081" s="131"/>
      <c r="U1081" s="131"/>
      <c r="V1081" s="131"/>
      <c r="W1081" s="131"/>
      <c r="X1081" s="131"/>
    </row>
    <row r="1082" spans="9:24" x14ac:dyDescent="0.25">
      <c r="I1082" s="131"/>
      <c r="J1082" s="131"/>
      <c r="K1082" s="131"/>
      <c r="L1082" s="131"/>
      <c r="U1082" s="131"/>
      <c r="V1082" s="131"/>
      <c r="W1082" s="131"/>
      <c r="X1082" s="131"/>
    </row>
    <row r="1083" spans="9:24" x14ac:dyDescent="0.25">
      <c r="I1083" s="131"/>
      <c r="J1083" s="131"/>
      <c r="K1083" s="131"/>
      <c r="L1083" s="131"/>
      <c r="U1083" s="131"/>
      <c r="V1083" s="131"/>
      <c r="W1083" s="131"/>
      <c r="X1083" s="131"/>
    </row>
    <row r="1084" spans="9:24" x14ac:dyDescent="0.25">
      <c r="I1084" s="131"/>
      <c r="J1084" s="131"/>
      <c r="K1084" s="131"/>
      <c r="L1084" s="131"/>
      <c r="U1084" s="131"/>
      <c r="V1084" s="131"/>
      <c r="W1084" s="131"/>
      <c r="X1084" s="131"/>
    </row>
    <row r="1085" spans="9:24" x14ac:dyDescent="0.25">
      <c r="I1085" s="131"/>
      <c r="J1085" s="131"/>
      <c r="K1085" s="131"/>
      <c r="L1085" s="131"/>
      <c r="U1085" s="131"/>
      <c r="V1085" s="131"/>
      <c r="W1085" s="131"/>
      <c r="X1085" s="131"/>
    </row>
    <row r="1086" spans="9:24" x14ac:dyDescent="0.25">
      <c r="I1086" s="131"/>
      <c r="J1086" s="131"/>
      <c r="K1086" s="131"/>
      <c r="L1086" s="131"/>
      <c r="U1086" s="131"/>
      <c r="V1086" s="131"/>
      <c r="W1086" s="131"/>
      <c r="X1086" s="131"/>
    </row>
    <row r="1087" spans="9:24" x14ac:dyDescent="0.25">
      <c r="I1087" s="131"/>
      <c r="J1087" s="131"/>
      <c r="K1087" s="131"/>
      <c r="L1087" s="131"/>
      <c r="U1087" s="131"/>
      <c r="V1087" s="131"/>
      <c r="W1087" s="131"/>
      <c r="X1087" s="131"/>
    </row>
    <row r="1088" spans="9:24" x14ac:dyDescent="0.25">
      <c r="I1088" s="131"/>
      <c r="J1088" s="131"/>
      <c r="K1088" s="131"/>
      <c r="L1088" s="131"/>
      <c r="U1088" s="131"/>
      <c r="V1088" s="131"/>
      <c r="W1088" s="131"/>
      <c r="X1088" s="131"/>
    </row>
    <row r="1089" spans="9:24" x14ac:dyDescent="0.25">
      <c r="I1089" s="131"/>
      <c r="J1089" s="131"/>
      <c r="K1089" s="131"/>
      <c r="L1089" s="131"/>
      <c r="U1089" s="131"/>
      <c r="V1089" s="131"/>
      <c r="W1089" s="131"/>
      <c r="X1089" s="131"/>
    </row>
    <row r="1090" spans="9:24" x14ac:dyDescent="0.25">
      <c r="I1090" s="131"/>
      <c r="J1090" s="131"/>
      <c r="K1090" s="131"/>
      <c r="L1090" s="131"/>
      <c r="U1090" s="131"/>
      <c r="V1090" s="131"/>
      <c r="W1090" s="131"/>
      <c r="X1090" s="131"/>
    </row>
    <row r="1091" spans="9:24" x14ac:dyDescent="0.25">
      <c r="I1091" s="131"/>
      <c r="J1091" s="131"/>
      <c r="K1091" s="131"/>
      <c r="L1091" s="131"/>
      <c r="U1091" s="131"/>
      <c r="V1091" s="131"/>
      <c r="W1091" s="131"/>
      <c r="X1091" s="131"/>
    </row>
    <row r="1092" spans="9:24" x14ac:dyDescent="0.25">
      <c r="I1092" s="131"/>
      <c r="J1092" s="131"/>
      <c r="K1092" s="131"/>
      <c r="L1092" s="131"/>
      <c r="U1092" s="131"/>
      <c r="V1092" s="131"/>
      <c r="W1092" s="131"/>
      <c r="X1092" s="131"/>
    </row>
    <row r="1093" spans="9:24" x14ac:dyDescent="0.25">
      <c r="I1093" s="131"/>
      <c r="J1093" s="131"/>
      <c r="K1093" s="131"/>
      <c r="L1093" s="131"/>
      <c r="U1093" s="131"/>
      <c r="V1093" s="131"/>
      <c r="W1093" s="131"/>
      <c r="X1093" s="131"/>
    </row>
    <row r="1094" spans="9:24" x14ac:dyDescent="0.25">
      <c r="I1094" s="131"/>
      <c r="J1094" s="131"/>
      <c r="K1094" s="131"/>
      <c r="L1094" s="131"/>
      <c r="U1094" s="131"/>
      <c r="V1094" s="131"/>
      <c r="W1094" s="131"/>
      <c r="X1094" s="131"/>
    </row>
    <row r="1095" spans="9:24" x14ac:dyDescent="0.25">
      <c r="I1095" s="131"/>
      <c r="J1095" s="131"/>
      <c r="K1095" s="131"/>
      <c r="L1095" s="131"/>
      <c r="U1095" s="131"/>
      <c r="V1095" s="131"/>
      <c r="W1095" s="131"/>
      <c r="X1095" s="131"/>
    </row>
    <row r="1096" spans="9:24" x14ac:dyDescent="0.25">
      <c r="I1096" s="131"/>
      <c r="J1096" s="131"/>
      <c r="K1096" s="131"/>
      <c r="L1096" s="131"/>
      <c r="U1096" s="131"/>
      <c r="V1096" s="131"/>
      <c r="W1096" s="131"/>
      <c r="X1096" s="131"/>
    </row>
    <row r="1097" spans="9:24" x14ac:dyDescent="0.25">
      <c r="I1097" s="131"/>
      <c r="J1097" s="131"/>
      <c r="K1097" s="131"/>
      <c r="L1097" s="131"/>
      <c r="U1097" s="131"/>
      <c r="V1097" s="131"/>
      <c r="W1097" s="131"/>
      <c r="X1097" s="131"/>
    </row>
    <row r="1098" spans="9:24" x14ac:dyDescent="0.25">
      <c r="I1098" s="131"/>
      <c r="J1098" s="131"/>
      <c r="K1098" s="131"/>
      <c r="L1098" s="131"/>
      <c r="U1098" s="131"/>
      <c r="V1098" s="131"/>
      <c r="W1098" s="131"/>
      <c r="X1098" s="131"/>
    </row>
    <row r="1099" spans="9:24" x14ac:dyDescent="0.25">
      <c r="I1099" s="131"/>
      <c r="J1099" s="131"/>
      <c r="K1099" s="131"/>
      <c r="L1099" s="131"/>
      <c r="U1099" s="131"/>
      <c r="V1099" s="131"/>
      <c r="W1099" s="131"/>
      <c r="X1099" s="131"/>
    </row>
    <row r="1100" spans="9:24" x14ac:dyDescent="0.25">
      <c r="I1100" s="131"/>
      <c r="J1100" s="131"/>
      <c r="K1100" s="131"/>
      <c r="L1100" s="131"/>
      <c r="U1100" s="131"/>
      <c r="V1100" s="131"/>
      <c r="W1100" s="131"/>
      <c r="X1100" s="131"/>
    </row>
    <row r="1101" spans="9:24" x14ac:dyDescent="0.25">
      <c r="I1101" s="131"/>
      <c r="J1101" s="131"/>
      <c r="K1101" s="131"/>
      <c r="L1101" s="131"/>
      <c r="U1101" s="131"/>
      <c r="V1101" s="131"/>
      <c r="W1101" s="131"/>
      <c r="X1101" s="131"/>
    </row>
    <row r="1102" spans="9:24" x14ac:dyDescent="0.25">
      <c r="I1102" s="131"/>
      <c r="J1102" s="131"/>
      <c r="K1102" s="131"/>
      <c r="L1102" s="131"/>
      <c r="U1102" s="131"/>
      <c r="V1102" s="131"/>
      <c r="W1102" s="131"/>
      <c r="X1102" s="131"/>
    </row>
    <row r="1103" spans="9:24" x14ac:dyDescent="0.25">
      <c r="I1103" s="131"/>
      <c r="J1103" s="131"/>
      <c r="K1103" s="131"/>
      <c r="L1103" s="131"/>
      <c r="U1103" s="131"/>
      <c r="V1103" s="131"/>
      <c r="W1103" s="131"/>
      <c r="X1103" s="131"/>
    </row>
    <row r="1104" spans="9:24" x14ac:dyDescent="0.25">
      <c r="I1104" s="131"/>
      <c r="J1104" s="131"/>
      <c r="K1104" s="131"/>
      <c r="L1104" s="131"/>
      <c r="U1104" s="131"/>
      <c r="V1104" s="131"/>
      <c r="W1104" s="131"/>
      <c r="X1104" s="131"/>
    </row>
    <row r="1105" spans="9:24" x14ac:dyDescent="0.25">
      <c r="I1105" s="131"/>
      <c r="J1105" s="131"/>
      <c r="K1105" s="131"/>
      <c r="L1105" s="131"/>
      <c r="U1105" s="131"/>
      <c r="V1105" s="131"/>
      <c r="W1105" s="131"/>
      <c r="X1105" s="131"/>
    </row>
    <row r="1106" spans="9:24" x14ac:dyDescent="0.25">
      <c r="I1106" s="131"/>
      <c r="J1106" s="131"/>
      <c r="K1106" s="131"/>
      <c r="L1106" s="131"/>
      <c r="U1106" s="131"/>
      <c r="V1106" s="131"/>
      <c r="W1106" s="131"/>
      <c r="X1106" s="131"/>
    </row>
    <row r="1107" spans="9:24" x14ac:dyDescent="0.25">
      <c r="I1107" s="131"/>
      <c r="J1107" s="131"/>
      <c r="K1107" s="131"/>
      <c r="L1107" s="131"/>
      <c r="U1107" s="131"/>
      <c r="V1107" s="131"/>
      <c r="W1107" s="131"/>
      <c r="X1107" s="131"/>
    </row>
    <row r="1108" spans="9:24" x14ac:dyDescent="0.25">
      <c r="I1108" s="131"/>
      <c r="J1108" s="131"/>
      <c r="K1108" s="131"/>
      <c r="L1108" s="131"/>
      <c r="U1108" s="131"/>
      <c r="V1108" s="131"/>
      <c r="W1108" s="131"/>
      <c r="X1108" s="131"/>
    </row>
    <row r="1109" spans="9:24" x14ac:dyDescent="0.25">
      <c r="I1109" s="131"/>
      <c r="J1109" s="131"/>
      <c r="K1109" s="131"/>
      <c r="L1109" s="131"/>
      <c r="U1109" s="131"/>
      <c r="V1109" s="131"/>
      <c r="W1109" s="131"/>
      <c r="X1109" s="131"/>
    </row>
    <row r="1110" spans="9:24" x14ac:dyDescent="0.25">
      <c r="I1110" s="131"/>
      <c r="J1110" s="131"/>
      <c r="K1110" s="131"/>
      <c r="L1110" s="131"/>
      <c r="U1110" s="131"/>
      <c r="V1110" s="131"/>
      <c r="W1110" s="131"/>
      <c r="X1110" s="131"/>
    </row>
    <row r="1111" spans="9:24" x14ac:dyDescent="0.25">
      <c r="I1111" s="131"/>
      <c r="J1111" s="131"/>
      <c r="K1111" s="131"/>
      <c r="L1111" s="131"/>
      <c r="U1111" s="131"/>
      <c r="V1111" s="131"/>
      <c r="W1111" s="131"/>
      <c r="X1111" s="131"/>
    </row>
    <row r="1112" spans="9:24" x14ac:dyDescent="0.25">
      <c r="I1112" s="131"/>
      <c r="J1112" s="131"/>
      <c r="K1112" s="131"/>
      <c r="L1112" s="131"/>
      <c r="U1112" s="131"/>
      <c r="V1112" s="131"/>
      <c r="W1112" s="131"/>
      <c r="X1112" s="131"/>
    </row>
    <row r="1113" spans="9:24" x14ac:dyDescent="0.25">
      <c r="I1113" s="131"/>
      <c r="J1113" s="131"/>
      <c r="K1113" s="131"/>
      <c r="L1113" s="131"/>
      <c r="U1113" s="131"/>
      <c r="V1113" s="131"/>
      <c r="W1113" s="131"/>
      <c r="X1113" s="131"/>
    </row>
    <row r="1114" spans="9:24" x14ac:dyDescent="0.25">
      <c r="I1114" s="131"/>
      <c r="J1114" s="131"/>
      <c r="K1114" s="131"/>
      <c r="L1114" s="131"/>
      <c r="U1114" s="131"/>
      <c r="V1114" s="131"/>
      <c r="W1114" s="131"/>
      <c r="X1114" s="131"/>
    </row>
    <row r="1115" spans="9:24" x14ac:dyDescent="0.25">
      <c r="I1115" s="131"/>
      <c r="J1115" s="131"/>
      <c r="K1115" s="131"/>
      <c r="L1115" s="131"/>
      <c r="U1115" s="131"/>
      <c r="V1115" s="131"/>
      <c r="W1115" s="131"/>
      <c r="X1115" s="131"/>
    </row>
    <row r="1116" spans="9:24" x14ac:dyDescent="0.25">
      <c r="I1116" s="131"/>
      <c r="J1116" s="131"/>
      <c r="K1116" s="131"/>
      <c r="L1116" s="131"/>
      <c r="U1116" s="131"/>
      <c r="V1116" s="131"/>
      <c r="W1116" s="131"/>
      <c r="X1116" s="131"/>
    </row>
    <row r="1117" spans="9:24" x14ac:dyDescent="0.25">
      <c r="I1117" s="131"/>
      <c r="J1117" s="131"/>
      <c r="K1117" s="131"/>
      <c r="L1117" s="131"/>
      <c r="U1117" s="131"/>
      <c r="V1117" s="131"/>
      <c r="W1117" s="131"/>
      <c r="X1117" s="131"/>
    </row>
    <row r="1118" spans="9:24" x14ac:dyDescent="0.25">
      <c r="I1118" s="131"/>
      <c r="J1118" s="131"/>
      <c r="K1118" s="131"/>
      <c r="L1118" s="131"/>
      <c r="U1118" s="131"/>
      <c r="V1118" s="131"/>
      <c r="W1118" s="131"/>
      <c r="X1118" s="131"/>
    </row>
    <row r="1119" spans="9:24" x14ac:dyDescent="0.25">
      <c r="I1119" s="131"/>
      <c r="J1119" s="131"/>
      <c r="K1119" s="131"/>
      <c r="L1119" s="131"/>
      <c r="U1119" s="131"/>
      <c r="V1119" s="131"/>
      <c r="W1119" s="131"/>
      <c r="X1119" s="131"/>
    </row>
    <row r="1120" spans="9:24" x14ac:dyDescent="0.25">
      <c r="I1120" s="131"/>
      <c r="J1120" s="131"/>
      <c r="K1120" s="131"/>
      <c r="L1120" s="131"/>
      <c r="U1120" s="131"/>
      <c r="V1120" s="131"/>
      <c r="W1120" s="131"/>
      <c r="X1120" s="131"/>
    </row>
    <row r="1121" spans="9:24" x14ac:dyDescent="0.25">
      <c r="I1121" s="131"/>
      <c r="J1121" s="131"/>
      <c r="K1121" s="131"/>
      <c r="L1121" s="131"/>
      <c r="U1121" s="131"/>
      <c r="V1121" s="131"/>
      <c r="W1121" s="131"/>
      <c r="X1121" s="131"/>
    </row>
    <row r="1122" spans="9:24" x14ac:dyDescent="0.25">
      <c r="I1122" s="131"/>
      <c r="J1122" s="131"/>
      <c r="K1122" s="131"/>
      <c r="L1122" s="131"/>
      <c r="U1122" s="131"/>
      <c r="V1122" s="131"/>
      <c r="W1122" s="131"/>
      <c r="X1122" s="131"/>
    </row>
    <row r="1123" spans="9:24" x14ac:dyDescent="0.25">
      <c r="I1123" s="131"/>
      <c r="J1123" s="131"/>
      <c r="K1123" s="131"/>
      <c r="L1123" s="131"/>
      <c r="U1123" s="131"/>
      <c r="V1123" s="131"/>
      <c r="W1123" s="131"/>
      <c r="X1123" s="131"/>
    </row>
    <row r="1124" spans="9:24" x14ac:dyDescent="0.25">
      <c r="I1124" s="131"/>
      <c r="J1124" s="131"/>
      <c r="K1124" s="131"/>
      <c r="L1124" s="131"/>
      <c r="U1124" s="131"/>
      <c r="V1124" s="131"/>
      <c r="W1124" s="131"/>
      <c r="X1124" s="131"/>
    </row>
    <row r="1125" spans="9:24" x14ac:dyDescent="0.25">
      <c r="I1125" s="131"/>
      <c r="J1125" s="131"/>
      <c r="K1125" s="131"/>
      <c r="L1125" s="131"/>
      <c r="U1125" s="131"/>
      <c r="V1125" s="131"/>
      <c r="W1125" s="131"/>
      <c r="X1125" s="131"/>
    </row>
    <row r="1126" spans="9:24" x14ac:dyDescent="0.25">
      <c r="I1126" s="131"/>
      <c r="J1126" s="131"/>
      <c r="K1126" s="131"/>
      <c r="L1126" s="131"/>
      <c r="U1126" s="131"/>
      <c r="V1126" s="131"/>
      <c r="W1126" s="131"/>
      <c r="X1126" s="131"/>
    </row>
    <row r="1127" spans="9:24" x14ac:dyDescent="0.25">
      <c r="I1127" s="131"/>
      <c r="J1127" s="131"/>
      <c r="K1127" s="131"/>
      <c r="L1127" s="131"/>
      <c r="U1127" s="131"/>
      <c r="V1127" s="131"/>
      <c r="W1127" s="131"/>
      <c r="X1127" s="131"/>
    </row>
    <row r="1128" spans="9:24" x14ac:dyDescent="0.25">
      <c r="I1128" s="131"/>
      <c r="J1128" s="131"/>
      <c r="K1128" s="131"/>
      <c r="L1128" s="131"/>
      <c r="U1128" s="131"/>
      <c r="V1128" s="131"/>
      <c r="W1128" s="131"/>
      <c r="X1128" s="131"/>
    </row>
    <row r="1129" spans="9:24" x14ac:dyDescent="0.25">
      <c r="I1129" s="131"/>
      <c r="J1129" s="131"/>
      <c r="K1129" s="131"/>
      <c r="L1129" s="131"/>
      <c r="U1129" s="131"/>
      <c r="V1129" s="131"/>
      <c r="W1129" s="131"/>
      <c r="X1129" s="131"/>
    </row>
    <row r="1130" spans="9:24" x14ac:dyDescent="0.25">
      <c r="I1130" s="131"/>
      <c r="J1130" s="131"/>
      <c r="K1130" s="131"/>
      <c r="L1130" s="131"/>
      <c r="U1130" s="131"/>
      <c r="V1130" s="131"/>
      <c r="W1130" s="131"/>
      <c r="X1130" s="131"/>
    </row>
    <row r="1131" spans="9:24" x14ac:dyDescent="0.25">
      <c r="I1131" s="131"/>
      <c r="J1131" s="131"/>
      <c r="K1131" s="131"/>
      <c r="L1131" s="131"/>
      <c r="U1131" s="131"/>
      <c r="V1131" s="131"/>
      <c r="W1131" s="131"/>
      <c r="X1131" s="131"/>
    </row>
    <row r="1132" spans="9:24" x14ac:dyDescent="0.25">
      <c r="I1132" s="131"/>
      <c r="J1132" s="131"/>
      <c r="K1132" s="131"/>
      <c r="L1132" s="131"/>
      <c r="U1132" s="131"/>
      <c r="V1132" s="131"/>
      <c r="W1132" s="131"/>
      <c r="X1132" s="131"/>
    </row>
    <row r="1133" spans="9:24" x14ac:dyDescent="0.25">
      <c r="I1133" s="131"/>
      <c r="J1133" s="131"/>
      <c r="K1133" s="131"/>
      <c r="L1133" s="131"/>
      <c r="U1133" s="131"/>
      <c r="V1133" s="131"/>
      <c r="W1133" s="131"/>
      <c r="X1133" s="131"/>
    </row>
    <row r="1134" spans="9:24" x14ac:dyDescent="0.25">
      <c r="I1134" s="131"/>
      <c r="J1134" s="131"/>
      <c r="K1134" s="131"/>
      <c r="L1134" s="131"/>
      <c r="U1134" s="131"/>
      <c r="V1134" s="131"/>
      <c r="W1134" s="131"/>
      <c r="X1134" s="131"/>
    </row>
    <row r="1135" spans="9:24" x14ac:dyDescent="0.25">
      <c r="I1135" s="131"/>
      <c r="J1135" s="131"/>
      <c r="K1135" s="131"/>
      <c r="L1135" s="131"/>
      <c r="U1135" s="131"/>
      <c r="V1135" s="131"/>
      <c r="W1135" s="131"/>
      <c r="X1135" s="131"/>
    </row>
    <row r="1136" spans="9:24" x14ac:dyDescent="0.25">
      <c r="I1136" s="131"/>
      <c r="J1136" s="131"/>
      <c r="K1136" s="131"/>
      <c r="L1136" s="131"/>
      <c r="U1136" s="131"/>
      <c r="V1136" s="131"/>
      <c r="W1136" s="131"/>
      <c r="X1136" s="131"/>
    </row>
    <row r="1137" spans="9:24" x14ac:dyDescent="0.25">
      <c r="I1137" s="131"/>
      <c r="J1137" s="131"/>
      <c r="K1137" s="131"/>
      <c r="L1137" s="131"/>
      <c r="U1137" s="131"/>
      <c r="V1137" s="131"/>
      <c r="W1137" s="131"/>
      <c r="X1137" s="131"/>
    </row>
    <row r="1138" spans="9:24" x14ac:dyDescent="0.25">
      <c r="I1138" s="131"/>
      <c r="J1138" s="131"/>
      <c r="K1138" s="131"/>
      <c r="L1138" s="131"/>
      <c r="U1138" s="131"/>
      <c r="V1138" s="131"/>
      <c r="W1138" s="131"/>
      <c r="X1138" s="131"/>
    </row>
    <row r="1139" spans="9:24" x14ac:dyDescent="0.25">
      <c r="I1139" s="131"/>
      <c r="J1139" s="131"/>
      <c r="K1139" s="131"/>
      <c r="L1139" s="131"/>
      <c r="U1139" s="131"/>
      <c r="V1139" s="131"/>
      <c r="W1139" s="131"/>
      <c r="X1139" s="131"/>
    </row>
    <row r="1140" spans="9:24" x14ac:dyDescent="0.25">
      <c r="I1140" s="131"/>
      <c r="J1140" s="131"/>
      <c r="K1140" s="131"/>
      <c r="L1140" s="131"/>
      <c r="U1140" s="131"/>
      <c r="V1140" s="131"/>
      <c r="W1140" s="131"/>
      <c r="X1140" s="131"/>
    </row>
    <row r="1141" spans="9:24" x14ac:dyDescent="0.25">
      <c r="I1141" s="131"/>
      <c r="J1141" s="131"/>
      <c r="K1141" s="131"/>
      <c r="L1141" s="131"/>
      <c r="U1141" s="131"/>
      <c r="V1141" s="131"/>
      <c r="W1141" s="131"/>
      <c r="X1141" s="131"/>
    </row>
    <row r="1142" spans="9:24" x14ac:dyDescent="0.25">
      <c r="I1142" s="131"/>
      <c r="J1142" s="131"/>
      <c r="K1142" s="131"/>
      <c r="L1142" s="131"/>
      <c r="U1142" s="131"/>
      <c r="V1142" s="131"/>
      <c r="W1142" s="131"/>
      <c r="X1142" s="131"/>
    </row>
    <row r="1143" spans="9:24" x14ac:dyDescent="0.25">
      <c r="I1143" s="131"/>
      <c r="J1143" s="131"/>
      <c r="K1143" s="131"/>
      <c r="L1143" s="131"/>
      <c r="U1143" s="131"/>
      <c r="V1143" s="131"/>
      <c r="W1143" s="131"/>
      <c r="X1143" s="131"/>
    </row>
    <row r="1144" spans="9:24" x14ac:dyDescent="0.25">
      <c r="I1144" s="131"/>
      <c r="J1144" s="131"/>
      <c r="K1144" s="131"/>
      <c r="L1144" s="131"/>
      <c r="U1144" s="131"/>
      <c r="V1144" s="131"/>
      <c r="W1144" s="131"/>
      <c r="X1144" s="131"/>
    </row>
    <row r="1145" spans="9:24" x14ac:dyDescent="0.25">
      <c r="I1145" s="131"/>
      <c r="J1145" s="131"/>
      <c r="K1145" s="131"/>
      <c r="L1145" s="131"/>
      <c r="U1145" s="131"/>
      <c r="V1145" s="131"/>
      <c r="W1145" s="131"/>
      <c r="X1145" s="131"/>
    </row>
    <row r="1146" spans="9:24" x14ac:dyDescent="0.25">
      <c r="I1146" s="131"/>
      <c r="J1146" s="131"/>
      <c r="K1146" s="131"/>
      <c r="L1146" s="131"/>
      <c r="U1146" s="131"/>
      <c r="V1146" s="131"/>
      <c r="W1146" s="131"/>
      <c r="X1146" s="131"/>
    </row>
    <row r="1147" spans="9:24" x14ac:dyDescent="0.25">
      <c r="I1147" s="131"/>
      <c r="J1147" s="131"/>
      <c r="K1147" s="131"/>
      <c r="L1147" s="131"/>
      <c r="U1147" s="131"/>
      <c r="V1147" s="131"/>
      <c r="W1147" s="131"/>
      <c r="X1147" s="131"/>
    </row>
    <row r="1148" spans="9:24" x14ac:dyDescent="0.25">
      <c r="I1148" s="131"/>
      <c r="J1148" s="131"/>
      <c r="K1148" s="131"/>
      <c r="L1148" s="131"/>
      <c r="U1148" s="131"/>
      <c r="V1148" s="131"/>
      <c r="W1148" s="131"/>
      <c r="X1148" s="131"/>
    </row>
    <row r="1149" spans="9:24" x14ac:dyDescent="0.25">
      <c r="I1149" s="131"/>
      <c r="J1149" s="131"/>
      <c r="K1149" s="131"/>
      <c r="L1149" s="131"/>
      <c r="U1149" s="131"/>
      <c r="V1149" s="131"/>
      <c r="W1149" s="131"/>
      <c r="X1149" s="131"/>
    </row>
    <row r="1150" spans="9:24" x14ac:dyDescent="0.25">
      <c r="I1150" s="131"/>
      <c r="J1150" s="131"/>
      <c r="K1150" s="131"/>
      <c r="L1150" s="131"/>
      <c r="U1150" s="131"/>
      <c r="V1150" s="131"/>
      <c r="W1150" s="131"/>
      <c r="X1150" s="131"/>
    </row>
    <row r="1151" spans="9:24" x14ac:dyDescent="0.25">
      <c r="I1151" s="131"/>
      <c r="J1151" s="131"/>
      <c r="K1151" s="131"/>
      <c r="L1151" s="131"/>
      <c r="U1151" s="131"/>
      <c r="V1151" s="131"/>
      <c r="W1151" s="131"/>
      <c r="X1151" s="131"/>
    </row>
    <row r="1152" spans="9:24" x14ac:dyDescent="0.25">
      <c r="I1152" s="131"/>
      <c r="J1152" s="131"/>
      <c r="K1152" s="131"/>
      <c r="L1152" s="131"/>
      <c r="U1152" s="131"/>
      <c r="V1152" s="131"/>
      <c r="W1152" s="131"/>
      <c r="X1152" s="131"/>
    </row>
    <row r="1153" spans="9:24" x14ac:dyDescent="0.25">
      <c r="I1153" s="131"/>
      <c r="J1153" s="131"/>
      <c r="K1153" s="131"/>
      <c r="L1153" s="131"/>
      <c r="U1153" s="131"/>
      <c r="V1153" s="131"/>
      <c r="W1153" s="131"/>
      <c r="X1153" s="131"/>
    </row>
    <row r="1154" spans="9:24" x14ac:dyDescent="0.25">
      <c r="I1154" s="131"/>
      <c r="J1154" s="131"/>
      <c r="K1154" s="131"/>
      <c r="L1154" s="131"/>
      <c r="U1154" s="131"/>
      <c r="V1154" s="131"/>
      <c r="W1154" s="131"/>
      <c r="X1154" s="131"/>
    </row>
    <row r="1155" spans="9:24" x14ac:dyDescent="0.25">
      <c r="I1155" s="131"/>
      <c r="J1155" s="131"/>
      <c r="K1155" s="131"/>
      <c r="L1155" s="131"/>
      <c r="U1155" s="131"/>
      <c r="V1155" s="131"/>
      <c r="W1155" s="131"/>
      <c r="X1155" s="131"/>
    </row>
    <row r="1156" spans="9:24" x14ac:dyDescent="0.25">
      <c r="I1156" s="131"/>
      <c r="J1156" s="131"/>
      <c r="K1156" s="131"/>
      <c r="L1156" s="131"/>
      <c r="U1156" s="131"/>
      <c r="V1156" s="131"/>
      <c r="W1156" s="131"/>
      <c r="X1156" s="131"/>
    </row>
    <row r="1157" spans="9:24" x14ac:dyDescent="0.25">
      <c r="I1157" s="131"/>
      <c r="J1157" s="131"/>
      <c r="K1157" s="131"/>
      <c r="L1157" s="131"/>
      <c r="U1157" s="131"/>
      <c r="V1157" s="131"/>
      <c r="W1157" s="131"/>
      <c r="X1157" s="131"/>
    </row>
    <row r="1158" spans="9:24" x14ac:dyDescent="0.25">
      <c r="I1158" s="131"/>
      <c r="J1158" s="131"/>
      <c r="K1158" s="131"/>
      <c r="L1158" s="131"/>
      <c r="U1158" s="131"/>
      <c r="V1158" s="131"/>
      <c r="W1158" s="131"/>
      <c r="X1158" s="131"/>
    </row>
    <row r="1159" spans="9:24" x14ac:dyDescent="0.25">
      <c r="I1159" s="131"/>
      <c r="J1159" s="131"/>
      <c r="K1159" s="131"/>
      <c r="L1159" s="131"/>
      <c r="U1159" s="131"/>
      <c r="V1159" s="131"/>
      <c r="W1159" s="131"/>
      <c r="X1159" s="131"/>
    </row>
    <row r="1160" spans="9:24" x14ac:dyDescent="0.25">
      <c r="I1160" s="131"/>
      <c r="J1160" s="131"/>
      <c r="K1160" s="131"/>
      <c r="L1160" s="131"/>
      <c r="U1160" s="131"/>
      <c r="V1160" s="131"/>
      <c r="W1160" s="131"/>
      <c r="X1160" s="131"/>
    </row>
    <row r="1161" spans="9:24" x14ac:dyDescent="0.25">
      <c r="I1161" s="131"/>
      <c r="J1161" s="131"/>
      <c r="K1161" s="131"/>
      <c r="L1161" s="131"/>
      <c r="U1161" s="131"/>
      <c r="V1161" s="131"/>
      <c r="W1161" s="131"/>
      <c r="X1161" s="131"/>
    </row>
    <row r="1162" spans="9:24" x14ac:dyDescent="0.25">
      <c r="I1162" s="131"/>
      <c r="J1162" s="131"/>
      <c r="K1162" s="131"/>
      <c r="L1162" s="131"/>
      <c r="U1162" s="131"/>
      <c r="V1162" s="131"/>
      <c r="W1162" s="131"/>
      <c r="X1162" s="131"/>
    </row>
    <row r="1163" spans="9:24" x14ac:dyDescent="0.25">
      <c r="I1163" s="131"/>
      <c r="J1163" s="131"/>
      <c r="K1163" s="131"/>
      <c r="L1163" s="131"/>
      <c r="U1163" s="131"/>
      <c r="V1163" s="131"/>
      <c r="W1163" s="131"/>
      <c r="X1163" s="131"/>
    </row>
    <row r="1164" spans="9:24" x14ac:dyDescent="0.25">
      <c r="I1164" s="131"/>
      <c r="J1164" s="131"/>
      <c r="K1164" s="131"/>
      <c r="L1164" s="131"/>
      <c r="U1164" s="131"/>
      <c r="V1164" s="131"/>
      <c r="W1164" s="131"/>
      <c r="X1164" s="131"/>
    </row>
    <row r="1165" spans="9:24" x14ac:dyDescent="0.25">
      <c r="I1165" s="131"/>
      <c r="J1165" s="131"/>
      <c r="K1165" s="131"/>
      <c r="L1165" s="131"/>
      <c r="U1165" s="131"/>
      <c r="V1165" s="131"/>
      <c r="W1165" s="131"/>
      <c r="X1165" s="131"/>
    </row>
    <row r="1166" spans="9:24" x14ac:dyDescent="0.25">
      <c r="I1166" s="131"/>
      <c r="J1166" s="131"/>
      <c r="K1166" s="131"/>
      <c r="L1166" s="131"/>
      <c r="U1166" s="131"/>
      <c r="V1166" s="131"/>
      <c r="W1166" s="131"/>
      <c r="X1166" s="131"/>
    </row>
    <row r="1167" spans="9:24" x14ac:dyDescent="0.25">
      <c r="I1167" s="131"/>
      <c r="J1167" s="131"/>
      <c r="K1167" s="131"/>
      <c r="L1167" s="131"/>
      <c r="U1167" s="131"/>
      <c r="V1167" s="131"/>
      <c r="W1167" s="131"/>
      <c r="X1167" s="131"/>
    </row>
    <row r="1168" spans="9:24" x14ac:dyDescent="0.25">
      <c r="I1168" s="131"/>
      <c r="J1168" s="131"/>
      <c r="K1168" s="131"/>
      <c r="L1168" s="131"/>
      <c r="U1168" s="131"/>
      <c r="V1168" s="131"/>
      <c r="W1168" s="131"/>
      <c r="X1168" s="131"/>
    </row>
    <row r="1169" spans="9:24" x14ac:dyDescent="0.25">
      <c r="I1169" s="131"/>
      <c r="J1169" s="131"/>
      <c r="K1169" s="131"/>
      <c r="L1169" s="131"/>
      <c r="U1169" s="131"/>
      <c r="V1169" s="131"/>
      <c r="W1169" s="131"/>
      <c r="X1169" s="131"/>
    </row>
    <row r="1170" spans="9:24" x14ac:dyDescent="0.25">
      <c r="I1170" s="131"/>
      <c r="J1170" s="131"/>
      <c r="K1170" s="131"/>
      <c r="L1170" s="131"/>
      <c r="U1170" s="131"/>
      <c r="V1170" s="131"/>
      <c r="W1170" s="131"/>
      <c r="X1170" s="131"/>
    </row>
    <row r="1171" spans="9:24" x14ac:dyDescent="0.25">
      <c r="I1171" s="131"/>
      <c r="J1171" s="131"/>
      <c r="K1171" s="131"/>
      <c r="L1171" s="131"/>
      <c r="U1171" s="131"/>
      <c r="V1171" s="131"/>
      <c r="W1171" s="131"/>
      <c r="X1171" s="131"/>
    </row>
    <row r="1172" spans="9:24" x14ac:dyDescent="0.25">
      <c r="I1172" s="131"/>
      <c r="J1172" s="131"/>
      <c r="K1172" s="131"/>
      <c r="L1172" s="131"/>
      <c r="U1172" s="131"/>
      <c r="V1172" s="131"/>
      <c r="W1172" s="131"/>
      <c r="X1172" s="131"/>
    </row>
    <row r="1173" spans="9:24" x14ac:dyDescent="0.25">
      <c r="I1173" s="131"/>
      <c r="J1173" s="131"/>
      <c r="K1173" s="131"/>
      <c r="L1173" s="131"/>
      <c r="U1173" s="131"/>
      <c r="V1173" s="131"/>
      <c r="W1173" s="131"/>
      <c r="X1173" s="131"/>
    </row>
    <row r="1174" spans="9:24" x14ac:dyDescent="0.25">
      <c r="I1174" s="131"/>
      <c r="J1174" s="131"/>
      <c r="K1174" s="131"/>
      <c r="L1174" s="131"/>
      <c r="U1174" s="131"/>
      <c r="V1174" s="131"/>
      <c r="W1174" s="131"/>
      <c r="X1174" s="131"/>
    </row>
    <row r="1175" spans="9:24" x14ac:dyDescent="0.25">
      <c r="I1175" s="131"/>
      <c r="J1175" s="131"/>
      <c r="K1175" s="131"/>
      <c r="L1175" s="131"/>
      <c r="U1175" s="131"/>
      <c r="V1175" s="131"/>
      <c r="W1175" s="131"/>
      <c r="X1175" s="131"/>
    </row>
    <row r="1176" spans="9:24" x14ac:dyDescent="0.25">
      <c r="I1176" s="131"/>
      <c r="J1176" s="131"/>
      <c r="K1176" s="131"/>
      <c r="L1176" s="131"/>
      <c r="U1176" s="131"/>
      <c r="V1176" s="131"/>
      <c r="W1176" s="131"/>
      <c r="X1176" s="131"/>
    </row>
    <row r="1177" spans="9:24" x14ac:dyDescent="0.25">
      <c r="I1177" s="131"/>
      <c r="J1177" s="131"/>
      <c r="K1177" s="131"/>
      <c r="L1177" s="131"/>
      <c r="U1177" s="131"/>
      <c r="V1177" s="131"/>
      <c r="W1177" s="131"/>
      <c r="X1177" s="131"/>
    </row>
    <row r="1178" spans="9:24" x14ac:dyDescent="0.25">
      <c r="I1178" s="131"/>
      <c r="J1178" s="131"/>
      <c r="K1178" s="131"/>
      <c r="L1178" s="131"/>
      <c r="U1178" s="131"/>
      <c r="V1178" s="131"/>
      <c r="W1178" s="131"/>
      <c r="X1178" s="131"/>
    </row>
    <row r="1179" spans="9:24" x14ac:dyDescent="0.25">
      <c r="I1179" s="131"/>
      <c r="J1179" s="131"/>
      <c r="K1179" s="131"/>
      <c r="L1179" s="131"/>
      <c r="U1179" s="131"/>
      <c r="V1179" s="131"/>
      <c r="W1179" s="131"/>
      <c r="X1179" s="131"/>
    </row>
    <row r="1180" spans="9:24" x14ac:dyDescent="0.25">
      <c r="I1180" s="131"/>
      <c r="J1180" s="131"/>
      <c r="K1180" s="131"/>
      <c r="L1180" s="131"/>
      <c r="U1180" s="131"/>
      <c r="V1180" s="131"/>
      <c r="W1180" s="131"/>
      <c r="X1180" s="131"/>
    </row>
    <row r="1181" spans="9:24" x14ac:dyDescent="0.25">
      <c r="I1181" s="131"/>
      <c r="J1181" s="131"/>
      <c r="K1181" s="131"/>
      <c r="L1181" s="131"/>
      <c r="U1181" s="131"/>
      <c r="V1181" s="131"/>
      <c r="W1181" s="131"/>
      <c r="X1181" s="131"/>
    </row>
    <row r="1182" spans="9:24" x14ac:dyDescent="0.25">
      <c r="I1182" s="131"/>
      <c r="J1182" s="131"/>
      <c r="K1182" s="131"/>
      <c r="L1182" s="131"/>
      <c r="U1182" s="131"/>
      <c r="V1182" s="131"/>
      <c r="W1182" s="131"/>
      <c r="X1182" s="131"/>
    </row>
    <row r="1183" spans="9:24" x14ac:dyDescent="0.25">
      <c r="I1183" s="131"/>
      <c r="J1183" s="131"/>
      <c r="K1183" s="131"/>
      <c r="L1183" s="131"/>
      <c r="U1183" s="131"/>
      <c r="V1183" s="131"/>
      <c r="W1183" s="131"/>
      <c r="X1183" s="131"/>
    </row>
    <row r="1184" spans="9:24" x14ac:dyDescent="0.25">
      <c r="I1184" s="131"/>
      <c r="J1184" s="131"/>
      <c r="K1184" s="131"/>
      <c r="L1184" s="131"/>
      <c r="U1184" s="131"/>
      <c r="V1184" s="131"/>
      <c r="W1184" s="131"/>
      <c r="X1184" s="131"/>
    </row>
    <row r="1185" spans="9:24" x14ac:dyDescent="0.25">
      <c r="I1185" s="131"/>
      <c r="J1185" s="131"/>
      <c r="K1185" s="131"/>
      <c r="L1185" s="131"/>
      <c r="U1185" s="131"/>
      <c r="V1185" s="131"/>
      <c r="W1185" s="131"/>
      <c r="X1185" s="131"/>
    </row>
    <row r="1186" spans="9:24" x14ac:dyDescent="0.25">
      <c r="I1186" s="131"/>
      <c r="J1186" s="131"/>
      <c r="K1186" s="131"/>
      <c r="L1186" s="131"/>
      <c r="U1186" s="131"/>
      <c r="V1186" s="131"/>
      <c r="W1186" s="131"/>
      <c r="X1186" s="131"/>
    </row>
    <row r="1187" spans="9:24" x14ac:dyDescent="0.25">
      <c r="I1187" s="131"/>
      <c r="J1187" s="131"/>
      <c r="K1187" s="131"/>
      <c r="L1187" s="131"/>
      <c r="U1187" s="131"/>
      <c r="V1187" s="131"/>
      <c r="W1187" s="131"/>
      <c r="X1187" s="131"/>
    </row>
    <row r="1188" spans="9:24" x14ac:dyDescent="0.25">
      <c r="I1188" s="131"/>
      <c r="J1188" s="131"/>
      <c r="K1188" s="131"/>
      <c r="L1188" s="131"/>
      <c r="U1188" s="131"/>
      <c r="V1188" s="131"/>
      <c r="W1188" s="131"/>
      <c r="X1188" s="131"/>
    </row>
    <row r="1189" spans="9:24" x14ac:dyDescent="0.25">
      <c r="I1189" s="131"/>
      <c r="J1189" s="131"/>
      <c r="K1189" s="131"/>
      <c r="L1189" s="131"/>
      <c r="U1189" s="131"/>
      <c r="V1189" s="131"/>
      <c r="W1189" s="131"/>
      <c r="X1189" s="131"/>
    </row>
    <row r="1190" spans="9:24" x14ac:dyDescent="0.25">
      <c r="I1190" s="131"/>
      <c r="J1190" s="131"/>
      <c r="K1190" s="131"/>
      <c r="L1190" s="131"/>
      <c r="U1190" s="131"/>
      <c r="V1190" s="131"/>
      <c r="W1190" s="131"/>
      <c r="X1190" s="131"/>
    </row>
    <row r="1191" spans="9:24" x14ac:dyDescent="0.25">
      <c r="I1191" s="131"/>
      <c r="J1191" s="131"/>
      <c r="K1191" s="131"/>
      <c r="L1191" s="131"/>
      <c r="U1191" s="131"/>
      <c r="V1191" s="131"/>
      <c r="W1191" s="131"/>
      <c r="X1191" s="131"/>
    </row>
    <row r="1192" spans="9:24" x14ac:dyDescent="0.25">
      <c r="I1192" s="131"/>
      <c r="J1192" s="131"/>
      <c r="K1192" s="131"/>
      <c r="L1192" s="131"/>
      <c r="U1192" s="131"/>
      <c r="V1192" s="131"/>
      <c r="W1192" s="131"/>
      <c r="X1192" s="131"/>
    </row>
    <row r="1193" spans="9:24" x14ac:dyDescent="0.25">
      <c r="I1193" s="131"/>
      <c r="J1193" s="131"/>
      <c r="K1193" s="131"/>
      <c r="L1193" s="131"/>
      <c r="U1193" s="131"/>
      <c r="V1193" s="131"/>
      <c r="W1193" s="131"/>
      <c r="X1193" s="131"/>
    </row>
    <row r="1194" spans="9:24" x14ac:dyDescent="0.25">
      <c r="I1194" s="131"/>
      <c r="J1194" s="131"/>
      <c r="K1194" s="131"/>
      <c r="L1194" s="131"/>
      <c r="U1194" s="131"/>
      <c r="V1194" s="131"/>
      <c r="W1194" s="131"/>
      <c r="X1194" s="131"/>
    </row>
    <row r="1195" spans="9:24" x14ac:dyDescent="0.25">
      <c r="I1195" s="131"/>
      <c r="J1195" s="131"/>
      <c r="K1195" s="131"/>
      <c r="L1195" s="131"/>
      <c r="U1195" s="131"/>
      <c r="V1195" s="131"/>
      <c r="W1195" s="131"/>
      <c r="X1195" s="131"/>
    </row>
    <row r="1196" spans="9:24" x14ac:dyDescent="0.25">
      <c r="I1196" s="131"/>
      <c r="J1196" s="131"/>
      <c r="K1196" s="131"/>
      <c r="L1196" s="131"/>
      <c r="U1196" s="131"/>
      <c r="V1196" s="131"/>
      <c r="W1196" s="131"/>
      <c r="X1196" s="131"/>
    </row>
    <row r="1197" spans="9:24" x14ac:dyDescent="0.25">
      <c r="I1197" s="131"/>
      <c r="J1197" s="131"/>
      <c r="K1197" s="131"/>
      <c r="L1197" s="131"/>
      <c r="U1197" s="131"/>
      <c r="V1197" s="131"/>
      <c r="W1197" s="131"/>
      <c r="X1197" s="131"/>
    </row>
    <row r="1198" spans="9:24" x14ac:dyDescent="0.25">
      <c r="I1198" s="131"/>
      <c r="J1198" s="131"/>
      <c r="K1198" s="131"/>
      <c r="L1198" s="131"/>
      <c r="U1198" s="131"/>
      <c r="V1198" s="131"/>
      <c r="W1198" s="131"/>
      <c r="X1198" s="131"/>
    </row>
    <row r="1199" spans="9:24" x14ac:dyDescent="0.25">
      <c r="I1199" s="131"/>
      <c r="J1199" s="131"/>
      <c r="K1199" s="131"/>
      <c r="L1199" s="131"/>
      <c r="U1199" s="131"/>
      <c r="V1199" s="131"/>
      <c r="W1199" s="131"/>
      <c r="X1199" s="131"/>
    </row>
    <row r="1200" spans="9:24" x14ac:dyDescent="0.25">
      <c r="I1200" s="131"/>
      <c r="J1200" s="131"/>
      <c r="K1200" s="131"/>
      <c r="L1200" s="131"/>
      <c r="U1200" s="131"/>
      <c r="V1200" s="131"/>
      <c r="W1200" s="131"/>
      <c r="X1200" s="131"/>
    </row>
    <row r="1201" spans="9:24" x14ac:dyDescent="0.25">
      <c r="I1201" s="131"/>
      <c r="J1201" s="131"/>
      <c r="K1201" s="131"/>
      <c r="L1201" s="131"/>
      <c r="U1201" s="131"/>
      <c r="V1201" s="131"/>
      <c r="W1201" s="131"/>
      <c r="X1201" s="131"/>
    </row>
    <row r="1202" spans="9:24" x14ac:dyDescent="0.25">
      <c r="I1202" s="131"/>
      <c r="J1202" s="131"/>
      <c r="K1202" s="131"/>
      <c r="L1202" s="131"/>
      <c r="U1202" s="131"/>
      <c r="V1202" s="131"/>
      <c r="W1202" s="131"/>
      <c r="X1202" s="131"/>
    </row>
    <row r="1203" spans="9:24" x14ac:dyDescent="0.25">
      <c r="I1203" s="131"/>
      <c r="J1203" s="131"/>
      <c r="K1203" s="131"/>
      <c r="L1203" s="131"/>
      <c r="U1203" s="131"/>
      <c r="V1203" s="131"/>
      <c r="W1203" s="131"/>
      <c r="X1203" s="131"/>
    </row>
    <row r="1204" spans="9:24" x14ac:dyDescent="0.25">
      <c r="I1204" s="131"/>
      <c r="J1204" s="131"/>
      <c r="K1204" s="131"/>
      <c r="L1204" s="131"/>
      <c r="U1204" s="131"/>
      <c r="V1204" s="131"/>
      <c r="W1204" s="131"/>
      <c r="X1204" s="131"/>
    </row>
    <row r="1205" spans="9:24" x14ac:dyDescent="0.25">
      <c r="I1205" s="131"/>
      <c r="J1205" s="131"/>
      <c r="K1205" s="131"/>
      <c r="L1205" s="131"/>
      <c r="U1205" s="131"/>
      <c r="V1205" s="131"/>
      <c r="W1205" s="131"/>
      <c r="X1205" s="131"/>
    </row>
    <row r="1206" spans="9:24" x14ac:dyDescent="0.25">
      <c r="I1206" s="131"/>
      <c r="J1206" s="131"/>
      <c r="K1206" s="131"/>
      <c r="L1206" s="131"/>
      <c r="U1206" s="131"/>
      <c r="V1206" s="131"/>
      <c r="W1206" s="131"/>
      <c r="X1206" s="131"/>
    </row>
    <row r="1207" spans="9:24" x14ac:dyDescent="0.25">
      <c r="I1207" s="131"/>
      <c r="J1207" s="131"/>
      <c r="K1207" s="131"/>
      <c r="L1207" s="131"/>
      <c r="U1207" s="131"/>
      <c r="V1207" s="131"/>
      <c r="W1207" s="131"/>
      <c r="X1207" s="131"/>
    </row>
    <row r="1208" spans="9:24" x14ac:dyDescent="0.25">
      <c r="I1208" s="131"/>
      <c r="J1208" s="131"/>
      <c r="K1208" s="131"/>
      <c r="L1208" s="131"/>
      <c r="U1208" s="131"/>
      <c r="V1208" s="131"/>
      <c r="W1208" s="131"/>
      <c r="X1208" s="131"/>
    </row>
    <row r="1209" spans="9:24" x14ac:dyDescent="0.25">
      <c r="I1209" s="131"/>
      <c r="J1209" s="131"/>
      <c r="K1209" s="131"/>
      <c r="L1209" s="131"/>
      <c r="U1209" s="131"/>
      <c r="V1209" s="131"/>
      <c r="W1209" s="131"/>
      <c r="X1209" s="131"/>
    </row>
    <row r="1210" spans="9:24" x14ac:dyDescent="0.25">
      <c r="I1210" s="131"/>
      <c r="J1210" s="131"/>
      <c r="K1210" s="131"/>
      <c r="L1210" s="131"/>
      <c r="U1210" s="131"/>
      <c r="V1210" s="131"/>
      <c r="W1210" s="131"/>
      <c r="X1210" s="131"/>
    </row>
    <row r="1211" spans="9:24" x14ac:dyDescent="0.25">
      <c r="I1211" s="131"/>
      <c r="J1211" s="131"/>
      <c r="K1211" s="131"/>
      <c r="L1211" s="131"/>
      <c r="U1211" s="131"/>
      <c r="V1211" s="131"/>
      <c r="W1211" s="131"/>
      <c r="X1211" s="131"/>
    </row>
    <row r="1212" spans="9:24" x14ac:dyDescent="0.25">
      <c r="I1212" s="131"/>
      <c r="J1212" s="131"/>
      <c r="K1212" s="131"/>
      <c r="L1212" s="131"/>
      <c r="U1212" s="131"/>
      <c r="V1212" s="131"/>
      <c r="W1212" s="131"/>
      <c r="X1212" s="131"/>
    </row>
    <row r="1213" spans="9:24" x14ac:dyDescent="0.25">
      <c r="I1213" s="131"/>
      <c r="J1213" s="131"/>
      <c r="K1213" s="131"/>
      <c r="L1213" s="131"/>
      <c r="U1213" s="131"/>
      <c r="V1213" s="131"/>
      <c r="W1213" s="131"/>
      <c r="X1213" s="131"/>
    </row>
    <row r="1214" spans="9:24" x14ac:dyDescent="0.25">
      <c r="I1214" s="131"/>
      <c r="J1214" s="131"/>
      <c r="K1214" s="131"/>
      <c r="L1214" s="131"/>
      <c r="U1214" s="131"/>
      <c r="V1214" s="131"/>
      <c r="W1214" s="131"/>
      <c r="X1214" s="131"/>
    </row>
    <row r="1215" spans="9:24" x14ac:dyDescent="0.25">
      <c r="I1215" s="131"/>
      <c r="J1215" s="131"/>
      <c r="K1215" s="131"/>
      <c r="L1215" s="131"/>
      <c r="U1215" s="131"/>
      <c r="V1215" s="131"/>
      <c r="W1215" s="131"/>
      <c r="X1215" s="131"/>
    </row>
    <row r="1216" spans="9:24" x14ac:dyDescent="0.25">
      <c r="I1216" s="131"/>
      <c r="J1216" s="131"/>
      <c r="K1216" s="131"/>
      <c r="L1216" s="131"/>
      <c r="U1216" s="131"/>
      <c r="V1216" s="131"/>
      <c r="W1216" s="131"/>
      <c r="X1216" s="131"/>
    </row>
    <row r="1217" spans="9:24" x14ac:dyDescent="0.25">
      <c r="I1217" s="131"/>
      <c r="J1217" s="131"/>
      <c r="K1217" s="131"/>
      <c r="L1217" s="131"/>
      <c r="U1217" s="131"/>
      <c r="V1217" s="131"/>
      <c r="W1217" s="131"/>
      <c r="X1217" s="131"/>
    </row>
    <row r="1218" spans="9:24" x14ac:dyDescent="0.25">
      <c r="I1218" s="131"/>
      <c r="J1218" s="131"/>
      <c r="K1218" s="131"/>
      <c r="L1218" s="131"/>
      <c r="U1218" s="131"/>
      <c r="V1218" s="131"/>
      <c r="W1218" s="131"/>
      <c r="X1218" s="131"/>
    </row>
    <row r="1219" spans="9:24" x14ac:dyDescent="0.25">
      <c r="I1219" s="131"/>
      <c r="J1219" s="131"/>
      <c r="K1219" s="131"/>
      <c r="L1219" s="131"/>
      <c r="U1219" s="131"/>
      <c r="V1219" s="131"/>
      <c r="W1219" s="131"/>
      <c r="X1219" s="131"/>
    </row>
    <row r="1220" spans="9:24" x14ac:dyDescent="0.25">
      <c r="I1220" s="131"/>
      <c r="J1220" s="131"/>
      <c r="K1220" s="131"/>
      <c r="L1220" s="131"/>
      <c r="U1220" s="131"/>
      <c r="V1220" s="131"/>
      <c r="W1220" s="131"/>
      <c r="X1220" s="131"/>
    </row>
    <row r="1221" spans="9:24" x14ac:dyDescent="0.25">
      <c r="I1221" s="131"/>
      <c r="J1221" s="131"/>
      <c r="K1221" s="131"/>
      <c r="L1221" s="131"/>
      <c r="U1221" s="131"/>
      <c r="V1221" s="131"/>
      <c r="W1221" s="131"/>
      <c r="X1221" s="131"/>
    </row>
    <row r="1222" spans="9:24" x14ac:dyDescent="0.25">
      <c r="I1222" s="131"/>
      <c r="J1222" s="131"/>
      <c r="K1222" s="131"/>
      <c r="L1222" s="131"/>
      <c r="U1222" s="131"/>
      <c r="V1222" s="131"/>
      <c r="W1222" s="131"/>
      <c r="X1222" s="131"/>
    </row>
    <row r="1223" spans="9:24" x14ac:dyDescent="0.25">
      <c r="I1223" s="131"/>
      <c r="J1223" s="131"/>
      <c r="K1223" s="131"/>
      <c r="L1223" s="131"/>
      <c r="U1223" s="131"/>
      <c r="V1223" s="131"/>
      <c r="W1223" s="131"/>
      <c r="X1223" s="131"/>
    </row>
    <row r="1224" spans="9:24" x14ac:dyDescent="0.25">
      <c r="I1224" s="131"/>
      <c r="J1224" s="131"/>
      <c r="K1224" s="131"/>
      <c r="L1224" s="131"/>
      <c r="U1224" s="131"/>
      <c r="V1224" s="131"/>
      <c r="W1224" s="131"/>
      <c r="X1224" s="131"/>
    </row>
    <row r="1225" spans="9:24" x14ac:dyDescent="0.25">
      <c r="I1225" s="131"/>
      <c r="J1225" s="131"/>
      <c r="K1225" s="131"/>
      <c r="L1225" s="131"/>
      <c r="U1225" s="131"/>
      <c r="V1225" s="131"/>
      <c r="W1225" s="131"/>
      <c r="X1225" s="131"/>
    </row>
    <row r="1226" spans="9:24" x14ac:dyDescent="0.25">
      <c r="I1226" s="131"/>
      <c r="J1226" s="131"/>
      <c r="K1226" s="131"/>
      <c r="L1226" s="131"/>
      <c r="U1226" s="131"/>
      <c r="V1226" s="131"/>
      <c r="W1226" s="131"/>
      <c r="X1226" s="131"/>
    </row>
    <row r="1227" spans="9:24" x14ac:dyDescent="0.25">
      <c r="I1227" s="131"/>
      <c r="J1227" s="131"/>
      <c r="K1227" s="131"/>
      <c r="L1227" s="131"/>
      <c r="U1227" s="131"/>
      <c r="V1227" s="131"/>
      <c r="W1227" s="131"/>
      <c r="X1227" s="131"/>
    </row>
    <row r="1228" spans="9:24" x14ac:dyDescent="0.25">
      <c r="I1228" s="131"/>
      <c r="J1228" s="131"/>
      <c r="K1228" s="131"/>
      <c r="L1228" s="131"/>
      <c r="U1228" s="131"/>
      <c r="V1228" s="131"/>
      <c r="W1228" s="131"/>
      <c r="X1228" s="131"/>
    </row>
    <row r="1229" spans="9:24" x14ac:dyDescent="0.25">
      <c r="I1229" s="131"/>
      <c r="J1229" s="131"/>
      <c r="K1229" s="131"/>
      <c r="L1229" s="131"/>
      <c r="U1229" s="131"/>
      <c r="V1229" s="131"/>
      <c r="W1229" s="131"/>
      <c r="X1229" s="131"/>
    </row>
    <row r="1230" spans="9:24" x14ac:dyDescent="0.25">
      <c r="I1230" s="131"/>
      <c r="J1230" s="131"/>
      <c r="K1230" s="131"/>
      <c r="L1230" s="131"/>
      <c r="U1230" s="131"/>
      <c r="V1230" s="131"/>
      <c r="W1230" s="131"/>
      <c r="X1230" s="131"/>
    </row>
    <row r="1231" spans="9:24" x14ac:dyDescent="0.25">
      <c r="I1231" s="131"/>
      <c r="J1231" s="131"/>
      <c r="K1231" s="131"/>
      <c r="L1231" s="131"/>
      <c r="U1231" s="131"/>
      <c r="V1231" s="131"/>
      <c r="W1231" s="131"/>
      <c r="X1231" s="131"/>
    </row>
    <row r="1232" spans="9:24" x14ac:dyDescent="0.25">
      <c r="I1232" s="131"/>
      <c r="J1232" s="131"/>
      <c r="K1232" s="131"/>
      <c r="L1232" s="131"/>
      <c r="U1232" s="131"/>
      <c r="V1232" s="131"/>
      <c r="W1232" s="131"/>
      <c r="X1232" s="131"/>
    </row>
    <row r="1233" spans="9:24" x14ac:dyDescent="0.25">
      <c r="I1233" s="131"/>
      <c r="J1233" s="131"/>
      <c r="K1233" s="131"/>
      <c r="L1233" s="131"/>
      <c r="U1233" s="131"/>
      <c r="V1233" s="131"/>
      <c r="W1233" s="131"/>
      <c r="X1233" s="131"/>
    </row>
    <row r="1234" spans="9:24" x14ac:dyDescent="0.25">
      <c r="I1234" s="131"/>
      <c r="J1234" s="131"/>
      <c r="K1234" s="131"/>
      <c r="L1234" s="131"/>
      <c r="U1234" s="131"/>
      <c r="V1234" s="131"/>
      <c r="W1234" s="131"/>
      <c r="X1234" s="131"/>
    </row>
    <row r="1235" spans="9:24" x14ac:dyDescent="0.25">
      <c r="I1235" s="131"/>
      <c r="J1235" s="131"/>
      <c r="K1235" s="131"/>
      <c r="L1235" s="131"/>
      <c r="U1235" s="131"/>
      <c r="V1235" s="131"/>
      <c r="W1235" s="131"/>
      <c r="X1235" s="131"/>
    </row>
    <row r="1236" spans="9:24" x14ac:dyDescent="0.25">
      <c r="I1236" s="131"/>
      <c r="J1236" s="131"/>
      <c r="K1236" s="131"/>
      <c r="L1236" s="131"/>
      <c r="U1236" s="131"/>
      <c r="V1236" s="131"/>
      <c r="W1236" s="131"/>
      <c r="X1236" s="131"/>
    </row>
    <row r="1237" spans="9:24" x14ac:dyDescent="0.25">
      <c r="I1237" s="131"/>
      <c r="J1237" s="131"/>
      <c r="K1237" s="131"/>
      <c r="L1237" s="131"/>
      <c r="U1237" s="131"/>
      <c r="V1237" s="131"/>
      <c r="W1237" s="131"/>
      <c r="X1237" s="131"/>
    </row>
    <row r="1238" spans="9:24" x14ac:dyDescent="0.25">
      <c r="I1238" s="131"/>
      <c r="J1238" s="131"/>
      <c r="K1238" s="131"/>
      <c r="L1238" s="131"/>
      <c r="U1238" s="131"/>
      <c r="V1238" s="131"/>
      <c r="W1238" s="131"/>
      <c r="X1238" s="131"/>
    </row>
    <row r="1239" spans="9:24" x14ac:dyDescent="0.25">
      <c r="I1239" s="131"/>
      <c r="J1239" s="131"/>
      <c r="K1239" s="131"/>
      <c r="L1239" s="131"/>
      <c r="U1239" s="131"/>
      <c r="V1239" s="131"/>
      <c r="W1239" s="131"/>
      <c r="X1239" s="131"/>
    </row>
    <row r="1240" spans="9:24" x14ac:dyDescent="0.25">
      <c r="I1240" s="131"/>
      <c r="J1240" s="131"/>
      <c r="K1240" s="131"/>
      <c r="L1240" s="131"/>
      <c r="U1240" s="131"/>
      <c r="V1240" s="131"/>
      <c r="W1240" s="131"/>
      <c r="X1240" s="131"/>
    </row>
    <row r="1241" spans="9:24" x14ac:dyDescent="0.25">
      <c r="I1241" s="131"/>
      <c r="J1241" s="131"/>
      <c r="K1241" s="131"/>
      <c r="L1241" s="131"/>
      <c r="U1241" s="131"/>
      <c r="V1241" s="131"/>
      <c r="W1241" s="131"/>
      <c r="X1241" s="131"/>
    </row>
    <row r="1242" spans="9:24" x14ac:dyDescent="0.25">
      <c r="I1242" s="131"/>
      <c r="J1242" s="131"/>
      <c r="K1242" s="131"/>
      <c r="L1242" s="131"/>
      <c r="U1242" s="131"/>
      <c r="V1242" s="131"/>
      <c r="W1242" s="131"/>
      <c r="X1242" s="131"/>
    </row>
    <row r="1243" spans="9:24" x14ac:dyDescent="0.25">
      <c r="I1243" s="131"/>
      <c r="J1243" s="131"/>
      <c r="K1243" s="131"/>
      <c r="L1243" s="131"/>
      <c r="U1243" s="131"/>
      <c r="V1243" s="131"/>
      <c r="W1243" s="131"/>
      <c r="X1243" s="131"/>
    </row>
    <row r="1244" spans="9:24" x14ac:dyDescent="0.25">
      <c r="I1244" s="131"/>
      <c r="J1244" s="131"/>
      <c r="K1244" s="131"/>
      <c r="L1244" s="131"/>
      <c r="U1244" s="131"/>
      <c r="V1244" s="131"/>
      <c r="W1244" s="131"/>
      <c r="X1244" s="131"/>
    </row>
    <row r="1245" spans="9:24" x14ac:dyDescent="0.25">
      <c r="I1245" s="131"/>
      <c r="J1245" s="131"/>
      <c r="K1245" s="131"/>
      <c r="L1245" s="131"/>
      <c r="U1245" s="131"/>
      <c r="V1245" s="131"/>
      <c r="W1245" s="131"/>
      <c r="X1245" s="131"/>
    </row>
    <row r="1246" spans="9:24" x14ac:dyDescent="0.25">
      <c r="I1246" s="131"/>
      <c r="J1246" s="131"/>
      <c r="K1246" s="131"/>
      <c r="L1246" s="131"/>
      <c r="U1246" s="131"/>
      <c r="V1246" s="131"/>
      <c r="W1246" s="131"/>
      <c r="X1246" s="131"/>
    </row>
    <row r="1247" spans="9:24" x14ac:dyDescent="0.25">
      <c r="I1247" s="131"/>
      <c r="J1247" s="131"/>
      <c r="K1247" s="131"/>
      <c r="L1247" s="131"/>
      <c r="U1247" s="131"/>
      <c r="V1247" s="131"/>
      <c r="W1247" s="131"/>
      <c r="X1247" s="131"/>
    </row>
    <row r="1248" spans="9:24" x14ac:dyDescent="0.25">
      <c r="I1248" s="131"/>
      <c r="J1248" s="131"/>
      <c r="K1248" s="131"/>
      <c r="L1248" s="131"/>
      <c r="U1248" s="131"/>
      <c r="V1248" s="131"/>
      <c r="W1248" s="131"/>
      <c r="X1248" s="131"/>
    </row>
    <row r="1249" spans="9:24" x14ac:dyDescent="0.25">
      <c r="I1249" s="131"/>
      <c r="J1249" s="131"/>
      <c r="K1249" s="131"/>
      <c r="L1249" s="131"/>
      <c r="U1249" s="131"/>
      <c r="V1249" s="131"/>
      <c r="W1249" s="131"/>
      <c r="X1249" s="131"/>
    </row>
    <row r="1250" spans="9:24" x14ac:dyDescent="0.25">
      <c r="I1250" s="131"/>
      <c r="J1250" s="131"/>
      <c r="K1250" s="131"/>
      <c r="L1250" s="131"/>
      <c r="U1250" s="131"/>
      <c r="V1250" s="131"/>
      <c r="W1250" s="131"/>
      <c r="X1250" s="131"/>
    </row>
    <row r="1251" spans="9:24" x14ac:dyDescent="0.25">
      <c r="I1251" s="131"/>
      <c r="J1251" s="131"/>
      <c r="K1251" s="131"/>
      <c r="L1251" s="131"/>
      <c r="U1251" s="131"/>
      <c r="V1251" s="131"/>
      <c r="W1251" s="131"/>
      <c r="X1251" s="131"/>
    </row>
    <row r="1252" spans="9:24" x14ac:dyDescent="0.25">
      <c r="I1252" s="131"/>
      <c r="J1252" s="131"/>
      <c r="K1252" s="131"/>
      <c r="L1252" s="131"/>
      <c r="U1252" s="131"/>
      <c r="V1252" s="131"/>
      <c r="W1252" s="131"/>
      <c r="X1252" s="131"/>
    </row>
    <row r="1253" spans="9:24" x14ac:dyDescent="0.25">
      <c r="I1253" s="131"/>
      <c r="J1253" s="131"/>
      <c r="K1253" s="131"/>
      <c r="L1253" s="131"/>
      <c r="U1253" s="131"/>
      <c r="V1253" s="131"/>
      <c r="W1253" s="131"/>
      <c r="X1253" s="131"/>
    </row>
    <row r="1254" spans="9:24" x14ac:dyDescent="0.25">
      <c r="I1254" s="131"/>
      <c r="J1254" s="131"/>
      <c r="K1254" s="131"/>
      <c r="L1254" s="131"/>
      <c r="U1254" s="131"/>
      <c r="V1254" s="131"/>
      <c r="W1254" s="131"/>
      <c r="X1254" s="131"/>
    </row>
    <row r="1255" spans="9:24" x14ac:dyDescent="0.25">
      <c r="I1255" s="131"/>
      <c r="J1255" s="131"/>
      <c r="K1255" s="131"/>
      <c r="L1255" s="131"/>
      <c r="U1255" s="131"/>
      <c r="V1255" s="131"/>
      <c r="W1255" s="131"/>
      <c r="X1255" s="131"/>
    </row>
    <row r="1256" spans="9:24" x14ac:dyDescent="0.25">
      <c r="I1256" s="131"/>
      <c r="J1256" s="131"/>
      <c r="K1256" s="131"/>
      <c r="L1256" s="131"/>
      <c r="U1256" s="131"/>
      <c r="V1256" s="131"/>
      <c r="W1256" s="131"/>
      <c r="X1256" s="131"/>
    </row>
    <row r="1257" spans="9:24" x14ac:dyDescent="0.25">
      <c r="I1257" s="131"/>
      <c r="J1257" s="131"/>
      <c r="K1257" s="131"/>
      <c r="L1257" s="131"/>
      <c r="U1257" s="131"/>
      <c r="V1257" s="131"/>
      <c r="W1257" s="131"/>
      <c r="X1257" s="131"/>
    </row>
    <row r="1258" spans="9:24" x14ac:dyDescent="0.25">
      <c r="I1258" s="131"/>
      <c r="J1258" s="131"/>
      <c r="K1258" s="131"/>
      <c r="L1258" s="131"/>
      <c r="U1258" s="131"/>
      <c r="V1258" s="131"/>
      <c r="W1258" s="131"/>
      <c r="X1258" s="131"/>
    </row>
    <row r="1259" spans="9:24" x14ac:dyDescent="0.25">
      <c r="I1259" s="131"/>
      <c r="J1259" s="131"/>
      <c r="K1259" s="131"/>
      <c r="L1259" s="131"/>
      <c r="U1259" s="131"/>
      <c r="V1259" s="131"/>
      <c r="W1259" s="131"/>
      <c r="X1259" s="131"/>
    </row>
    <row r="1260" spans="9:24" x14ac:dyDescent="0.25">
      <c r="I1260" s="131"/>
      <c r="J1260" s="131"/>
      <c r="K1260" s="131"/>
      <c r="L1260" s="131"/>
      <c r="U1260" s="131"/>
      <c r="V1260" s="131"/>
      <c r="W1260" s="131"/>
      <c r="X1260" s="131"/>
    </row>
    <row r="1261" spans="9:24" x14ac:dyDescent="0.25">
      <c r="I1261" s="131"/>
      <c r="J1261" s="131"/>
      <c r="K1261" s="131"/>
      <c r="L1261" s="131"/>
      <c r="U1261" s="131"/>
      <c r="V1261" s="131"/>
      <c r="W1261" s="131"/>
      <c r="X1261" s="131"/>
    </row>
    <row r="1262" spans="9:24" x14ac:dyDescent="0.25">
      <c r="I1262" s="131"/>
      <c r="J1262" s="131"/>
      <c r="K1262" s="131"/>
      <c r="L1262" s="131"/>
      <c r="U1262" s="131"/>
      <c r="V1262" s="131"/>
      <c r="W1262" s="131"/>
      <c r="X1262" s="131"/>
    </row>
    <row r="1263" spans="9:24" x14ac:dyDescent="0.25">
      <c r="I1263" s="131"/>
      <c r="J1263" s="131"/>
      <c r="K1263" s="131"/>
      <c r="L1263" s="131"/>
      <c r="U1263" s="131"/>
      <c r="V1263" s="131"/>
      <c r="W1263" s="131"/>
      <c r="X1263" s="131"/>
    </row>
    <row r="1264" spans="9:24" x14ac:dyDescent="0.25">
      <c r="I1264" s="131"/>
      <c r="J1264" s="131"/>
      <c r="K1264" s="131"/>
      <c r="L1264" s="131"/>
      <c r="U1264" s="131"/>
      <c r="V1264" s="131"/>
      <c r="W1264" s="131"/>
      <c r="X1264" s="131"/>
    </row>
    <row r="1265" spans="9:24" x14ac:dyDescent="0.25">
      <c r="I1265" s="131"/>
      <c r="J1265" s="131"/>
      <c r="K1265" s="131"/>
      <c r="L1265" s="131"/>
      <c r="U1265" s="131"/>
      <c r="V1265" s="131"/>
      <c r="W1265" s="131"/>
      <c r="X1265" s="131"/>
    </row>
    <row r="1266" spans="9:24" x14ac:dyDescent="0.25">
      <c r="I1266" s="131"/>
      <c r="J1266" s="131"/>
      <c r="K1266" s="131"/>
      <c r="L1266" s="131"/>
      <c r="U1266" s="131"/>
      <c r="V1266" s="131"/>
      <c r="W1266" s="131"/>
      <c r="X1266" s="131"/>
    </row>
    <row r="1267" spans="9:24" x14ac:dyDescent="0.25">
      <c r="I1267" s="131"/>
      <c r="J1267" s="131"/>
      <c r="K1267" s="131"/>
      <c r="L1267" s="131"/>
      <c r="U1267" s="131"/>
      <c r="V1267" s="131"/>
      <c r="W1267" s="131"/>
      <c r="X1267" s="131"/>
    </row>
    <row r="1268" spans="9:24" x14ac:dyDescent="0.25">
      <c r="I1268" s="131"/>
      <c r="J1268" s="131"/>
      <c r="K1268" s="131"/>
      <c r="L1268" s="131"/>
      <c r="U1268" s="131"/>
      <c r="V1268" s="131"/>
      <c r="W1268" s="131"/>
      <c r="X1268" s="131"/>
    </row>
    <row r="1269" spans="9:24" x14ac:dyDescent="0.25">
      <c r="I1269" s="131"/>
      <c r="J1269" s="131"/>
      <c r="K1269" s="131"/>
      <c r="L1269" s="131"/>
      <c r="U1269" s="131"/>
      <c r="V1269" s="131"/>
      <c r="W1269" s="131"/>
      <c r="X1269" s="131"/>
    </row>
    <row r="1270" spans="9:24" x14ac:dyDescent="0.25">
      <c r="I1270" s="131"/>
      <c r="J1270" s="131"/>
      <c r="K1270" s="131"/>
      <c r="L1270" s="131"/>
      <c r="U1270" s="131"/>
      <c r="V1270" s="131"/>
      <c r="W1270" s="131"/>
      <c r="X1270" s="131"/>
    </row>
    <row r="1271" spans="9:24" x14ac:dyDescent="0.25">
      <c r="I1271" s="131"/>
      <c r="J1271" s="131"/>
      <c r="K1271" s="131"/>
      <c r="L1271" s="131"/>
      <c r="U1271" s="131"/>
      <c r="V1271" s="131"/>
      <c r="W1271" s="131"/>
      <c r="X1271" s="131"/>
    </row>
    <row r="1272" spans="9:24" x14ac:dyDescent="0.25">
      <c r="I1272" s="131"/>
      <c r="J1272" s="131"/>
      <c r="K1272" s="131"/>
      <c r="L1272" s="131"/>
      <c r="U1272" s="131"/>
      <c r="V1272" s="131"/>
      <c r="W1272" s="131"/>
      <c r="X1272" s="131"/>
    </row>
    <row r="1273" spans="9:24" x14ac:dyDescent="0.25">
      <c r="I1273" s="131"/>
      <c r="J1273" s="131"/>
      <c r="K1273" s="131"/>
      <c r="L1273" s="131"/>
      <c r="U1273" s="131"/>
      <c r="V1273" s="131"/>
      <c r="W1273" s="131"/>
      <c r="X1273" s="131"/>
    </row>
    <row r="1274" spans="9:24" x14ac:dyDescent="0.25">
      <c r="I1274" s="131"/>
      <c r="J1274" s="131"/>
      <c r="K1274" s="131"/>
      <c r="L1274" s="131"/>
      <c r="U1274" s="131"/>
      <c r="V1274" s="131"/>
      <c r="W1274" s="131"/>
      <c r="X1274" s="131"/>
    </row>
    <row r="1275" spans="9:24" x14ac:dyDescent="0.25">
      <c r="I1275" s="131"/>
      <c r="J1275" s="131"/>
      <c r="K1275" s="131"/>
      <c r="L1275" s="131"/>
      <c r="U1275" s="131"/>
      <c r="V1275" s="131"/>
      <c r="W1275" s="131"/>
      <c r="X1275" s="131"/>
    </row>
    <row r="1276" spans="9:24" x14ac:dyDescent="0.25">
      <c r="I1276" s="131"/>
      <c r="J1276" s="131"/>
      <c r="K1276" s="131"/>
      <c r="L1276" s="131"/>
      <c r="U1276" s="131"/>
      <c r="V1276" s="131"/>
      <c r="W1276" s="131"/>
      <c r="X1276" s="131"/>
    </row>
    <row r="1277" spans="9:24" x14ac:dyDescent="0.25">
      <c r="I1277" s="131"/>
      <c r="J1277" s="131"/>
      <c r="K1277" s="131"/>
      <c r="L1277" s="131"/>
      <c r="U1277" s="131"/>
      <c r="V1277" s="131"/>
      <c r="W1277" s="131"/>
      <c r="X1277" s="131"/>
    </row>
    <row r="1278" spans="9:24" x14ac:dyDescent="0.25">
      <c r="I1278" s="131"/>
      <c r="J1278" s="131"/>
      <c r="K1278" s="131"/>
      <c r="L1278" s="131"/>
      <c r="U1278" s="131"/>
      <c r="V1278" s="131"/>
      <c r="W1278" s="131"/>
      <c r="X1278" s="131"/>
    </row>
    <row r="1279" spans="9:24" x14ac:dyDescent="0.25">
      <c r="I1279" s="131"/>
      <c r="J1279" s="131"/>
      <c r="K1279" s="131"/>
      <c r="L1279" s="131"/>
      <c r="U1279" s="131"/>
      <c r="V1279" s="131"/>
      <c r="W1279" s="131"/>
      <c r="X1279" s="131"/>
    </row>
    <row r="1280" spans="9:24" x14ac:dyDescent="0.25">
      <c r="I1280" s="131"/>
      <c r="J1280" s="131"/>
      <c r="K1280" s="131"/>
      <c r="L1280" s="131"/>
      <c r="U1280" s="131"/>
      <c r="V1280" s="131"/>
      <c r="W1280" s="131"/>
      <c r="X1280" s="131"/>
    </row>
    <row r="1281" spans="9:24" x14ac:dyDescent="0.25">
      <c r="I1281" s="131"/>
      <c r="J1281" s="131"/>
      <c r="K1281" s="131"/>
      <c r="L1281" s="131"/>
      <c r="U1281" s="131"/>
      <c r="V1281" s="131"/>
      <c r="W1281" s="131"/>
      <c r="X1281" s="131"/>
    </row>
    <row r="1282" spans="9:24" x14ac:dyDescent="0.25">
      <c r="I1282" s="131"/>
      <c r="J1282" s="131"/>
      <c r="K1282" s="131"/>
      <c r="L1282" s="131"/>
      <c r="U1282" s="131"/>
      <c r="V1282" s="131"/>
      <c r="W1282" s="131"/>
      <c r="X1282" s="131"/>
    </row>
    <row r="1283" spans="9:24" x14ac:dyDescent="0.25">
      <c r="I1283" s="131"/>
      <c r="J1283" s="131"/>
      <c r="K1283" s="131"/>
      <c r="L1283" s="131"/>
      <c r="U1283" s="131"/>
      <c r="V1283" s="131"/>
      <c r="W1283" s="131"/>
      <c r="X1283" s="131"/>
    </row>
    <row r="1284" spans="9:24" x14ac:dyDescent="0.25">
      <c r="I1284" s="131"/>
      <c r="J1284" s="131"/>
      <c r="K1284" s="131"/>
      <c r="L1284" s="131"/>
      <c r="U1284" s="131"/>
      <c r="V1284" s="131"/>
      <c r="W1284" s="131"/>
      <c r="X1284" s="131"/>
    </row>
    <row r="1285" spans="9:24" x14ac:dyDescent="0.25">
      <c r="I1285" s="131"/>
      <c r="J1285" s="131"/>
      <c r="K1285" s="131"/>
      <c r="L1285" s="131"/>
      <c r="U1285" s="131"/>
      <c r="V1285" s="131"/>
      <c r="W1285" s="131"/>
      <c r="X1285" s="131"/>
    </row>
    <row r="1286" spans="9:24" x14ac:dyDescent="0.25">
      <c r="I1286" s="131"/>
      <c r="J1286" s="131"/>
      <c r="K1286" s="131"/>
      <c r="L1286" s="131"/>
      <c r="U1286" s="131"/>
      <c r="V1286" s="131"/>
      <c r="W1286" s="131"/>
      <c r="X1286" s="131"/>
    </row>
    <row r="1287" spans="9:24" x14ac:dyDescent="0.25">
      <c r="I1287" s="131"/>
      <c r="J1287" s="131"/>
      <c r="K1287" s="131"/>
      <c r="L1287" s="131"/>
      <c r="U1287" s="131"/>
      <c r="V1287" s="131"/>
      <c r="W1287" s="131"/>
      <c r="X1287" s="131"/>
    </row>
    <row r="1288" spans="9:24" x14ac:dyDescent="0.25">
      <c r="I1288" s="131"/>
      <c r="J1288" s="131"/>
      <c r="K1288" s="131"/>
      <c r="L1288" s="131"/>
      <c r="U1288" s="131"/>
      <c r="V1288" s="131"/>
      <c r="W1288" s="131"/>
      <c r="X1288" s="131"/>
    </row>
    <row r="1289" spans="9:24" x14ac:dyDescent="0.25">
      <c r="I1289" s="131"/>
      <c r="J1289" s="131"/>
      <c r="K1289" s="131"/>
      <c r="L1289" s="131"/>
      <c r="U1289" s="131"/>
      <c r="V1289" s="131"/>
      <c r="W1289" s="131"/>
      <c r="X1289" s="131"/>
    </row>
    <row r="1290" spans="9:24" x14ac:dyDescent="0.25">
      <c r="I1290" s="131"/>
      <c r="J1290" s="131"/>
      <c r="K1290" s="131"/>
      <c r="L1290" s="131"/>
      <c r="U1290" s="131"/>
      <c r="V1290" s="131"/>
      <c r="W1290" s="131"/>
      <c r="X1290" s="131"/>
    </row>
    <row r="1291" spans="9:24" x14ac:dyDescent="0.25">
      <c r="I1291" s="131"/>
      <c r="J1291" s="131"/>
      <c r="K1291" s="131"/>
      <c r="L1291" s="131"/>
      <c r="U1291" s="131"/>
      <c r="V1291" s="131"/>
      <c r="W1291" s="131"/>
      <c r="X1291" s="131"/>
    </row>
    <row r="1292" spans="9:24" x14ac:dyDescent="0.25">
      <c r="I1292" s="131"/>
      <c r="J1292" s="131"/>
      <c r="K1292" s="131"/>
      <c r="L1292" s="131"/>
      <c r="U1292" s="131"/>
      <c r="V1292" s="131"/>
      <c r="W1292" s="131"/>
      <c r="X1292" s="131"/>
    </row>
    <row r="1293" spans="9:24" x14ac:dyDescent="0.25">
      <c r="I1293" s="131"/>
      <c r="J1293" s="131"/>
      <c r="K1293" s="131"/>
      <c r="L1293" s="131"/>
      <c r="U1293" s="131"/>
      <c r="V1293" s="131"/>
      <c r="W1293" s="131"/>
      <c r="X1293" s="131"/>
    </row>
    <row r="1294" spans="9:24" x14ac:dyDescent="0.25">
      <c r="I1294" s="131"/>
      <c r="J1294" s="131"/>
      <c r="K1294" s="131"/>
      <c r="L1294" s="131"/>
      <c r="U1294" s="131"/>
      <c r="V1294" s="131"/>
      <c r="W1294" s="131"/>
      <c r="X1294" s="131"/>
    </row>
    <row r="1295" spans="9:24" x14ac:dyDescent="0.25">
      <c r="I1295" s="131"/>
      <c r="J1295" s="131"/>
      <c r="K1295" s="131"/>
      <c r="L1295" s="131"/>
      <c r="U1295" s="131"/>
      <c r="V1295" s="131"/>
      <c r="W1295" s="131"/>
      <c r="X1295" s="131"/>
    </row>
    <row r="1296" spans="9:24" x14ac:dyDescent="0.25">
      <c r="I1296" s="131"/>
      <c r="J1296" s="131"/>
      <c r="K1296" s="131"/>
      <c r="L1296" s="131"/>
      <c r="U1296" s="131"/>
      <c r="V1296" s="131"/>
      <c r="W1296" s="131"/>
      <c r="X1296" s="131"/>
    </row>
    <row r="1297" spans="9:24" x14ac:dyDescent="0.25">
      <c r="I1297" s="131"/>
      <c r="J1297" s="131"/>
      <c r="K1297" s="131"/>
      <c r="L1297" s="131"/>
      <c r="U1297" s="131"/>
      <c r="V1297" s="131"/>
      <c r="W1297" s="131"/>
      <c r="X1297" s="131"/>
    </row>
    <row r="1298" spans="9:24" x14ac:dyDescent="0.25">
      <c r="I1298" s="131"/>
      <c r="J1298" s="131"/>
      <c r="K1298" s="131"/>
      <c r="L1298" s="131"/>
      <c r="U1298" s="131"/>
      <c r="V1298" s="131"/>
      <c r="W1298" s="131"/>
      <c r="X1298" s="131"/>
    </row>
    <row r="1299" spans="9:24" x14ac:dyDescent="0.25">
      <c r="I1299" s="131"/>
      <c r="J1299" s="131"/>
      <c r="K1299" s="131"/>
      <c r="L1299" s="131"/>
      <c r="U1299" s="131"/>
      <c r="V1299" s="131"/>
      <c r="W1299" s="131"/>
      <c r="X1299" s="131"/>
    </row>
    <row r="1300" spans="9:24" x14ac:dyDescent="0.25">
      <c r="I1300" s="131"/>
      <c r="J1300" s="131"/>
      <c r="K1300" s="131"/>
      <c r="L1300" s="131"/>
      <c r="U1300" s="131"/>
      <c r="V1300" s="131"/>
      <c r="W1300" s="131"/>
      <c r="X1300" s="131"/>
    </row>
    <row r="1301" spans="9:24" x14ac:dyDescent="0.25">
      <c r="I1301" s="131"/>
      <c r="J1301" s="131"/>
      <c r="K1301" s="131"/>
      <c r="L1301" s="131"/>
      <c r="U1301" s="131"/>
      <c r="V1301" s="131"/>
      <c r="W1301" s="131"/>
      <c r="X1301" s="131"/>
    </row>
    <row r="1302" spans="9:24" x14ac:dyDescent="0.25">
      <c r="I1302" s="131"/>
      <c r="J1302" s="131"/>
      <c r="K1302" s="131"/>
      <c r="L1302" s="131"/>
      <c r="U1302" s="131"/>
      <c r="V1302" s="131"/>
      <c r="W1302" s="131"/>
      <c r="X1302" s="131"/>
    </row>
    <row r="1303" spans="9:24" x14ac:dyDescent="0.25">
      <c r="I1303" s="131"/>
      <c r="J1303" s="131"/>
      <c r="K1303" s="131"/>
      <c r="L1303" s="131"/>
      <c r="U1303" s="131"/>
      <c r="V1303" s="131"/>
      <c r="W1303" s="131"/>
      <c r="X1303" s="131"/>
    </row>
    <row r="1304" spans="9:24" x14ac:dyDescent="0.25">
      <c r="I1304" s="131"/>
      <c r="J1304" s="131"/>
      <c r="K1304" s="131"/>
      <c r="L1304" s="131"/>
      <c r="U1304" s="131"/>
      <c r="V1304" s="131"/>
      <c r="W1304" s="131"/>
      <c r="X1304" s="131"/>
    </row>
    <row r="1305" spans="9:24" x14ac:dyDescent="0.25">
      <c r="I1305" s="131"/>
      <c r="J1305" s="131"/>
      <c r="K1305" s="131"/>
      <c r="L1305" s="131"/>
      <c r="U1305" s="131"/>
      <c r="V1305" s="131"/>
      <c r="W1305" s="131"/>
      <c r="X1305" s="131"/>
    </row>
    <row r="1306" spans="9:24" x14ac:dyDescent="0.25">
      <c r="I1306" s="131"/>
      <c r="J1306" s="131"/>
      <c r="K1306" s="131"/>
      <c r="L1306" s="131"/>
      <c r="U1306" s="131"/>
      <c r="V1306" s="131"/>
      <c r="W1306" s="131"/>
      <c r="X1306" s="131"/>
    </row>
    <row r="1307" spans="9:24" x14ac:dyDescent="0.25">
      <c r="I1307" s="131"/>
      <c r="J1307" s="131"/>
      <c r="K1307" s="131"/>
      <c r="L1307" s="131"/>
      <c r="U1307" s="131"/>
      <c r="V1307" s="131"/>
      <c r="W1307" s="131"/>
      <c r="X1307" s="131"/>
    </row>
    <row r="1308" spans="9:24" x14ac:dyDescent="0.25">
      <c r="I1308" s="131"/>
      <c r="J1308" s="131"/>
      <c r="K1308" s="131"/>
      <c r="L1308" s="131"/>
      <c r="U1308" s="131"/>
      <c r="V1308" s="131"/>
      <c r="W1308" s="131"/>
      <c r="X1308" s="131"/>
    </row>
    <row r="1309" spans="9:24" x14ac:dyDescent="0.25">
      <c r="I1309" s="131"/>
      <c r="J1309" s="131"/>
      <c r="K1309" s="131"/>
      <c r="L1309" s="131"/>
      <c r="U1309" s="131"/>
      <c r="V1309" s="131"/>
      <c r="W1309" s="131"/>
      <c r="X1309" s="131"/>
    </row>
    <row r="1310" spans="9:24" x14ac:dyDescent="0.25">
      <c r="I1310" s="131"/>
      <c r="J1310" s="131"/>
      <c r="K1310" s="131"/>
      <c r="L1310" s="131"/>
      <c r="U1310" s="131"/>
      <c r="V1310" s="131"/>
      <c r="W1310" s="131"/>
      <c r="X1310" s="131"/>
    </row>
    <row r="1311" spans="9:24" x14ac:dyDescent="0.25">
      <c r="I1311" s="131"/>
      <c r="J1311" s="131"/>
      <c r="K1311" s="131"/>
      <c r="L1311" s="131"/>
      <c r="U1311" s="131"/>
      <c r="V1311" s="131"/>
      <c r="W1311" s="131"/>
      <c r="X1311" s="131"/>
    </row>
    <row r="1312" spans="9:24" x14ac:dyDescent="0.25">
      <c r="I1312" s="131"/>
      <c r="J1312" s="131"/>
      <c r="K1312" s="131"/>
      <c r="L1312" s="131"/>
      <c r="U1312" s="131"/>
      <c r="V1312" s="131"/>
      <c r="W1312" s="131"/>
      <c r="X1312" s="131"/>
    </row>
    <row r="1313" spans="9:24" x14ac:dyDescent="0.25">
      <c r="I1313" s="131"/>
      <c r="J1313" s="131"/>
      <c r="K1313" s="131"/>
      <c r="L1313" s="131"/>
      <c r="U1313" s="131"/>
      <c r="V1313" s="131"/>
      <c r="W1313" s="131"/>
      <c r="X1313" s="131"/>
    </row>
    <row r="1314" spans="9:24" x14ac:dyDescent="0.25">
      <c r="I1314" s="131"/>
      <c r="J1314" s="131"/>
      <c r="K1314" s="131"/>
      <c r="L1314" s="131"/>
      <c r="U1314" s="131"/>
      <c r="V1314" s="131"/>
      <c r="W1314" s="131"/>
      <c r="X1314" s="131"/>
    </row>
    <row r="1315" spans="9:24" x14ac:dyDescent="0.25">
      <c r="I1315" s="131"/>
      <c r="J1315" s="131"/>
      <c r="K1315" s="131"/>
      <c r="L1315" s="131"/>
      <c r="U1315" s="131"/>
      <c r="V1315" s="131"/>
      <c r="W1315" s="131"/>
      <c r="X1315" s="131"/>
    </row>
    <row r="1316" spans="9:24" x14ac:dyDescent="0.25">
      <c r="I1316" s="131"/>
      <c r="J1316" s="131"/>
      <c r="K1316" s="131"/>
      <c r="L1316" s="131"/>
      <c r="U1316" s="131"/>
      <c r="V1316" s="131"/>
      <c r="W1316" s="131"/>
      <c r="X1316" s="131"/>
    </row>
    <row r="1317" spans="9:24" x14ac:dyDescent="0.25">
      <c r="I1317" s="131"/>
      <c r="J1317" s="131"/>
      <c r="K1317" s="131"/>
      <c r="L1317" s="131"/>
      <c r="U1317" s="131"/>
      <c r="V1317" s="131"/>
      <c r="W1317" s="131"/>
      <c r="X1317" s="131"/>
    </row>
    <row r="1318" spans="9:24" x14ac:dyDescent="0.25">
      <c r="I1318" s="131"/>
      <c r="J1318" s="131"/>
      <c r="K1318" s="131"/>
      <c r="L1318" s="131"/>
      <c r="U1318" s="131"/>
      <c r="V1318" s="131"/>
      <c r="W1318" s="131"/>
      <c r="X1318" s="131"/>
    </row>
    <row r="1319" spans="9:24" x14ac:dyDescent="0.25">
      <c r="I1319" s="131"/>
      <c r="J1319" s="131"/>
      <c r="K1319" s="131"/>
      <c r="L1319" s="131"/>
      <c r="U1319" s="131"/>
      <c r="V1319" s="131"/>
      <c r="W1319" s="131"/>
      <c r="X1319" s="131"/>
    </row>
    <row r="1320" spans="9:24" x14ac:dyDescent="0.25">
      <c r="I1320" s="131"/>
      <c r="J1320" s="131"/>
      <c r="K1320" s="131"/>
      <c r="L1320" s="131"/>
      <c r="U1320" s="131"/>
      <c r="V1320" s="131"/>
      <c r="W1320" s="131"/>
      <c r="X1320" s="131"/>
    </row>
    <row r="1321" spans="9:24" x14ac:dyDescent="0.25">
      <c r="I1321" s="131"/>
      <c r="J1321" s="131"/>
      <c r="K1321" s="131"/>
      <c r="L1321" s="131"/>
      <c r="U1321" s="131"/>
      <c r="V1321" s="131"/>
      <c r="W1321" s="131"/>
      <c r="X1321" s="131"/>
    </row>
    <row r="1322" spans="9:24" x14ac:dyDescent="0.25">
      <c r="I1322" s="131"/>
      <c r="J1322" s="131"/>
      <c r="K1322" s="131"/>
      <c r="L1322" s="131"/>
      <c r="U1322" s="131"/>
      <c r="V1322" s="131"/>
      <c r="W1322" s="131"/>
      <c r="X1322" s="131"/>
    </row>
    <row r="1323" spans="9:24" x14ac:dyDescent="0.25">
      <c r="I1323" s="131"/>
      <c r="J1323" s="131"/>
      <c r="K1323" s="131"/>
      <c r="L1323" s="131"/>
      <c r="U1323" s="131"/>
      <c r="V1323" s="131"/>
      <c r="W1323" s="131"/>
      <c r="X1323" s="131"/>
    </row>
    <row r="1324" spans="9:24" x14ac:dyDescent="0.25">
      <c r="I1324" s="131"/>
      <c r="J1324" s="131"/>
      <c r="K1324" s="131"/>
      <c r="L1324" s="131"/>
      <c r="U1324" s="131"/>
      <c r="V1324" s="131"/>
      <c r="W1324" s="131"/>
      <c r="X1324" s="131"/>
    </row>
    <row r="1325" spans="9:24" x14ac:dyDescent="0.25">
      <c r="I1325" s="131"/>
      <c r="J1325" s="131"/>
      <c r="K1325" s="131"/>
      <c r="L1325" s="131"/>
      <c r="U1325" s="131"/>
      <c r="V1325" s="131"/>
      <c r="W1325" s="131"/>
      <c r="X1325" s="131"/>
    </row>
    <row r="1326" spans="9:24" x14ac:dyDescent="0.25">
      <c r="I1326" s="131"/>
      <c r="J1326" s="131"/>
      <c r="K1326" s="131"/>
      <c r="L1326" s="131"/>
      <c r="U1326" s="131"/>
      <c r="V1326" s="131"/>
      <c r="W1326" s="131"/>
      <c r="X1326" s="131"/>
    </row>
    <row r="1327" spans="9:24" x14ac:dyDescent="0.25">
      <c r="I1327" s="131"/>
      <c r="J1327" s="131"/>
      <c r="K1327" s="131"/>
      <c r="L1327" s="131"/>
      <c r="U1327" s="131"/>
      <c r="V1327" s="131"/>
      <c r="W1327" s="131"/>
      <c r="X1327" s="131"/>
    </row>
    <row r="1328" spans="9:24" x14ac:dyDescent="0.25">
      <c r="I1328" s="131"/>
      <c r="J1328" s="131"/>
      <c r="K1328" s="131"/>
      <c r="L1328" s="131"/>
      <c r="U1328" s="131"/>
      <c r="V1328" s="131"/>
      <c r="W1328" s="131"/>
      <c r="X1328" s="131"/>
    </row>
    <row r="1329" spans="9:24" x14ac:dyDescent="0.25">
      <c r="I1329" s="131"/>
      <c r="J1329" s="131"/>
      <c r="K1329" s="131"/>
      <c r="L1329" s="131"/>
      <c r="U1329" s="131"/>
      <c r="V1329" s="131"/>
      <c r="W1329" s="131"/>
      <c r="X1329" s="131"/>
    </row>
    <row r="1330" spans="9:24" x14ac:dyDescent="0.25">
      <c r="I1330" s="131"/>
      <c r="J1330" s="131"/>
      <c r="K1330" s="131"/>
      <c r="L1330" s="131"/>
      <c r="U1330" s="131"/>
      <c r="V1330" s="131"/>
      <c r="W1330" s="131"/>
      <c r="X1330" s="131"/>
    </row>
    <row r="1331" spans="9:24" x14ac:dyDescent="0.25">
      <c r="I1331" s="131"/>
      <c r="J1331" s="131"/>
      <c r="K1331" s="131"/>
      <c r="L1331" s="131"/>
      <c r="U1331" s="131"/>
      <c r="V1331" s="131"/>
      <c r="W1331" s="131"/>
      <c r="X1331" s="131"/>
    </row>
    <row r="1332" spans="9:24" x14ac:dyDescent="0.25">
      <c r="I1332" s="131"/>
      <c r="J1332" s="131"/>
      <c r="K1332" s="131"/>
      <c r="L1332" s="131"/>
      <c r="U1332" s="131"/>
      <c r="V1332" s="131"/>
      <c r="W1332" s="131"/>
      <c r="X1332" s="131"/>
    </row>
    <row r="1333" spans="9:24" x14ac:dyDescent="0.25">
      <c r="I1333" s="131"/>
      <c r="J1333" s="131"/>
      <c r="K1333" s="131"/>
      <c r="L1333" s="131"/>
      <c r="U1333" s="131"/>
      <c r="V1333" s="131"/>
      <c r="W1333" s="131"/>
      <c r="X1333" s="131"/>
    </row>
    <row r="1334" spans="9:24" x14ac:dyDescent="0.25">
      <c r="I1334" s="131"/>
      <c r="J1334" s="131"/>
      <c r="K1334" s="131"/>
      <c r="L1334" s="131"/>
      <c r="U1334" s="131"/>
      <c r="V1334" s="131"/>
      <c r="W1334" s="131"/>
      <c r="X1334" s="131"/>
    </row>
    <row r="1335" spans="9:24" x14ac:dyDescent="0.25">
      <c r="I1335" s="131"/>
      <c r="J1335" s="131"/>
      <c r="K1335" s="131"/>
      <c r="L1335" s="131"/>
      <c r="U1335" s="131"/>
      <c r="V1335" s="131"/>
      <c r="W1335" s="131"/>
      <c r="X1335" s="131"/>
    </row>
    <row r="1336" spans="9:24" x14ac:dyDescent="0.25">
      <c r="I1336" s="131"/>
      <c r="J1336" s="131"/>
      <c r="K1336" s="131"/>
      <c r="L1336" s="131"/>
      <c r="U1336" s="131"/>
      <c r="V1336" s="131"/>
      <c r="W1336" s="131"/>
      <c r="X1336" s="131"/>
    </row>
    <row r="1337" spans="9:24" x14ac:dyDescent="0.25">
      <c r="I1337" s="131"/>
      <c r="J1337" s="131"/>
      <c r="K1337" s="131"/>
      <c r="L1337" s="131"/>
      <c r="U1337" s="131"/>
      <c r="V1337" s="131"/>
      <c r="W1337" s="131"/>
      <c r="X1337" s="131"/>
    </row>
    <row r="1338" spans="9:24" x14ac:dyDescent="0.25">
      <c r="I1338" s="131"/>
      <c r="J1338" s="131"/>
      <c r="K1338" s="131"/>
      <c r="L1338" s="131"/>
      <c r="U1338" s="131"/>
      <c r="V1338" s="131"/>
      <c r="W1338" s="131"/>
      <c r="X1338" s="131"/>
    </row>
    <row r="1339" spans="9:24" x14ac:dyDescent="0.25">
      <c r="I1339" s="131"/>
      <c r="J1339" s="131"/>
      <c r="K1339" s="131"/>
      <c r="L1339" s="131"/>
      <c r="U1339" s="131"/>
      <c r="V1339" s="131"/>
      <c r="W1339" s="131"/>
      <c r="X1339" s="131"/>
    </row>
    <row r="1340" spans="9:24" x14ac:dyDescent="0.25">
      <c r="I1340" s="131"/>
      <c r="J1340" s="131"/>
      <c r="K1340" s="131"/>
      <c r="L1340" s="131"/>
      <c r="U1340" s="131"/>
      <c r="V1340" s="131"/>
      <c r="W1340" s="131"/>
      <c r="X1340" s="131"/>
    </row>
    <row r="1341" spans="9:24" x14ac:dyDescent="0.25">
      <c r="I1341" s="131"/>
      <c r="J1341" s="131"/>
      <c r="K1341" s="131"/>
      <c r="L1341" s="131"/>
      <c r="U1341" s="131"/>
      <c r="V1341" s="131"/>
      <c r="W1341" s="131"/>
      <c r="X1341" s="131"/>
    </row>
    <row r="1342" spans="9:24" x14ac:dyDescent="0.25">
      <c r="I1342" s="131"/>
      <c r="J1342" s="131"/>
      <c r="K1342" s="131"/>
      <c r="L1342" s="131"/>
      <c r="U1342" s="131"/>
      <c r="V1342" s="131"/>
      <c r="W1342" s="131"/>
      <c r="X1342" s="131"/>
    </row>
    <row r="1343" spans="9:24" x14ac:dyDescent="0.25">
      <c r="I1343" s="131"/>
      <c r="J1343" s="131"/>
      <c r="K1343" s="131"/>
      <c r="L1343" s="131"/>
      <c r="U1343" s="131"/>
      <c r="V1343" s="131"/>
      <c r="W1343" s="131"/>
      <c r="X1343" s="131"/>
    </row>
    <row r="1344" spans="9:24" x14ac:dyDescent="0.25">
      <c r="I1344" s="131"/>
      <c r="J1344" s="131"/>
      <c r="K1344" s="131"/>
      <c r="L1344" s="131"/>
      <c r="U1344" s="131"/>
      <c r="V1344" s="131"/>
      <c r="W1344" s="131"/>
      <c r="X1344" s="131"/>
    </row>
    <row r="1345" spans="9:24" x14ac:dyDescent="0.25">
      <c r="I1345" s="131"/>
      <c r="J1345" s="131"/>
      <c r="K1345" s="131"/>
      <c r="L1345" s="131"/>
      <c r="U1345" s="131"/>
      <c r="V1345" s="131"/>
      <c r="W1345" s="131"/>
      <c r="X1345" s="131"/>
    </row>
    <row r="1346" spans="9:24" x14ac:dyDescent="0.25">
      <c r="I1346" s="131"/>
      <c r="J1346" s="131"/>
      <c r="K1346" s="131"/>
      <c r="L1346" s="131"/>
      <c r="U1346" s="131"/>
      <c r="V1346" s="131"/>
      <c r="W1346" s="131"/>
      <c r="X1346" s="131"/>
    </row>
    <row r="1347" spans="9:24" x14ac:dyDescent="0.25">
      <c r="I1347" s="131"/>
      <c r="J1347" s="131"/>
      <c r="K1347" s="131"/>
      <c r="L1347" s="131"/>
      <c r="U1347" s="131"/>
      <c r="V1347" s="131"/>
      <c r="W1347" s="131"/>
      <c r="X1347" s="131"/>
    </row>
    <row r="1348" spans="9:24" x14ac:dyDescent="0.25">
      <c r="I1348" s="131"/>
      <c r="J1348" s="131"/>
      <c r="K1348" s="131"/>
      <c r="L1348" s="131"/>
      <c r="U1348" s="131"/>
      <c r="V1348" s="131"/>
      <c r="W1348" s="131"/>
      <c r="X1348" s="131"/>
    </row>
    <row r="1349" spans="9:24" x14ac:dyDescent="0.25">
      <c r="I1349" s="131"/>
      <c r="J1349" s="131"/>
      <c r="K1349" s="131"/>
      <c r="L1349" s="131"/>
      <c r="U1349" s="131"/>
      <c r="V1349" s="131"/>
      <c r="W1349" s="131"/>
      <c r="X1349" s="131"/>
    </row>
    <row r="1350" spans="9:24" x14ac:dyDescent="0.25">
      <c r="I1350" s="131"/>
      <c r="J1350" s="131"/>
      <c r="K1350" s="131"/>
      <c r="L1350" s="131"/>
      <c r="U1350" s="131"/>
      <c r="V1350" s="131"/>
      <c r="W1350" s="131"/>
      <c r="X1350" s="131"/>
    </row>
    <row r="1351" spans="9:24" x14ac:dyDescent="0.25">
      <c r="I1351" s="131"/>
      <c r="J1351" s="131"/>
      <c r="K1351" s="131"/>
      <c r="L1351" s="131"/>
      <c r="U1351" s="131"/>
      <c r="V1351" s="131"/>
      <c r="W1351" s="131"/>
      <c r="X1351" s="131"/>
    </row>
    <row r="1352" spans="9:24" x14ac:dyDescent="0.25">
      <c r="I1352" s="131"/>
      <c r="J1352" s="131"/>
      <c r="K1352" s="131"/>
      <c r="L1352" s="131"/>
      <c r="U1352" s="131"/>
      <c r="V1352" s="131"/>
      <c r="W1352" s="131"/>
      <c r="X1352" s="131"/>
    </row>
    <row r="1353" spans="9:24" x14ac:dyDescent="0.25">
      <c r="I1353" s="131"/>
      <c r="J1353" s="131"/>
      <c r="K1353" s="131"/>
      <c r="L1353" s="131"/>
      <c r="U1353" s="131"/>
      <c r="V1353" s="131"/>
      <c r="W1353" s="131"/>
      <c r="X1353" s="131"/>
    </row>
    <row r="1354" spans="9:24" x14ac:dyDescent="0.25">
      <c r="I1354" s="131"/>
      <c r="J1354" s="131"/>
      <c r="K1354" s="131"/>
      <c r="L1354" s="131"/>
      <c r="U1354" s="131"/>
      <c r="V1354" s="131"/>
      <c r="W1354" s="131"/>
      <c r="X1354" s="131"/>
    </row>
    <row r="1355" spans="9:24" x14ac:dyDescent="0.25">
      <c r="I1355" s="131"/>
      <c r="J1355" s="131"/>
      <c r="K1355" s="131"/>
      <c r="L1355" s="131"/>
      <c r="U1355" s="131"/>
      <c r="V1355" s="131"/>
      <c r="W1355" s="131"/>
      <c r="X1355" s="131"/>
    </row>
    <row r="1356" spans="9:24" x14ac:dyDescent="0.25">
      <c r="I1356" s="131"/>
      <c r="J1356" s="131"/>
      <c r="K1356" s="131"/>
      <c r="L1356" s="131"/>
      <c r="U1356" s="131"/>
      <c r="V1356" s="131"/>
      <c r="W1356" s="131"/>
      <c r="X1356" s="131"/>
    </row>
    <row r="1357" spans="9:24" x14ac:dyDescent="0.25">
      <c r="I1357" s="131"/>
      <c r="J1357" s="131"/>
      <c r="K1357" s="131"/>
      <c r="L1357" s="131"/>
      <c r="U1357" s="131"/>
      <c r="V1357" s="131"/>
      <c r="W1357" s="131"/>
      <c r="X1357" s="131"/>
    </row>
    <row r="1358" spans="9:24" x14ac:dyDescent="0.25">
      <c r="I1358" s="131"/>
      <c r="J1358" s="131"/>
      <c r="K1358" s="131"/>
      <c r="L1358" s="131"/>
      <c r="U1358" s="131"/>
      <c r="V1358" s="131"/>
      <c r="W1358" s="131"/>
      <c r="X1358" s="131"/>
    </row>
    <row r="1359" spans="9:24" x14ac:dyDescent="0.25">
      <c r="I1359" s="131"/>
      <c r="J1359" s="131"/>
      <c r="K1359" s="131"/>
      <c r="L1359" s="131"/>
      <c r="U1359" s="131"/>
      <c r="V1359" s="131"/>
      <c r="W1359" s="131"/>
      <c r="X1359" s="131"/>
    </row>
    <row r="1360" spans="9:24" x14ac:dyDescent="0.25">
      <c r="I1360" s="131"/>
      <c r="J1360" s="131"/>
      <c r="K1360" s="131"/>
      <c r="L1360" s="131"/>
      <c r="U1360" s="131"/>
      <c r="V1360" s="131"/>
      <c r="W1360" s="131"/>
      <c r="X1360" s="131"/>
    </row>
    <row r="1361" spans="9:24" x14ac:dyDescent="0.25">
      <c r="I1361" s="131"/>
      <c r="J1361" s="131"/>
      <c r="K1361" s="131"/>
      <c r="L1361" s="131"/>
      <c r="U1361" s="131"/>
      <c r="V1361" s="131"/>
      <c r="W1361" s="131"/>
      <c r="X1361" s="131"/>
    </row>
    <row r="1362" spans="9:24" x14ac:dyDescent="0.25">
      <c r="I1362" s="131"/>
      <c r="J1362" s="131"/>
      <c r="K1362" s="131"/>
      <c r="L1362" s="131"/>
      <c r="U1362" s="131"/>
      <c r="V1362" s="131"/>
      <c r="W1362" s="131"/>
      <c r="X1362" s="131"/>
    </row>
    <row r="1363" spans="9:24" x14ac:dyDescent="0.25">
      <c r="I1363" s="131"/>
      <c r="J1363" s="131"/>
      <c r="K1363" s="131"/>
      <c r="L1363" s="131"/>
      <c r="U1363" s="131"/>
      <c r="V1363" s="131"/>
      <c r="W1363" s="131"/>
      <c r="X1363" s="131"/>
    </row>
    <row r="1364" spans="9:24" x14ac:dyDescent="0.25">
      <c r="I1364" s="131"/>
      <c r="J1364" s="131"/>
      <c r="K1364" s="131"/>
      <c r="L1364" s="131"/>
      <c r="U1364" s="131"/>
      <c r="V1364" s="131"/>
      <c r="W1364" s="131"/>
      <c r="X1364" s="131"/>
    </row>
    <row r="1365" spans="9:24" x14ac:dyDescent="0.25">
      <c r="I1365" s="131"/>
      <c r="J1365" s="131"/>
      <c r="K1365" s="131"/>
      <c r="L1365" s="131"/>
      <c r="U1365" s="131"/>
      <c r="V1365" s="131"/>
      <c r="W1365" s="131"/>
      <c r="X1365" s="131"/>
    </row>
    <row r="1366" spans="9:24" x14ac:dyDescent="0.25">
      <c r="I1366" s="131"/>
      <c r="J1366" s="131"/>
      <c r="K1366" s="131"/>
      <c r="L1366" s="131"/>
      <c r="U1366" s="131"/>
      <c r="V1366" s="131"/>
      <c r="W1366" s="131"/>
      <c r="X1366" s="131"/>
    </row>
    <row r="1367" spans="9:24" x14ac:dyDescent="0.25">
      <c r="I1367" s="131"/>
      <c r="J1367" s="131"/>
      <c r="K1367" s="131"/>
      <c r="L1367" s="131"/>
      <c r="U1367" s="131"/>
      <c r="V1367" s="131"/>
      <c r="W1367" s="131"/>
      <c r="X1367" s="131"/>
    </row>
    <row r="1368" spans="9:24" x14ac:dyDescent="0.25">
      <c r="I1368" s="131"/>
      <c r="J1368" s="131"/>
      <c r="K1368" s="131"/>
      <c r="L1368" s="131"/>
      <c r="U1368" s="131"/>
      <c r="V1368" s="131"/>
      <c r="W1368" s="131"/>
      <c r="X1368" s="131"/>
    </row>
    <row r="1369" spans="9:24" x14ac:dyDescent="0.25">
      <c r="I1369" s="131"/>
      <c r="J1369" s="131"/>
      <c r="K1369" s="131"/>
      <c r="L1369" s="131"/>
      <c r="U1369" s="131"/>
      <c r="V1369" s="131"/>
      <c r="W1369" s="131"/>
      <c r="X1369" s="131"/>
    </row>
    <row r="1370" spans="9:24" x14ac:dyDescent="0.25">
      <c r="I1370" s="131"/>
      <c r="J1370" s="131"/>
      <c r="K1370" s="131"/>
      <c r="L1370" s="131"/>
      <c r="U1370" s="131"/>
      <c r="V1370" s="131"/>
      <c r="W1370" s="131"/>
      <c r="X1370" s="131"/>
    </row>
    <row r="1371" spans="9:24" x14ac:dyDescent="0.25">
      <c r="I1371" s="131"/>
      <c r="J1371" s="131"/>
      <c r="K1371" s="131"/>
      <c r="L1371" s="131"/>
      <c r="U1371" s="131"/>
      <c r="V1371" s="131"/>
      <c r="W1371" s="131"/>
      <c r="X1371" s="131"/>
    </row>
    <row r="1372" spans="9:24" x14ac:dyDescent="0.25">
      <c r="I1372" s="131"/>
      <c r="J1372" s="131"/>
      <c r="K1372" s="131"/>
      <c r="L1372" s="131"/>
      <c r="U1372" s="131"/>
      <c r="V1372" s="131"/>
      <c r="W1372" s="131"/>
      <c r="X1372" s="131"/>
    </row>
    <row r="1373" spans="9:24" x14ac:dyDescent="0.25">
      <c r="I1373" s="131"/>
      <c r="J1373" s="131"/>
      <c r="K1373" s="131"/>
      <c r="L1373" s="131"/>
      <c r="U1373" s="131"/>
      <c r="V1373" s="131"/>
      <c r="W1373" s="131"/>
      <c r="X1373" s="131"/>
    </row>
    <row r="1374" spans="9:24" x14ac:dyDescent="0.25">
      <c r="I1374" s="131"/>
      <c r="J1374" s="131"/>
      <c r="K1374" s="131"/>
      <c r="L1374" s="131"/>
      <c r="U1374" s="131"/>
      <c r="V1374" s="131"/>
      <c r="W1374" s="131"/>
      <c r="X1374" s="131"/>
    </row>
    <row r="1375" spans="9:24" x14ac:dyDescent="0.25">
      <c r="I1375" s="131"/>
      <c r="J1375" s="131"/>
      <c r="K1375" s="131"/>
      <c r="L1375" s="131"/>
      <c r="U1375" s="131"/>
      <c r="V1375" s="131"/>
      <c r="W1375" s="131"/>
      <c r="X1375" s="131"/>
    </row>
    <row r="1376" spans="9:24" x14ac:dyDescent="0.25">
      <c r="I1376" s="131"/>
      <c r="J1376" s="131"/>
      <c r="K1376" s="131"/>
      <c r="L1376" s="131"/>
      <c r="U1376" s="131"/>
      <c r="V1376" s="131"/>
      <c r="W1376" s="131"/>
      <c r="X1376" s="131"/>
    </row>
    <row r="1377" spans="9:24" x14ac:dyDescent="0.25">
      <c r="I1377" s="131"/>
      <c r="J1377" s="131"/>
      <c r="K1377" s="131"/>
      <c r="L1377" s="131"/>
      <c r="U1377" s="131"/>
      <c r="V1377" s="131"/>
      <c r="W1377" s="131"/>
      <c r="X1377" s="131"/>
    </row>
    <row r="1378" spans="9:24" x14ac:dyDescent="0.25">
      <c r="I1378" s="131"/>
      <c r="J1378" s="131"/>
      <c r="K1378" s="131"/>
      <c r="L1378" s="131"/>
      <c r="U1378" s="131"/>
      <c r="V1378" s="131"/>
      <c r="W1378" s="131"/>
      <c r="X1378" s="131"/>
    </row>
    <row r="1379" spans="9:24" x14ac:dyDescent="0.25">
      <c r="I1379" s="131"/>
      <c r="J1379" s="131"/>
      <c r="K1379" s="131"/>
      <c r="L1379" s="131"/>
      <c r="U1379" s="131"/>
      <c r="V1379" s="131"/>
      <c r="W1379" s="131"/>
      <c r="X1379" s="131"/>
    </row>
    <row r="1380" spans="9:24" x14ac:dyDescent="0.25">
      <c r="I1380" s="131"/>
      <c r="J1380" s="131"/>
      <c r="K1380" s="131"/>
      <c r="L1380" s="131"/>
      <c r="U1380" s="131"/>
      <c r="V1380" s="131"/>
      <c r="W1380" s="131"/>
      <c r="X1380" s="131"/>
    </row>
    <row r="1381" spans="9:24" x14ac:dyDescent="0.25">
      <c r="I1381" s="131"/>
      <c r="J1381" s="131"/>
      <c r="K1381" s="131"/>
      <c r="L1381" s="131"/>
      <c r="U1381" s="131"/>
      <c r="V1381" s="131"/>
      <c r="W1381" s="131"/>
      <c r="X1381" s="131"/>
    </row>
    <row r="1382" spans="9:24" x14ac:dyDescent="0.25">
      <c r="I1382" s="131"/>
      <c r="J1382" s="131"/>
      <c r="K1382" s="131"/>
      <c r="L1382" s="131"/>
      <c r="U1382" s="131"/>
      <c r="V1382" s="131"/>
      <c r="W1382" s="131"/>
      <c r="X1382" s="131"/>
    </row>
    <row r="1383" spans="9:24" x14ac:dyDescent="0.25">
      <c r="I1383" s="131"/>
      <c r="J1383" s="131"/>
      <c r="K1383" s="131"/>
      <c r="L1383" s="131"/>
      <c r="U1383" s="131"/>
      <c r="V1383" s="131"/>
      <c r="W1383" s="131"/>
      <c r="X1383" s="131"/>
    </row>
    <row r="1384" spans="9:24" x14ac:dyDescent="0.25">
      <c r="I1384" s="131"/>
      <c r="J1384" s="131"/>
      <c r="K1384" s="131"/>
      <c r="L1384" s="131"/>
      <c r="U1384" s="131"/>
      <c r="V1384" s="131"/>
      <c r="W1384" s="131"/>
      <c r="X1384" s="131"/>
    </row>
    <row r="1385" spans="9:24" x14ac:dyDescent="0.25">
      <c r="I1385" s="131"/>
      <c r="J1385" s="131"/>
      <c r="K1385" s="131"/>
      <c r="L1385" s="131"/>
      <c r="U1385" s="131"/>
      <c r="V1385" s="131"/>
      <c r="W1385" s="131"/>
      <c r="X1385" s="131"/>
    </row>
    <row r="1386" spans="9:24" x14ac:dyDescent="0.25">
      <c r="I1386" s="131"/>
      <c r="J1386" s="131"/>
      <c r="K1386" s="131"/>
      <c r="L1386" s="131"/>
      <c r="U1386" s="131"/>
      <c r="V1386" s="131"/>
      <c r="W1386" s="131"/>
      <c r="X1386" s="131"/>
    </row>
    <row r="1387" spans="9:24" x14ac:dyDescent="0.25">
      <c r="I1387" s="131"/>
      <c r="J1387" s="131"/>
      <c r="K1387" s="131"/>
      <c r="L1387" s="131"/>
      <c r="U1387" s="131"/>
      <c r="V1387" s="131"/>
      <c r="W1387" s="131"/>
      <c r="X1387" s="131"/>
    </row>
    <row r="1388" spans="9:24" x14ac:dyDescent="0.25">
      <c r="I1388" s="131"/>
      <c r="J1388" s="131"/>
      <c r="K1388" s="131"/>
      <c r="L1388" s="131"/>
      <c r="U1388" s="131"/>
      <c r="V1388" s="131"/>
      <c r="W1388" s="131"/>
      <c r="X1388" s="131"/>
    </row>
    <row r="1389" spans="9:24" x14ac:dyDescent="0.25">
      <c r="I1389" s="131"/>
      <c r="J1389" s="131"/>
      <c r="K1389" s="131"/>
      <c r="L1389" s="131"/>
      <c r="U1389" s="131"/>
      <c r="V1389" s="131"/>
      <c r="W1389" s="131"/>
      <c r="X1389" s="131"/>
    </row>
    <row r="1390" spans="9:24" x14ac:dyDescent="0.25">
      <c r="I1390" s="131"/>
      <c r="J1390" s="131"/>
      <c r="K1390" s="131"/>
      <c r="L1390" s="131"/>
      <c r="U1390" s="131"/>
      <c r="V1390" s="131"/>
      <c r="W1390" s="131"/>
      <c r="X1390" s="131"/>
    </row>
    <row r="1391" spans="9:24" x14ac:dyDescent="0.25">
      <c r="I1391" s="131"/>
      <c r="J1391" s="131"/>
      <c r="K1391" s="131"/>
      <c r="L1391" s="131"/>
      <c r="U1391" s="131"/>
      <c r="V1391" s="131"/>
      <c r="W1391" s="131"/>
      <c r="X1391" s="131"/>
    </row>
    <row r="1392" spans="9:24" x14ac:dyDescent="0.25">
      <c r="I1392" s="131"/>
      <c r="J1392" s="131"/>
      <c r="K1392" s="131"/>
      <c r="L1392" s="131"/>
      <c r="U1392" s="131"/>
      <c r="V1392" s="131"/>
      <c r="W1392" s="131"/>
      <c r="X1392" s="131"/>
    </row>
    <row r="1393" spans="9:24" x14ac:dyDescent="0.25">
      <c r="I1393" s="131"/>
      <c r="J1393" s="131"/>
      <c r="K1393" s="131"/>
      <c r="L1393" s="131"/>
      <c r="U1393" s="131"/>
      <c r="V1393" s="131"/>
      <c r="W1393" s="131"/>
      <c r="X1393" s="131"/>
    </row>
    <row r="1394" spans="9:24" x14ac:dyDescent="0.25">
      <c r="I1394" s="131"/>
      <c r="J1394" s="131"/>
      <c r="K1394" s="131"/>
      <c r="L1394" s="131"/>
      <c r="U1394" s="131"/>
      <c r="V1394" s="131"/>
      <c r="W1394" s="131"/>
      <c r="X1394" s="131"/>
    </row>
    <row r="1395" spans="9:24" x14ac:dyDescent="0.25">
      <c r="I1395" s="131"/>
      <c r="J1395" s="131"/>
      <c r="K1395" s="131"/>
      <c r="L1395" s="131"/>
      <c r="U1395" s="131"/>
      <c r="V1395" s="131"/>
      <c r="W1395" s="131"/>
      <c r="X1395" s="131"/>
    </row>
    <row r="1396" spans="9:24" x14ac:dyDescent="0.25">
      <c r="I1396" s="131"/>
      <c r="J1396" s="131"/>
      <c r="K1396" s="131"/>
      <c r="L1396" s="131"/>
      <c r="U1396" s="131"/>
      <c r="V1396" s="131"/>
      <c r="W1396" s="131"/>
      <c r="X1396" s="131"/>
    </row>
    <row r="1397" spans="9:24" x14ac:dyDescent="0.25">
      <c r="I1397" s="131"/>
      <c r="J1397" s="131"/>
      <c r="K1397" s="131"/>
      <c r="L1397" s="131"/>
      <c r="U1397" s="131"/>
      <c r="V1397" s="131"/>
      <c r="W1397" s="131"/>
      <c r="X1397" s="131"/>
    </row>
    <row r="1398" spans="9:24" x14ac:dyDescent="0.25">
      <c r="I1398" s="131"/>
      <c r="J1398" s="131"/>
      <c r="K1398" s="131"/>
      <c r="L1398" s="131"/>
      <c r="U1398" s="131"/>
      <c r="V1398" s="131"/>
      <c r="W1398" s="131"/>
      <c r="X1398" s="131"/>
    </row>
    <row r="1399" spans="9:24" x14ac:dyDescent="0.25">
      <c r="I1399" s="131"/>
      <c r="J1399" s="131"/>
      <c r="K1399" s="131"/>
      <c r="L1399" s="131"/>
      <c r="U1399" s="131"/>
      <c r="V1399" s="131"/>
      <c r="W1399" s="131"/>
      <c r="X1399" s="131"/>
    </row>
    <row r="1400" spans="9:24" x14ac:dyDescent="0.25">
      <c r="I1400" s="131"/>
      <c r="J1400" s="131"/>
      <c r="K1400" s="131"/>
      <c r="L1400" s="131"/>
      <c r="U1400" s="131"/>
      <c r="V1400" s="131"/>
      <c r="W1400" s="131"/>
      <c r="X1400" s="131"/>
    </row>
    <row r="1401" spans="9:24" x14ac:dyDescent="0.25">
      <c r="I1401" s="131"/>
      <c r="J1401" s="131"/>
      <c r="K1401" s="131"/>
      <c r="L1401" s="131"/>
      <c r="U1401" s="131"/>
      <c r="V1401" s="131"/>
      <c r="W1401" s="131"/>
      <c r="X1401" s="131"/>
    </row>
    <row r="1402" spans="9:24" x14ac:dyDescent="0.25">
      <c r="I1402" s="131"/>
      <c r="J1402" s="131"/>
      <c r="K1402" s="131"/>
      <c r="L1402" s="131"/>
      <c r="U1402" s="131"/>
      <c r="V1402" s="131"/>
      <c r="W1402" s="131"/>
      <c r="X1402" s="131"/>
    </row>
    <row r="1403" spans="9:24" x14ac:dyDescent="0.25">
      <c r="I1403" s="131"/>
      <c r="J1403" s="131"/>
      <c r="K1403" s="131"/>
      <c r="L1403" s="131"/>
      <c r="U1403" s="131"/>
      <c r="V1403" s="131"/>
      <c r="W1403" s="131"/>
      <c r="X1403" s="131"/>
    </row>
    <row r="1404" spans="9:24" x14ac:dyDescent="0.25">
      <c r="I1404" s="131"/>
      <c r="J1404" s="131"/>
      <c r="K1404" s="131"/>
      <c r="L1404" s="131"/>
      <c r="U1404" s="131"/>
      <c r="V1404" s="131"/>
      <c r="W1404" s="131"/>
      <c r="X1404" s="131"/>
    </row>
    <row r="1405" spans="9:24" x14ac:dyDescent="0.25">
      <c r="I1405" s="131"/>
      <c r="J1405" s="131"/>
      <c r="K1405" s="131"/>
      <c r="L1405" s="131"/>
      <c r="U1405" s="131"/>
      <c r="V1405" s="131"/>
      <c r="W1405" s="131"/>
      <c r="X1405" s="131"/>
    </row>
    <row r="1406" spans="9:24" x14ac:dyDescent="0.25">
      <c r="I1406" s="131"/>
      <c r="J1406" s="131"/>
      <c r="K1406" s="131"/>
      <c r="L1406" s="131"/>
      <c r="U1406" s="131"/>
      <c r="V1406" s="131"/>
      <c r="W1406" s="131"/>
      <c r="X1406" s="131"/>
    </row>
    <row r="1407" spans="9:24" x14ac:dyDescent="0.25">
      <c r="I1407" s="131"/>
      <c r="J1407" s="131"/>
      <c r="K1407" s="131"/>
      <c r="L1407" s="131"/>
      <c r="U1407" s="131"/>
      <c r="V1407" s="131"/>
      <c r="W1407" s="131"/>
      <c r="X1407" s="131"/>
    </row>
    <row r="1408" spans="9:24" x14ac:dyDescent="0.25">
      <c r="I1408" s="131"/>
      <c r="J1408" s="131"/>
      <c r="K1408" s="131"/>
      <c r="L1408" s="131"/>
      <c r="U1408" s="131"/>
      <c r="V1408" s="131"/>
      <c r="W1408" s="131"/>
      <c r="X1408" s="131"/>
    </row>
    <row r="1409" spans="9:24" x14ac:dyDescent="0.25">
      <c r="I1409" s="131"/>
      <c r="J1409" s="131"/>
      <c r="K1409" s="131"/>
      <c r="L1409" s="131"/>
      <c r="U1409" s="131"/>
      <c r="V1409" s="131"/>
      <c r="W1409" s="131"/>
      <c r="X1409" s="131"/>
    </row>
    <row r="1410" spans="9:24" x14ac:dyDescent="0.25">
      <c r="I1410" s="131"/>
      <c r="J1410" s="131"/>
      <c r="K1410" s="131"/>
      <c r="L1410" s="131"/>
      <c r="U1410" s="131"/>
      <c r="V1410" s="131"/>
      <c r="W1410" s="131"/>
      <c r="X1410" s="131"/>
    </row>
    <row r="1411" spans="9:24" x14ac:dyDescent="0.25">
      <c r="I1411" s="131"/>
      <c r="J1411" s="131"/>
      <c r="K1411" s="131"/>
      <c r="L1411" s="131"/>
      <c r="U1411" s="131"/>
      <c r="V1411" s="131"/>
      <c r="W1411" s="131"/>
      <c r="X1411" s="131"/>
    </row>
    <row r="1412" spans="9:24" x14ac:dyDescent="0.25">
      <c r="I1412" s="131"/>
      <c r="J1412" s="131"/>
      <c r="K1412" s="131"/>
      <c r="L1412" s="131"/>
      <c r="U1412" s="131"/>
      <c r="V1412" s="131"/>
      <c r="W1412" s="131"/>
      <c r="X1412" s="131"/>
    </row>
    <row r="1413" spans="9:24" x14ac:dyDescent="0.25">
      <c r="I1413" s="131"/>
      <c r="J1413" s="131"/>
      <c r="K1413" s="131"/>
      <c r="L1413" s="131"/>
      <c r="U1413" s="131"/>
      <c r="V1413" s="131"/>
      <c r="W1413" s="131"/>
      <c r="X1413" s="131"/>
    </row>
    <row r="1414" spans="9:24" x14ac:dyDescent="0.25">
      <c r="I1414" s="131"/>
      <c r="J1414" s="131"/>
      <c r="K1414" s="131"/>
      <c r="L1414" s="131"/>
      <c r="U1414" s="131"/>
      <c r="V1414" s="131"/>
      <c r="W1414" s="131"/>
      <c r="X1414" s="131"/>
    </row>
    <row r="1415" spans="9:24" x14ac:dyDescent="0.25">
      <c r="I1415" s="131"/>
      <c r="J1415" s="131"/>
      <c r="K1415" s="131"/>
      <c r="L1415" s="131"/>
      <c r="U1415" s="131"/>
      <c r="V1415" s="131"/>
      <c r="W1415" s="131"/>
      <c r="X1415" s="131"/>
    </row>
    <row r="1416" spans="9:24" x14ac:dyDescent="0.25">
      <c r="I1416" s="131"/>
      <c r="J1416" s="131"/>
      <c r="K1416" s="131"/>
      <c r="L1416" s="131"/>
      <c r="U1416" s="131"/>
      <c r="V1416" s="131"/>
      <c r="W1416" s="131"/>
      <c r="X1416" s="131"/>
    </row>
    <row r="1417" spans="9:24" x14ac:dyDescent="0.25">
      <c r="I1417" s="131"/>
      <c r="J1417" s="131"/>
      <c r="K1417" s="131"/>
      <c r="L1417" s="131"/>
      <c r="U1417" s="131"/>
      <c r="V1417" s="131"/>
      <c r="W1417" s="131"/>
      <c r="X1417" s="131"/>
    </row>
    <row r="1418" spans="9:24" x14ac:dyDescent="0.25">
      <c r="I1418" s="131"/>
      <c r="J1418" s="131"/>
      <c r="K1418" s="131"/>
      <c r="L1418" s="131"/>
      <c r="U1418" s="131"/>
      <c r="V1418" s="131"/>
      <c r="W1418" s="131"/>
      <c r="X1418" s="131"/>
    </row>
    <row r="1419" spans="9:24" x14ac:dyDescent="0.25">
      <c r="I1419" s="131"/>
      <c r="J1419" s="131"/>
      <c r="K1419" s="131"/>
      <c r="L1419" s="131"/>
      <c r="U1419" s="131"/>
      <c r="V1419" s="131"/>
      <c r="W1419" s="131"/>
      <c r="X1419" s="131"/>
    </row>
    <row r="1420" spans="9:24" x14ac:dyDescent="0.25">
      <c r="I1420" s="131"/>
      <c r="J1420" s="131"/>
      <c r="K1420" s="131"/>
      <c r="L1420" s="131"/>
      <c r="U1420" s="131"/>
      <c r="V1420" s="131"/>
      <c r="W1420" s="131"/>
      <c r="X1420" s="131"/>
    </row>
    <row r="1421" spans="9:24" x14ac:dyDescent="0.25">
      <c r="I1421" s="131"/>
      <c r="J1421" s="131"/>
      <c r="K1421" s="131"/>
      <c r="L1421" s="131"/>
      <c r="U1421" s="131"/>
      <c r="V1421" s="131"/>
      <c r="W1421" s="131"/>
      <c r="X1421" s="131"/>
    </row>
    <row r="1422" spans="9:24" x14ac:dyDescent="0.25">
      <c r="I1422" s="131"/>
      <c r="J1422" s="131"/>
      <c r="K1422" s="131"/>
      <c r="L1422" s="131"/>
      <c r="U1422" s="131"/>
      <c r="V1422" s="131"/>
      <c r="W1422" s="131"/>
      <c r="X1422" s="131"/>
    </row>
    <row r="1423" spans="9:24" x14ac:dyDescent="0.25">
      <c r="I1423" s="131"/>
      <c r="J1423" s="131"/>
      <c r="K1423" s="131"/>
      <c r="L1423" s="131"/>
      <c r="U1423" s="131"/>
      <c r="V1423" s="131"/>
      <c r="W1423" s="131"/>
      <c r="X1423" s="131"/>
    </row>
    <row r="1424" spans="9:24" x14ac:dyDescent="0.25">
      <c r="I1424" s="131"/>
      <c r="J1424" s="131"/>
      <c r="K1424" s="131"/>
      <c r="L1424" s="131"/>
      <c r="U1424" s="131"/>
      <c r="V1424" s="131"/>
      <c r="W1424" s="131"/>
      <c r="X1424" s="131"/>
    </row>
    <row r="1425" spans="9:24" x14ac:dyDescent="0.25">
      <c r="I1425" s="131"/>
      <c r="J1425" s="131"/>
      <c r="K1425" s="131"/>
      <c r="L1425" s="131"/>
      <c r="U1425" s="131"/>
      <c r="V1425" s="131"/>
      <c r="W1425" s="131"/>
      <c r="X1425" s="131"/>
    </row>
    <row r="1426" spans="9:24" x14ac:dyDescent="0.25">
      <c r="I1426" s="131"/>
      <c r="J1426" s="131"/>
      <c r="K1426" s="131"/>
      <c r="L1426" s="131"/>
      <c r="U1426" s="131"/>
      <c r="V1426" s="131"/>
      <c r="W1426" s="131"/>
      <c r="X1426" s="131"/>
    </row>
    <row r="1427" spans="9:24" x14ac:dyDescent="0.25">
      <c r="I1427" s="131"/>
      <c r="J1427" s="131"/>
      <c r="K1427" s="131"/>
      <c r="L1427" s="131"/>
      <c r="U1427" s="131"/>
      <c r="V1427" s="131"/>
      <c r="W1427" s="131"/>
      <c r="X1427" s="131"/>
    </row>
    <row r="1428" spans="9:24" x14ac:dyDescent="0.25">
      <c r="I1428" s="131"/>
      <c r="J1428" s="131"/>
      <c r="K1428" s="131"/>
      <c r="L1428" s="131"/>
      <c r="U1428" s="131"/>
      <c r="V1428" s="131"/>
      <c r="W1428" s="131"/>
      <c r="X1428" s="131"/>
    </row>
    <row r="1429" spans="9:24" x14ac:dyDescent="0.25">
      <c r="I1429" s="131"/>
      <c r="J1429" s="131"/>
      <c r="K1429" s="131"/>
      <c r="L1429" s="131"/>
      <c r="U1429" s="131"/>
      <c r="V1429" s="131"/>
      <c r="W1429" s="131"/>
      <c r="X1429" s="131"/>
    </row>
    <row r="1430" spans="9:24" x14ac:dyDescent="0.25">
      <c r="I1430" s="131"/>
      <c r="J1430" s="131"/>
      <c r="K1430" s="131"/>
      <c r="L1430" s="131"/>
      <c r="U1430" s="131"/>
      <c r="V1430" s="131"/>
      <c r="W1430" s="131"/>
      <c r="X1430" s="131"/>
    </row>
    <row r="1431" spans="9:24" x14ac:dyDescent="0.25">
      <c r="I1431" s="131"/>
      <c r="J1431" s="131"/>
      <c r="K1431" s="131"/>
      <c r="L1431" s="131"/>
      <c r="U1431" s="131"/>
      <c r="V1431" s="131"/>
      <c r="W1431" s="131"/>
      <c r="X1431" s="131"/>
    </row>
    <row r="1432" spans="9:24" x14ac:dyDescent="0.25">
      <c r="I1432" s="131"/>
      <c r="J1432" s="131"/>
      <c r="K1432" s="131"/>
      <c r="L1432" s="131"/>
      <c r="U1432" s="131"/>
      <c r="V1432" s="131"/>
      <c r="W1432" s="131"/>
      <c r="X1432" s="131"/>
    </row>
    <row r="1433" spans="9:24" x14ac:dyDescent="0.25">
      <c r="I1433" s="131"/>
      <c r="J1433" s="131"/>
      <c r="K1433" s="131"/>
      <c r="L1433" s="131"/>
      <c r="U1433" s="131"/>
      <c r="V1433" s="131"/>
      <c r="W1433" s="131"/>
      <c r="X1433" s="131"/>
    </row>
    <row r="1434" spans="9:24" x14ac:dyDescent="0.25">
      <c r="I1434" s="131"/>
      <c r="J1434" s="131"/>
      <c r="K1434" s="131"/>
      <c r="L1434" s="131"/>
      <c r="U1434" s="131"/>
      <c r="V1434" s="131"/>
      <c r="W1434" s="131"/>
      <c r="X1434" s="131"/>
    </row>
    <row r="1435" spans="9:24" x14ac:dyDescent="0.25">
      <c r="I1435" s="131"/>
      <c r="J1435" s="131"/>
      <c r="K1435" s="131"/>
      <c r="L1435" s="131"/>
      <c r="U1435" s="131"/>
      <c r="V1435" s="131"/>
      <c r="W1435" s="131"/>
      <c r="X1435" s="131"/>
    </row>
    <row r="1436" spans="9:24" x14ac:dyDescent="0.25">
      <c r="I1436" s="131"/>
      <c r="J1436" s="131"/>
      <c r="K1436" s="131"/>
      <c r="L1436" s="131"/>
      <c r="U1436" s="131"/>
      <c r="V1436" s="131"/>
      <c r="W1436" s="131"/>
      <c r="X1436" s="131"/>
    </row>
    <row r="1437" spans="9:24" x14ac:dyDescent="0.25">
      <c r="I1437" s="131"/>
      <c r="J1437" s="131"/>
      <c r="K1437" s="131"/>
      <c r="L1437" s="131"/>
      <c r="U1437" s="131"/>
      <c r="V1437" s="131"/>
      <c r="W1437" s="131"/>
      <c r="X1437" s="131"/>
    </row>
    <row r="1438" spans="9:24" x14ac:dyDescent="0.25">
      <c r="I1438" s="131"/>
      <c r="J1438" s="131"/>
      <c r="K1438" s="131"/>
      <c r="L1438" s="131"/>
      <c r="U1438" s="131"/>
      <c r="V1438" s="131"/>
      <c r="W1438" s="131"/>
      <c r="X1438" s="131"/>
    </row>
    <row r="1439" spans="9:24" x14ac:dyDescent="0.25">
      <c r="I1439" s="131"/>
      <c r="J1439" s="131"/>
      <c r="K1439" s="131"/>
      <c r="L1439" s="131"/>
      <c r="U1439" s="131"/>
      <c r="V1439" s="131"/>
      <c r="W1439" s="131"/>
      <c r="X1439" s="131"/>
    </row>
    <row r="1440" spans="9:24" x14ac:dyDescent="0.25">
      <c r="I1440" s="131"/>
      <c r="J1440" s="131"/>
      <c r="K1440" s="131"/>
      <c r="L1440" s="131"/>
      <c r="U1440" s="131"/>
      <c r="V1440" s="131"/>
      <c r="W1440" s="131"/>
      <c r="X1440" s="131"/>
    </row>
    <row r="1441" spans="9:24" x14ac:dyDescent="0.25">
      <c r="I1441" s="131"/>
      <c r="J1441" s="131"/>
      <c r="K1441" s="131"/>
      <c r="L1441" s="131"/>
      <c r="U1441" s="131"/>
      <c r="V1441" s="131"/>
      <c r="W1441" s="131"/>
      <c r="X1441" s="131"/>
    </row>
    <row r="1442" spans="9:24" x14ac:dyDescent="0.25">
      <c r="I1442" s="131"/>
      <c r="J1442" s="131"/>
      <c r="K1442" s="131"/>
      <c r="L1442" s="131"/>
      <c r="U1442" s="131"/>
      <c r="V1442" s="131"/>
      <c r="W1442" s="131"/>
      <c r="X1442" s="131"/>
    </row>
    <row r="1443" spans="9:24" x14ac:dyDescent="0.25">
      <c r="I1443" s="131"/>
      <c r="J1443" s="131"/>
      <c r="K1443" s="131"/>
      <c r="L1443" s="131"/>
      <c r="U1443" s="131"/>
      <c r="V1443" s="131"/>
      <c r="W1443" s="131"/>
      <c r="X1443" s="131"/>
    </row>
    <row r="1444" spans="9:24" x14ac:dyDescent="0.25">
      <c r="I1444" s="131"/>
      <c r="J1444" s="131"/>
      <c r="K1444" s="131"/>
      <c r="L1444" s="131"/>
      <c r="U1444" s="131"/>
      <c r="V1444" s="131"/>
      <c r="W1444" s="131"/>
      <c r="X1444" s="131"/>
    </row>
    <row r="1445" spans="9:24" x14ac:dyDescent="0.25">
      <c r="I1445" s="131"/>
      <c r="J1445" s="131"/>
      <c r="K1445" s="131"/>
      <c r="L1445" s="131"/>
      <c r="U1445" s="131"/>
      <c r="V1445" s="131"/>
      <c r="W1445" s="131"/>
      <c r="X1445" s="131"/>
    </row>
    <row r="1446" spans="9:24" x14ac:dyDescent="0.25">
      <c r="I1446" s="131"/>
      <c r="J1446" s="131"/>
      <c r="K1446" s="131"/>
      <c r="L1446" s="131"/>
      <c r="U1446" s="131"/>
      <c r="V1446" s="131"/>
      <c r="W1446" s="131"/>
      <c r="X1446" s="131"/>
    </row>
    <row r="1447" spans="9:24" x14ac:dyDescent="0.25">
      <c r="I1447" s="131"/>
      <c r="J1447" s="131"/>
      <c r="K1447" s="131"/>
      <c r="L1447" s="131"/>
      <c r="U1447" s="131"/>
      <c r="V1447" s="131"/>
      <c r="W1447" s="131"/>
      <c r="X1447" s="131"/>
    </row>
    <row r="1448" spans="9:24" x14ac:dyDescent="0.25">
      <c r="I1448" s="131"/>
      <c r="J1448" s="131"/>
      <c r="K1448" s="131"/>
      <c r="L1448" s="131"/>
      <c r="U1448" s="131"/>
      <c r="V1448" s="131"/>
      <c r="W1448" s="131"/>
      <c r="X1448" s="131"/>
    </row>
    <row r="1449" spans="9:24" x14ac:dyDescent="0.25">
      <c r="I1449" s="131"/>
      <c r="J1449" s="131"/>
      <c r="K1449" s="131"/>
      <c r="L1449" s="131"/>
      <c r="U1449" s="131"/>
      <c r="V1449" s="131"/>
      <c r="W1449" s="131"/>
      <c r="X1449" s="131"/>
    </row>
    <row r="1450" spans="9:24" x14ac:dyDescent="0.25">
      <c r="I1450" s="131"/>
      <c r="J1450" s="131"/>
      <c r="K1450" s="131"/>
      <c r="L1450" s="131"/>
      <c r="U1450" s="131"/>
      <c r="V1450" s="131"/>
      <c r="W1450" s="131"/>
      <c r="X1450" s="131"/>
    </row>
    <row r="1451" spans="9:24" x14ac:dyDescent="0.25">
      <c r="I1451" s="131"/>
      <c r="J1451" s="131"/>
      <c r="K1451" s="131"/>
      <c r="L1451" s="131"/>
      <c r="U1451" s="131"/>
      <c r="V1451" s="131"/>
      <c r="W1451" s="131"/>
      <c r="X1451" s="131"/>
    </row>
    <row r="1452" spans="9:24" x14ac:dyDescent="0.25">
      <c r="I1452" s="131"/>
      <c r="J1452" s="131"/>
      <c r="K1452" s="131"/>
      <c r="L1452" s="131"/>
      <c r="U1452" s="131"/>
      <c r="V1452" s="131"/>
      <c r="W1452" s="131"/>
      <c r="X1452" s="131"/>
    </row>
    <row r="1453" spans="9:24" x14ac:dyDescent="0.25">
      <c r="I1453" s="131"/>
      <c r="J1453" s="131"/>
      <c r="K1453" s="131"/>
      <c r="L1453" s="131"/>
      <c r="U1453" s="131"/>
      <c r="V1453" s="131"/>
      <c r="W1453" s="131"/>
      <c r="X1453" s="131"/>
    </row>
    <row r="1454" spans="9:24" x14ac:dyDescent="0.25">
      <c r="I1454" s="131"/>
      <c r="J1454" s="131"/>
      <c r="K1454" s="131"/>
      <c r="L1454" s="131"/>
      <c r="U1454" s="131"/>
      <c r="V1454" s="131"/>
      <c r="W1454" s="131"/>
      <c r="X1454" s="131"/>
    </row>
    <row r="1455" spans="9:24" x14ac:dyDescent="0.25">
      <c r="I1455" s="131"/>
      <c r="J1455" s="131"/>
      <c r="K1455" s="131"/>
      <c r="L1455" s="131"/>
      <c r="U1455" s="131"/>
      <c r="V1455" s="131"/>
      <c r="W1455" s="131"/>
      <c r="X1455" s="131"/>
    </row>
    <row r="1456" spans="9:24" x14ac:dyDescent="0.25">
      <c r="I1456" s="131"/>
      <c r="J1456" s="131"/>
      <c r="K1456" s="131"/>
      <c r="L1456" s="131"/>
      <c r="U1456" s="131"/>
      <c r="V1456" s="131"/>
      <c r="W1456" s="131"/>
      <c r="X1456" s="131"/>
    </row>
    <row r="1457" spans="9:24" x14ac:dyDescent="0.25">
      <c r="I1457" s="131"/>
      <c r="J1457" s="131"/>
      <c r="K1457" s="131"/>
      <c r="L1457" s="131"/>
      <c r="U1457" s="131"/>
      <c r="V1457" s="131"/>
      <c r="W1457" s="131"/>
      <c r="X1457" s="131"/>
    </row>
    <row r="1458" spans="9:24" x14ac:dyDescent="0.25">
      <c r="I1458" s="131"/>
      <c r="J1458" s="131"/>
      <c r="K1458" s="131"/>
      <c r="L1458" s="131"/>
      <c r="U1458" s="131"/>
      <c r="V1458" s="131"/>
      <c r="W1458" s="131"/>
      <c r="X1458" s="131"/>
    </row>
    <row r="1459" spans="9:24" x14ac:dyDescent="0.25">
      <c r="I1459" s="131"/>
      <c r="J1459" s="131"/>
      <c r="K1459" s="131"/>
      <c r="L1459" s="131"/>
      <c r="U1459" s="131"/>
      <c r="V1459" s="131"/>
      <c r="W1459" s="131"/>
      <c r="X1459" s="131"/>
    </row>
    <row r="1460" spans="9:24" x14ac:dyDescent="0.25">
      <c r="I1460" s="131"/>
      <c r="J1460" s="131"/>
      <c r="K1460" s="131"/>
      <c r="L1460" s="131"/>
      <c r="U1460" s="131"/>
      <c r="V1460" s="131"/>
      <c r="W1460" s="131"/>
      <c r="X1460" s="131"/>
    </row>
    <row r="1461" spans="9:24" x14ac:dyDescent="0.25">
      <c r="I1461" s="131"/>
      <c r="J1461" s="131"/>
      <c r="K1461" s="131"/>
      <c r="L1461" s="131"/>
      <c r="U1461" s="131"/>
      <c r="V1461" s="131"/>
      <c r="W1461" s="131"/>
      <c r="X1461" s="131"/>
    </row>
    <row r="1462" spans="9:24" x14ac:dyDescent="0.25">
      <c r="I1462" s="131"/>
      <c r="J1462" s="131"/>
      <c r="K1462" s="131"/>
      <c r="L1462" s="131"/>
      <c r="U1462" s="131"/>
      <c r="V1462" s="131"/>
      <c r="W1462" s="131"/>
      <c r="X1462" s="131"/>
    </row>
    <row r="1463" spans="9:24" x14ac:dyDescent="0.25">
      <c r="I1463" s="131"/>
      <c r="J1463" s="131"/>
      <c r="K1463" s="131"/>
      <c r="L1463" s="131"/>
      <c r="U1463" s="131"/>
      <c r="V1463" s="131"/>
      <c r="W1463" s="131"/>
      <c r="X1463" s="131"/>
    </row>
    <row r="1464" spans="9:24" x14ac:dyDescent="0.25">
      <c r="I1464" s="131"/>
      <c r="J1464" s="131"/>
      <c r="K1464" s="131"/>
      <c r="L1464" s="131"/>
      <c r="U1464" s="131"/>
      <c r="V1464" s="131"/>
      <c r="W1464" s="131"/>
      <c r="X1464" s="131"/>
    </row>
    <row r="1465" spans="9:24" x14ac:dyDescent="0.25">
      <c r="I1465" s="131"/>
      <c r="J1465" s="131"/>
      <c r="K1465" s="131"/>
      <c r="L1465" s="131"/>
      <c r="U1465" s="131"/>
      <c r="V1465" s="131"/>
      <c r="W1465" s="131"/>
      <c r="X1465" s="131"/>
    </row>
    <row r="1466" spans="9:24" x14ac:dyDescent="0.25">
      <c r="I1466" s="131"/>
      <c r="J1466" s="131"/>
      <c r="K1466" s="131"/>
      <c r="L1466" s="131"/>
      <c r="U1466" s="131"/>
      <c r="V1466" s="131"/>
      <c r="W1466" s="131"/>
      <c r="X1466" s="131"/>
    </row>
    <row r="1467" spans="9:24" x14ac:dyDescent="0.25">
      <c r="I1467" s="131"/>
      <c r="J1467" s="131"/>
      <c r="K1467" s="131"/>
      <c r="L1467" s="131"/>
      <c r="U1467" s="131"/>
      <c r="V1467" s="131"/>
      <c r="W1467" s="131"/>
      <c r="X1467" s="131"/>
    </row>
    <row r="1468" spans="9:24" x14ac:dyDescent="0.25">
      <c r="I1468" s="131"/>
      <c r="J1468" s="131"/>
      <c r="K1468" s="131"/>
      <c r="L1468" s="131"/>
      <c r="U1468" s="131"/>
      <c r="V1468" s="131"/>
      <c r="W1468" s="131"/>
      <c r="X1468" s="131"/>
    </row>
    <row r="1469" spans="9:24" x14ac:dyDescent="0.25">
      <c r="I1469" s="131"/>
      <c r="J1469" s="131"/>
      <c r="K1469" s="131"/>
      <c r="L1469" s="131"/>
      <c r="U1469" s="131"/>
      <c r="V1469" s="131"/>
      <c r="W1469" s="131"/>
      <c r="X1469" s="131"/>
    </row>
    <row r="1470" spans="9:24" x14ac:dyDescent="0.25">
      <c r="I1470" s="131"/>
      <c r="J1470" s="131"/>
      <c r="K1470" s="131"/>
      <c r="L1470" s="131"/>
      <c r="U1470" s="131"/>
      <c r="V1470" s="131"/>
      <c r="W1470" s="131"/>
      <c r="X1470" s="131"/>
    </row>
    <row r="1471" spans="9:24" x14ac:dyDescent="0.25">
      <c r="I1471" s="131"/>
      <c r="J1471" s="131"/>
      <c r="K1471" s="131"/>
      <c r="L1471" s="131"/>
      <c r="U1471" s="131"/>
      <c r="V1471" s="131"/>
      <c r="W1471" s="131"/>
      <c r="X1471" s="131"/>
    </row>
    <row r="1472" spans="9:24" x14ac:dyDescent="0.25">
      <c r="I1472" s="131"/>
      <c r="J1472" s="131"/>
      <c r="K1472" s="131"/>
      <c r="L1472" s="131"/>
      <c r="U1472" s="131"/>
      <c r="V1472" s="131"/>
      <c r="W1472" s="131"/>
      <c r="X1472" s="131"/>
    </row>
    <row r="1473" spans="9:24" x14ac:dyDescent="0.25">
      <c r="I1473" s="131"/>
      <c r="J1473" s="131"/>
      <c r="K1473" s="131"/>
      <c r="L1473" s="131"/>
      <c r="U1473" s="131"/>
      <c r="V1473" s="131"/>
      <c r="W1473" s="131"/>
      <c r="X1473" s="131"/>
    </row>
    <row r="1474" spans="9:24" x14ac:dyDescent="0.25">
      <c r="I1474" s="131"/>
      <c r="J1474" s="131"/>
      <c r="K1474" s="131"/>
      <c r="L1474" s="131"/>
      <c r="U1474" s="131"/>
      <c r="V1474" s="131"/>
      <c r="W1474" s="131"/>
      <c r="X1474" s="131"/>
    </row>
    <row r="1475" spans="9:24" x14ac:dyDescent="0.25">
      <c r="I1475" s="131"/>
      <c r="J1475" s="131"/>
      <c r="K1475" s="131"/>
      <c r="L1475" s="131"/>
      <c r="U1475" s="131"/>
      <c r="V1475" s="131"/>
      <c r="W1475" s="131"/>
      <c r="X1475" s="131"/>
    </row>
    <row r="1476" spans="9:24" x14ac:dyDescent="0.25">
      <c r="I1476" s="131"/>
      <c r="J1476" s="131"/>
      <c r="K1476" s="131"/>
      <c r="L1476" s="131"/>
      <c r="U1476" s="131"/>
      <c r="V1476" s="131"/>
      <c r="W1476" s="131"/>
      <c r="X1476" s="131"/>
    </row>
    <row r="1477" spans="9:24" x14ac:dyDescent="0.25">
      <c r="I1477" s="131"/>
      <c r="J1477" s="131"/>
      <c r="K1477" s="131"/>
      <c r="L1477" s="131"/>
      <c r="U1477" s="131"/>
      <c r="V1477" s="131"/>
      <c r="W1477" s="131"/>
      <c r="X1477" s="131"/>
    </row>
    <row r="1478" spans="9:24" x14ac:dyDescent="0.25">
      <c r="I1478" s="131"/>
      <c r="J1478" s="131"/>
      <c r="K1478" s="131"/>
      <c r="L1478" s="131"/>
      <c r="U1478" s="131"/>
      <c r="V1478" s="131"/>
      <c r="W1478" s="131"/>
      <c r="X1478" s="131"/>
    </row>
    <row r="1479" spans="9:24" x14ac:dyDescent="0.25">
      <c r="I1479" s="131"/>
      <c r="J1479" s="131"/>
      <c r="K1479" s="131"/>
      <c r="L1479" s="131"/>
      <c r="U1479" s="131"/>
      <c r="V1479" s="131"/>
      <c r="W1479" s="131"/>
      <c r="X1479" s="131"/>
    </row>
    <row r="1480" spans="9:24" x14ac:dyDescent="0.25">
      <c r="I1480" s="131"/>
      <c r="J1480" s="131"/>
      <c r="K1480" s="131"/>
      <c r="L1480" s="131"/>
      <c r="U1480" s="131"/>
      <c r="V1480" s="131"/>
      <c r="W1480" s="131"/>
      <c r="X1480" s="131"/>
    </row>
    <row r="1481" spans="9:24" x14ac:dyDescent="0.25">
      <c r="I1481" s="131"/>
      <c r="J1481" s="131"/>
      <c r="K1481" s="131"/>
      <c r="L1481" s="131"/>
      <c r="U1481" s="131"/>
      <c r="V1481" s="131"/>
      <c r="W1481" s="131"/>
      <c r="X1481" s="131"/>
    </row>
    <row r="1482" spans="9:24" x14ac:dyDescent="0.25">
      <c r="I1482" s="131"/>
      <c r="J1482" s="131"/>
      <c r="K1482" s="131"/>
      <c r="L1482" s="131"/>
      <c r="U1482" s="131"/>
      <c r="V1482" s="131"/>
      <c r="W1482" s="131"/>
      <c r="X1482" s="131"/>
    </row>
    <row r="1483" spans="9:24" x14ac:dyDescent="0.25">
      <c r="I1483" s="131"/>
      <c r="J1483" s="131"/>
      <c r="K1483" s="131"/>
      <c r="L1483" s="131"/>
      <c r="U1483" s="131"/>
      <c r="V1483" s="131"/>
      <c r="W1483" s="131"/>
      <c r="X1483" s="131"/>
    </row>
    <row r="1484" spans="9:24" x14ac:dyDescent="0.25">
      <c r="I1484" s="131"/>
      <c r="J1484" s="131"/>
      <c r="K1484" s="131"/>
      <c r="L1484" s="131"/>
      <c r="U1484" s="131"/>
      <c r="V1484" s="131"/>
      <c r="W1484" s="131"/>
      <c r="X1484" s="131"/>
    </row>
    <row r="1485" spans="9:24" x14ac:dyDescent="0.25">
      <c r="I1485" s="131"/>
      <c r="J1485" s="131"/>
      <c r="K1485" s="131"/>
      <c r="L1485" s="131"/>
      <c r="U1485" s="131"/>
      <c r="V1485" s="131"/>
      <c r="W1485" s="131"/>
      <c r="X1485" s="131"/>
    </row>
    <row r="1486" spans="9:24" x14ac:dyDescent="0.25">
      <c r="I1486" s="131"/>
      <c r="J1486" s="131"/>
      <c r="K1486" s="131"/>
      <c r="L1486" s="131"/>
      <c r="U1486" s="131"/>
      <c r="V1486" s="131"/>
      <c r="W1486" s="131"/>
      <c r="X1486" s="131"/>
    </row>
    <row r="1487" spans="9:24" x14ac:dyDescent="0.25">
      <c r="I1487" s="131"/>
      <c r="J1487" s="131"/>
      <c r="K1487" s="131"/>
      <c r="L1487" s="131"/>
      <c r="U1487" s="131"/>
      <c r="V1487" s="131"/>
      <c r="W1487" s="131"/>
      <c r="X1487" s="131"/>
    </row>
    <row r="1488" spans="9:24" x14ac:dyDescent="0.25">
      <c r="I1488" s="131"/>
      <c r="J1488" s="131"/>
      <c r="K1488" s="131"/>
      <c r="L1488" s="131"/>
      <c r="U1488" s="131"/>
      <c r="V1488" s="131"/>
      <c r="W1488" s="131"/>
      <c r="X1488" s="131"/>
    </row>
    <row r="1489" spans="9:24" x14ac:dyDescent="0.25">
      <c r="I1489" s="131"/>
      <c r="J1489" s="131"/>
      <c r="K1489" s="131"/>
      <c r="L1489" s="131"/>
      <c r="U1489" s="131"/>
      <c r="V1489" s="131"/>
      <c r="W1489" s="131"/>
      <c r="X1489" s="131"/>
    </row>
    <row r="1490" spans="9:24" x14ac:dyDescent="0.25">
      <c r="I1490" s="131"/>
      <c r="J1490" s="131"/>
      <c r="K1490" s="131"/>
      <c r="L1490" s="131"/>
      <c r="U1490" s="131"/>
      <c r="V1490" s="131"/>
      <c r="W1490" s="131"/>
      <c r="X1490" s="131"/>
    </row>
    <row r="1491" spans="9:24" x14ac:dyDescent="0.25">
      <c r="I1491" s="131"/>
      <c r="J1491" s="131"/>
      <c r="K1491" s="131"/>
      <c r="L1491" s="131"/>
      <c r="U1491" s="131"/>
      <c r="V1491" s="131"/>
      <c r="W1491" s="131"/>
      <c r="X1491" s="131"/>
    </row>
    <row r="1492" spans="9:24" x14ac:dyDescent="0.25">
      <c r="I1492" s="131"/>
      <c r="J1492" s="131"/>
      <c r="K1492" s="131"/>
      <c r="L1492" s="131"/>
      <c r="U1492" s="131"/>
      <c r="V1492" s="131"/>
      <c r="W1492" s="131"/>
      <c r="X1492" s="131"/>
    </row>
    <row r="1493" spans="9:24" x14ac:dyDescent="0.25">
      <c r="I1493" s="131"/>
      <c r="J1493" s="131"/>
      <c r="K1493" s="131"/>
      <c r="L1493" s="131"/>
      <c r="U1493" s="131"/>
      <c r="V1493" s="131"/>
      <c r="W1493" s="131"/>
      <c r="X1493" s="131"/>
    </row>
    <row r="1494" spans="9:24" x14ac:dyDescent="0.25">
      <c r="I1494" s="131"/>
      <c r="J1494" s="131"/>
      <c r="K1494" s="131"/>
      <c r="L1494" s="131"/>
      <c r="U1494" s="131"/>
      <c r="V1494" s="131"/>
      <c r="W1494" s="131"/>
      <c r="X1494" s="131"/>
    </row>
    <row r="1495" spans="9:24" x14ac:dyDescent="0.25">
      <c r="I1495" s="131"/>
      <c r="J1495" s="131"/>
      <c r="K1495" s="131"/>
      <c r="L1495" s="131"/>
      <c r="U1495" s="131"/>
      <c r="V1495" s="131"/>
      <c r="W1495" s="131"/>
      <c r="X1495" s="131"/>
    </row>
    <row r="1496" spans="9:24" x14ac:dyDescent="0.25">
      <c r="I1496" s="131"/>
      <c r="J1496" s="131"/>
      <c r="K1496" s="131"/>
      <c r="L1496" s="131"/>
      <c r="U1496" s="131"/>
      <c r="V1496" s="131"/>
      <c r="W1496" s="131"/>
      <c r="X1496" s="131"/>
    </row>
    <row r="1497" spans="9:24" x14ac:dyDescent="0.25">
      <c r="I1497" s="131"/>
      <c r="J1497" s="131"/>
      <c r="K1497" s="131"/>
      <c r="L1497" s="131"/>
      <c r="U1497" s="131"/>
      <c r="V1497" s="131"/>
      <c r="W1497" s="131"/>
      <c r="X1497" s="131"/>
    </row>
    <row r="1498" spans="9:24" x14ac:dyDescent="0.25">
      <c r="I1498" s="131"/>
      <c r="J1498" s="131"/>
      <c r="K1498" s="131"/>
      <c r="L1498" s="131"/>
      <c r="U1498" s="131"/>
      <c r="V1498" s="131"/>
      <c r="W1498" s="131"/>
      <c r="X1498" s="131"/>
    </row>
    <row r="1499" spans="9:24" x14ac:dyDescent="0.25">
      <c r="I1499" s="131"/>
      <c r="J1499" s="131"/>
      <c r="K1499" s="131"/>
      <c r="L1499" s="131"/>
      <c r="U1499" s="131"/>
      <c r="V1499" s="131"/>
      <c r="W1499" s="131"/>
      <c r="X1499" s="131"/>
    </row>
    <row r="1500" spans="9:24" x14ac:dyDescent="0.25">
      <c r="I1500" s="131"/>
      <c r="J1500" s="131"/>
      <c r="K1500" s="131"/>
      <c r="L1500" s="131"/>
      <c r="U1500" s="131"/>
      <c r="V1500" s="131"/>
      <c r="W1500" s="131"/>
      <c r="X1500" s="131"/>
    </row>
    <row r="1501" spans="9:24" x14ac:dyDescent="0.25">
      <c r="I1501" s="131"/>
      <c r="J1501" s="131"/>
      <c r="K1501" s="131"/>
      <c r="L1501" s="131"/>
      <c r="U1501" s="131"/>
      <c r="V1501" s="131"/>
      <c r="W1501" s="131"/>
      <c r="X1501" s="131"/>
    </row>
    <row r="1502" spans="9:24" x14ac:dyDescent="0.25">
      <c r="I1502" s="131"/>
      <c r="J1502" s="131"/>
      <c r="K1502" s="131"/>
      <c r="L1502" s="131"/>
      <c r="U1502" s="131"/>
      <c r="V1502" s="131"/>
      <c r="W1502" s="131"/>
      <c r="X1502" s="131"/>
    </row>
    <row r="1503" spans="9:24" x14ac:dyDescent="0.25">
      <c r="I1503" s="131"/>
      <c r="J1503" s="131"/>
      <c r="K1503" s="131"/>
      <c r="L1503" s="131"/>
      <c r="U1503" s="131"/>
      <c r="V1503" s="131"/>
      <c r="W1503" s="131"/>
      <c r="X1503" s="131"/>
    </row>
    <row r="1504" spans="9:24" x14ac:dyDescent="0.25">
      <c r="I1504" s="131"/>
      <c r="J1504" s="131"/>
      <c r="K1504" s="131"/>
      <c r="L1504" s="131"/>
      <c r="U1504" s="131"/>
      <c r="V1504" s="131"/>
      <c r="W1504" s="131"/>
      <c r="X1504" s="131"/>
    </row>
    <row r="1505" spans="9:24" x14ac:dyDescent="0.25">
      <c r="I1505" s="131"/>
      <c r="J1505" s="131"/>
      <c r="K1505" s="131"/>
      <c r="L1505" s="131"/>
      <c r="U1505" s="131"/>
      <c r="V1505" s="131"/>
      <c r="W1505" s="131"/>
      <c r="X1505" s="131"/>
    </row>
    <row r="1506" spans="9:24" x14ac:dyDescent="0.25">
      <c r="I1506" s="131"/>
      <c r="J1506" s="131"/>
      <c r="K1506" s="131"/>
      <c r="L1506" s="131"/>
      <c r="U1506" s="131"/>
      <c r="V1506" s="131"/>
      <c r="W1506" s="131"/>
      <c r="X1506" s="131"/>
    </row>
    <row r="1507" spans="9:24" x14ac:dyDescent="0.25">
      <c r="I1507" s="131"/>
      <c r="J1507" s="131"/>
      <c r="K1507" s="131"/>
      <c r="L1507" s="131"/>
      <c r="U1507" s="131"/>
      <c r="V1507" s="131"/>
      <c r="W1507" s="131"/>
      <c r="X1507" s="131"/>
    </row>
    <row r="1508" spans="9:24" x14ac:dyDescent="0.25">
      <c r="I1508" s="131"/>
      <c r="J1508" s="131"/>
      <c r="K1508" s="131"/>
      <c r="L1508" s="131"/>
      <c r="U1508" s="131"/>
      <c r="V1508" s="131"/>
      <c r="W1508" s="131"/>
      <c r="X1508" s="131"/>
    </row>
    <row r="1509" spans="9:24" x14ac:dyDescent="0.25">
      <c r="I1509" s="131"/>
      <c r="J1509" s="131"/>
      <c r="K1509" s="131"/>
      <c r="L1509" s="131"/>
      <c r="U1509" s="131"/>
      <c r="V1509" s="131"/>
      <c r="W1509" s="131"/>
      <c r="X1509" s="131"/>
    </row>
    <row r="1510" spans="9:24" x14ac:dyDescent="0.25">
      <c r="I1510" s="131"/>
      <c r="J1510" s="131"/>
      <c r="K1510" s="131"/>
      <c r="L1510" s="131"/>
      <c r="U1510" s="131"/>
      <c r="V1510" s="131"/>
      <c r="W1510" s="131"/>
      <c r="X1510" s="131"/>
    </row>
    <row r="1511" spans="9:24" x14ac:dyDescent="0.25">
      <c r="I1511" s="131"/>
      <c r="J1511" s="131"/>
      <c r="K1511" s="131"/>
      <c r="L1511" s="131"/>
      <c r="U1511" s="131"/>
      <c r="V1511" s="131"/>
      <c r="W1511" s="131"/>
      <c r="X1511" s="131"/>
    </row>
    <row r="1512" spans="9:24" x14ac:dyDescent="0.25">
      <c r="I1512" s="131"/>
      <c r="J1512" s="131"/>
      <c r="K1512" s="131"/>
      <c r="L1512" s="131"/>
      <c r="U1512" s="131"/>
      <c r="V1512" s="131"/>
      <c r="W1512" s="131"/>
      <c r="X1512" s="131"/>
    </row>
    <row r="1513" spans="9:24" x14ac:dyDescent="0.25">
      <c r="I1513" s="131"/>
      <c r="J1513" s="131"/>
      <c r="K1513" s="131"/>
      <c r="L1513" s="131"/>
      <c r="U1513" s="131"/>
      <c r="V1513" s="131"/>
      <c r="W1513" s="131"/>
      <c r="X1513" s="131"/>
    </row>
    <row r="1514" spans="9:24" x14ac:dyDescent="0.25">
      <c r="I1514" s="131"/>
      <c r="J1514" s="131"/>
      <c r="K1514" s="131"/>
      <c r="L1514" s="131"/>
      <c r="U1514" s="131"/>
      <c r="V1514" s="131"/>
      <c r="W1514" s="131"/>
      <c r="X1514" s="131"/>
    </row>
    <row r="1515" spans="9:24" x14ac:dyDescent="0.25">
      <c r="I1515" s="131"/>
      <c r="J1515" s="131"/>
      <c r="K1515" s="131"/>
      <c r="L1515" s="131"/>
      <c r="U1515" s="131"/>
      <c r="V1515" s="131"/>
      <c r="W1515" s="131"/>
      <c r="X1515" s="131"/>
    </row>
    <row r="1516" spans="9:24" x14ac:dyDescent="0.25">
      <c r="I1516" s="131"/>
      <c r="J1516" s="131"/>
      <c r="K1516" s="131"/>
      <c r="L1516" s="131"/>
      <c r="U1516" s="131"/>
      <c r="V1516" s="131"/>
      <c r="W1516" s="131"/>
      <c r="X1516" s="131"/>
    </row>
    <row r="1517" spans="9:24" x14ac:dyDescent="0.25">
      <c r="I1517" s="131"/>
      <c r="J1517" s="131"/>
      <c r="K1517" s="131"/>
      <c r="L1517" s="131"/>
      <c r="U1517" s="131"/>
      <c r="V1517" s="131"/>
      <c r="W1517" s="131"/>
      <c r="X1517" s="131"/>
    </row>
    <row r="1518" spans="9:24" x14ac:dyDescent="0.25">
      <c r="I1518" s="131"/>
      <c r="J1518" s="131"/>
      <c r="K1518" s="131"/>
      <c r="L1518" s="131"/>
      <c r="U1518" s="131"/>
      <c r="V1518" s="131"/>
      <c r="W1518" s="131"/>
      <c r="X1518" s="131"/>
    </row>
    <row r="1519" spans="9:24" x14ac:dyDescent="0.25">
      <c r="I1519" s="131"/>
      <c r="J1519" s="131"/>
      <c r="K1519" s="131"/>
      <c r="L1519" s="131"/>
      <c r="U1519" s="131"/>
      <c r="V1519" s="131"/>
      <c r="W1519" s="131"/>
      <c r="X1519" s="131"/>
    </row>
    <row r="1520" spans="9:24" x14ac:dyDescent="0.25">
      <c r="I1520" s="131"/>
      <c r="J1520" s="131"/>
      <c r="K1520" s="131"/>
      <c r="L1520" s="131"/>
      <c r="U1520" s="131"/>
      <c r="V1520" s="131"/>
      <c r="W1520" s="131"/>
      <c r="X1520" s="131"/>
    </row>
    <row r="1521" spans="9:24" x14ac:dyDescent="0.25">
      <c r="I1521" s="131"/>
      <c r="J1521" s="131"/>
      <c r="K1521" s="131"/>
      <c r="L1521" s="131"/>
      <c r="U1521" s="131"/>
      <c r="V1521" s="131"/>
      <c r="W1521" s="131"/>
      <c r="X1521" s="131"/>
    </row>
    <row r="1522" spans="9:24" x14ac:dyDescent="0.25">
      <c r="I1522" s="131"/>
      <c r="J1522" s="131"/>
      <c r="K1522" s="131"/>
      <c r="L1522" s="131"/>
      <c r="U1522" s="131"/>
      <c r="V1522" s="131"/>
      <c r="W1522" s="131"/>
      <c r="X1522" s="131"/>
    </row>
    <row r="1523" spans="9:24" x14ac:dyDescent="0.25">
      <c r="I1523" s="131"/>
      <c r="J1523" s="131"/>
      <c r="K1523" s="131"/>
      <c r="L1523" s="131"/>
      <c r="U1523" s="131"/>
      <c r="V1523" s="131"/>
      <c r="W1523" s="131"/>
      <c r="X1523" s="131"/>
    </row>
    <row r="1524" spans="9:24" x14ac:dyDescent="0.25">
      <c r="I1524" s="131"/>
      <c r="J1524" s="131"/>
      <c r="K1524" s="131"/>
      <c r="L1524" s="131"/>
      <c r="U1524" s="131"/>
      <c r="V1524" s="131"/>
      <c r="W1524" s="131"/>
      <c r="X1524" s="131"/>
    </row>
    <row r="1525" spans="9:24" x14ac:dyDescent="0.25">
      <c r="I1525" s="131"/>
      <c r="J1525" s="131"/>
      <c r="K1525" s="131"/>
      <c r="L1525" s="131"/>
      <c r="U1525" s="131"/>
      <c r="V1525" s="131"/>
      <c r="W1525" s="131"/>
      <c r="X1525" s="131"/>
    </row>
    <row r="1526" spans="9:24" x14ac:dyDescent="0.25">
      <c r="I1526" s="131"/>
      <c r="J1526" s="131"/>
      <c r="K1526" s="131"/>
      <c r="L1526" s="131"/>
      <c r="U1526" s="131"/>
      <c r="V1526" s="131"/>
      <c r="W1526" s="131"/>
      <c r="X1526" s="131"/>
    </row>
    <row r="1527" spans="9:24" x14ac:dyDescent="0.25">
      <c r="I1527" s="131"/>
      <c r="J1527" s="131"/>
      <c r="K1527" s="131"/>
      <c r="L1527" s="131"/>
      <c r="U1527" s="131"/>
      <c r="V1527" s="131"/>
      <c r="W1527" s="131"/>
      <c r="X1527" s="131"/>
    </row>
    <row r="1528" spans="9:24" x14ac:dyDescent="0.25">
      <c r="I1528" s="131"/>
      <c r="J1528" s="131"/>
      <c r="K1528" s="131"/>
      <c r="L1528" s="131"/>
      <c r="U1528" s="131"/>
      <c r="V1528" s="131"/>
      <c r="W1528" s="131"/>
      <c r="X1528" s="131"/>
    </row>
    <row r="1529" spans="9:24" x14ac:dyDescent="0.25">
      <c r="I1529" s="131"/>
      <c r="J1529" s="131"/>
      <c r="K1529" s="131"/>
      <c r="L1529" s="131"/>
      <c r="U1529" s="131"/>
      <c r="V1529" s="131"/>
      <c r="W1529" s="131"/>
      <c r="X1529" s="131"/>
    </row>
    <row r="1530" spans="9:24" x14ac:dyDescent="0.25">
      <c r="I1530" s="131"/>
      <c r="J1530" s="131"/>
      <c r="K1530" s="131"/>
      <c r="L1530" s="131"/>
      <c r="U1530" s="131"/>
      <c r="V1530" s="131"/>
      <c r="W1530" s="131"/>
      <c r="X1530" s="131"/>
    </row>
    <row r="1531" spans="9:24" x14ac:dyDescent="0.25">
      <c r="I1531" s="131"/>
      <c r="J1531" s="131"/>
      <c r="K1531" s="131"/>
      <c r="L1531" s="131"/>
      <c r="U1531" s="131"/>
      <c r="V1531" s="131"/>
      <c r="W1531" s="131"/>
      <c r="X1531" s="131"/>
    </row>
    <row r="1532" spans="9:24" x14ac:dyDescent="0.25">
      <c r="I1532" s="131"/>
      <c r="J1532" s="131"/>
      <c r="K1532" s="131"/>
      <c r="L1532" s="131"/>
      <c r="U1532" s="131"/>
      <c r="V1532" s="131"/>
      <c r="W1532" s="131"/>
      <c r="X1532" s="131"/>
    </row>
    <row r="1533" spans="9:24" x14ac:dyDescent="0.25">
      <c r="I1533" s="131"/>
      <c r="J1533" s="131"/>
      <c r="K1533" s="131"/>
      <c r="L1533" s="131"/>
      <c r="U1533" s="131"/>
      <c r="V1533" s="131"/>
      <c r="W1533" s="131"/>
      <c r="X1533" s="131"/>
    </row>
    <row r="1534" spans="9:24" x14ac:dyDescent="0.25">
      <c r="I1534" s="131"/>
      <c r="J1534" s="131"/>
      <c r="K1534" s="131"/>
      <c r="L1534" s="131"/>
      <c r="U1534" s="131"/>
      <c r="V1534" s="131"/>
      <c r="W1534" s="131"/>
      <c r="X1534" s="131"/>
    </row>
    <row r="1535" spans="9:24" x14ac:dyDescent="0.25">
      <c r="I1535" s="131"/>
      <c r="J1535" s="131"/>
      <c r="K1535" s="131"/>
      <c r="L1535" s="131"/>
      <c r="U1535" s="131"/>
      <c r="V1535" s="131"/>
      <c r="W1535" s="131"/>
      <c r="X1535" s="131"/>
    </row>
    <row r="1536" spans="9:24" x14ac:dyDescent="0.25">
      <c r="I1536" s="131"/>
      <c r="J1536" s="131"/>
      <c r="K1536" s="131"/>
      <c r="L1536" s="131"/>
      <c r="U1536" s="131"/>
      <c r="V1536" s="131"/>
      <c r="W1536" s="131"/>
      <c r="X1536" s="131"/>
    </row>
    <row r="1537" spans="9:24" x14ac:dyDescent="0.25">
      <c r="I1537" s="131"/>
      <c r="J1537" s="131"/>
      <c r="K1537" s="131"/>
      <c r="L1537" s="131"/>
      <c r="U1537" s="131"/>
      <c r="V1537" s="131"/>
      <c r="W1537" s="131"/>
      <c r="X1537" s="131"/>
    </row>
    <row r="1538" spans="9:24" x14ac:dyDescent="0.25">
      <c r="I1538" s="131"/>
      <c r="J1538" s="131"/>
      <c r="K1538" s="131"/>
      <c r="L1538" s="131"/>
      <c r="U1538" s="131"/>
      <c r="V1538" s="131"/>
      <c r="W1538" s="131"/>
      <c r="X1538" s="131"/>
    </row>
    <row r="1539" spans="9:24" x14ac:dyDescent="0.25">
      <c r="I1539" s="131"/>
      <c r="J1539" s="131"/>
      <c r="K1539" s="131"/>
      <c r="L1539" s="131"/>
      <c r="U1539" s="131"/>
      <c r="V1539" s="131"/>
      <c r="W1539" s="131"/>
      <c r="X1539" s="131"/>
    </row>
    <row r="1540" spans="9:24" x14ac:dyDescent="0.25">
      <c r="I1540" s="131"/>
      <c r="J1540" s="131"/>
      <c r="K1540" s="131"/>
      <c r="L1540" s="131"/>
      <c r="U1540" s="131"/>
      <c r="V1540" s="131"/>
      <c r="W1540" s="131"/>
      <c r="X1540" s="131"/>
    </row>
    <row r="1541" spans="9:24" x14ac:dyDescent="0.25">
      <c r="I1541" s="131"/>
      <c r="J1541" s="131"/>
      <c r="K1541" s="131"/>
      <c r="L1541" s="131"/>
      <c r="U1541" s="131"/>
      <c r="V1541" s="131"/>
      <c r="W1541" s="131"/>
      <c r="X1541" s="131"/>
    </row>
    <row r="1542" spans="9:24" x14ac:dyDescent="0.25">
      <c r="I1542" s="131"/>
      <c r="J1542" s="131"/>
      <c r="K1542" s="131"/>
      <c r="L1542" s="131"/>
      <c r="U1542" s="131"/>
      <c r="V1542" s="131"/>
      <c r="W1542" s="131"/>
      <c r="X1542" s="131"/>
    </row>
    <row r="1543" spans="9:24" x14ac:dyDescent="0.25">
      <c r="I1543" s="131"/>
      <c r="J1543" s="131"/>
      <c r="K1543" s="131"/>
      <c r="L1543" s="131"/>
      <c r="U1543" s="131"/>
      <c r="V1543" s="131"/>
      <c r="W1543" s="131"/>
      <c r="X1543" s="131"/>
    </row>
    <row r="1544" spans="9:24" x14ac:dyDescent="0.25">
      <c r="I1544" s="131"/>
      <c r="J1544" s="131"/>
      <c r="K1544" s="131"/>
      <c r="L1544" s="131"/>
      <c r="U1544" s="131"/>
      <c r="V1544" s="131"/>
      <c r="W1544" s="131"/>
      <c r="X1544" s="131"/>
    </row>
    <row r="1545" spans="9:24" x14ac:dyDescent="0.25">
      <c r="I1545" s="131"/>
      <c r="J1545" s="131"/>
      <c r="K1545" s="131"/>
      <c r="L1545" s="131"/>
      <c r="U1545" s="131"/>
      <c r="V1545" s="131"/>
      <c r="W1545" s="131"/>
      <c r="X1545" s="131"/>
    </row>
    <row r="1546" spans="9:24" x14ac:dyDescent="0.25">
      <c r="I1546" s="131"/>
      <c r="J1546" s="131"/>
      <c r="K1546" s="131"/>
      <c r="L1546" s="131"/>
      <c r="U1546" s="131"/>
      <c r="V1546" s="131"/>
      <c r="W1546" s="131"/>
      <c r="X1546" s="131"/>
    </row>
    <row r="1547" spans="9:24" x14ac:dyDescent="0.25">
      <c r="I1547" s="131"/>
      <c r="J1547" s="131"/>
      <c r="K1547" s="131"/>
      <c r="L1547" s="131"/>
      <c r="U1547" s="131"/>
      <c r="V1547" s="131"/>
      <c r="W1547" s="131"/>
      <c r="X1547" s="131"/>
    </row>
    <row r="1548" spans="9:24" x14ac:dyDescent="0.25">
      <c r="I1548" s="131"/>
      <c r="J1548" s="131"/>
      <c r="K1548" s="131"/>
      <c r="L1548" s="131"/>
      <c r="U1548" s="131"/>
      <c r="V1548" s="131"/>
      <c r="W1548" s="131"/>
      <c r="X1548" s="131"/>
    </row>
    <row r="1549" spans="9:24" x14ac:dyDescent="0.25">
      <c r="I1549" s="131"/>
      <c r="J1549" s="131"/>
      <c r="K1549" s="131"/>
      <c r="L1549" s="131"/>
      <c r="U1549" s="131"/>
      <c r="V1549" s="131"/>
      <c r="W1549" s="131"/>
      <c r="X1549" s="131"/>
    </row>
    <row r="1550" spans="9:24" x14ac:dyDescent="0.25">
      <c r="I1550" s="131"/>
      <c r="J1550" s="131"/>
      <c r="K1550" s="131"/>
      <c r="L1550" s="131"/>
      <c r="U1550" s="131"/>
      <c r="V1550" s="131"/>
      <c r="W1550" s="131"/>
      <c r="X1550" s="131"/>
    </row>
    <row r="1551" spans="9:24" x14ac:dyDescent="0.25">
      <c r="I1551" s="131"/>
      <c r="J1551" s="131"/>
      <c r="K1551" s="131"/>
      <c r="L1551" s="131"/>
      <c r="U1551" s="131"/>
      <c r="V1551" s="131"/>
      <c r="W1551" s="131"/>
      <c r="X1551" s="131"/>
    </row>
    <row r="1552" spans="9:24" x14ac:dyDescent="0.25">
      <c r="I1552" s="131"/>
      <c r="J1552" s="131"/>
      <c r="K1552" s="131"/>
      <c r="L1552" s="131"/>
      <c r="U1552" s="131"/>
      <c r="V1552" s="131"/>
      <c r="W1552" s="131"/>
      <c r="X1552" s="131"/>
    </row>
    <row r="1553" spans="9:24" x14ac:dyDescent="0.25">
      <c r="I1553" s="131"/>
      <c r="J1553" s="131"/>
      <c r="K1553" s="131"/>
      <c r="L1553" s="131"/>
      <c r="U1553" s="131"/>
      <c r="V1553" s="131"/>
      <c r="W1553" s="131"/>
      <c r="X1553" s="131"/>
    </row>
    <row r="1554" spans="9:24" x14ac:dyDescent="0.25">
      <c r="I1554" s="131"/>
      <c r="J1554" s="131"/>
      <c r="K1554" s="131"/>
      <c r="L1554" s="131"/>
      <c r="U1554" s="131"/>
      <c r="V1554" s="131"/>
      <c r="W1554" s="131"/>
      <c r="X1554" s="131"/>
    </row>
    <row r="1555" spans="9:24" x14ac:dyDescent="0.25">
      <c r="I1555" s="131"/>
      <c r="J1555" s="131"/>
      <c r="K1555" s="131"/>
      <c r="L1555" s="131"/>
      <c r="U1555" s="131"/>
      <c r="V1555" s="131"/>
      <c r="W1555" s="131"/>
      <c r="X1555" s="131"/>
    </row>
    <row r="1556" spans="9:24" x14ac:dyDescent="0.25">
      <c r="I1556" s="131"/>
      <c r="J1556" s="131"/>
      <c r="K1556" s="131"/>
      <c r="L1556" s="131"/>
      <c r="U1556" s="131"/>
      <c r="V1556" s="131"/>
      <c r="W1556" s="131"/>
      <c r="X1556" s="131"/>
    </row>
    <row r="1557" spans="9:24" x14ac:dyDescent="0.25">
      <c r="I1557" s="131"/>
      <c r="J1557" s="131"/>
      <c r="K1557" s="131"/>
      <c r="L1557" s="131"/>
      <c r="U1557" s="131"/>
      <c r="V1557" s="131"/>
      <c r="W1557" s="131"/>
      <c r="X1557" s="131"/>
    </row>
    <row r="1558" spans="9:24" x14ac:dyDescent="0.25">
      <c r="I1558" s="131"/>
      <c r="J1558" s="131"/>
      <c r="K1558" s="131"/>
      <c r="L1558" s="131"/>
      <c r="U1558" s="131"/>
      <c r="V1558" s="131"/>
      <c r="W1558" s="131"/>
      <c r="X1558" s="131"/>
    </row>
    <row r="1559" spans="9:24" x14ac:dyDescent="0.25">
      <c r="I1559" s="131"/>
      <c r="J1559" s="131"/>
      <c r="K1559" s="131"/>
      <c r="L1559" s="131"/>
      <c r="U1559" s="131"/>
      <c r="V1559" s="131"/>
      <c r="W1559" s="131"/>
      <c r="X1559" s="131"/>
    </row>
    <row r="1560" spans="9:24" x14ac:dyDescent="0.25">
      <c r="I1560" s="131"/>
      <c r="J1560" s="131"/>
      <c r="K1560" s="131"/>
      <c r="L1560" s="131"/>
      <c r="U1560" s="131"/>
      <c r="V1560" s="131"/>
      <c r="W1560" s="131"/>
      <c r="X1560" s="131"/>
    </row>
    <row r="1561" spans="9:24" x14ac:dyDescent="0.25">
      <c r="I1561" s="131"/>
      <c r="J1561" s="131"/>
      <c r="K1561" s="131"/>
      <c r="L1561" s="131"/>
      <c r="U1561" s="131"/>
      <c r="V1561" s="131"/>
      <c r="W1561" s="131"/>
      <c r="X1561" s="131"/>
    </row>
    <row r="1562" spans="9:24" x14ac:dyDescent="0.25">
      <c r="I1562" s="131"/>
      <c r="J1562" s="131"/>
      <c r="K1562" s="131"/>
      <c r="L1562" s="131"/>
      <c r="U1562" s="131"/>
      <c r="V1562" s="131"/>
      <c r="W1562" s="131"/>
      <c r="X1562" s="131"/>
    </row>
    <row r="1563" spans="9:24" x14ac:dyDescent="0.25">
      <c r="I1563" s="131"/>
      <c r="J1563" s="131"/>
      <c r="K1563" s="131"/>
      <c r="L1563" s="131"/>
      <c r="U1563" s="131"/>
      <c r="V1563" s="131"/>
      <c r="W1563" s="131"/>
      <c r="X1563" s="131"/>
    </row>
    <row r="1564" spans="9:24" x14ac:dyDescent="0.25">
      <c r="I1564" s="131"/>
      <c r="J1564" s="131"/>
      <c r="K1564" s="131"/>
      <c r="L1564" s="131"/>
      <c r="U1564" s="131"/>
      <c r="V1564" s="131"/>
      <c r="W1564" s="131"/>
      <c r="X1564" s="131"/>
    </row>
    <row r="1565" spans="9:24" x14ac:dyDescent="0.25">
      <c r="I1565" s="131"/>
      <c r="J1565" s="131"/>
      <c r="K1565" s="131"/>
      <c r="L1565" s="131"/>
      <c r="U1565" s="131"/>
      <c r="V1565" s="131"/>
      <c r="W1565" s="131"/>
      <c r="X1565" s="131"/>
    </row>
    <row r="1566" spans="9:24" x14ac:dyDescent="0.25">
      <c r="I1566" s="131"/>
      <c r="J1566" s="131"/>
      <c r="K1566" s="131"/>
      <c r="L1566" s="131"/>
      <c r="U1566" s="131"/>
      <c r="V1566" s="131"/>
      <c r="W1566" s="131"/>
      <c r="X1566" s="131"/>
    </row>
    <row r="1567" spans="9:24" x14ac:dyDescent="0.25">
      <c r="I1567" s="131"/>
      <c r="J1567" s="131"/>
      <c r="K1567" s="131"/>
      <c r="L1567" s="131"/>
      <c r="U1567" s="131"/>
      <c r="V1567" s="131"/>
      <c r="W1567" s="131"/>
      <c r="X1567" s="131"/>
    </row>
    <row r="1568" spans="9:24" x14ac:dyDescent="0.25">
      <c r="I1568" s="131"/>
      <c r="J1568" s="131"/>
      <c r="K1568" s="131"/>
      <c r="L1568" s="131"/>
      <c r="U1568" s="131"/>
      <c r="V1568" s="131"/>
      <c r="W1568" s="131"/>
      <c r="X1568" s="131"/>
    </row>
    <row r="1569" spans="9:24" x14ac:dyDescent="0.25">
      <c r="I1569" s="131"/>
      <c r="J1569" s="131"/>
      <c r="K1569" s="131"/>
      <c r="L1569" s="131"/>
      <c r="U1569" s="131"/>
      <c r="V1569" s="131"/>
      <c r="W1569" s="131"/>
      <c r="X1569" s="131"/>
    </row>
    <row r="1570" spans="9:24" x14ac:dyDescent="0.25">
      <c r="I1570" s="131"/>
      <c r="J1570" s="131"/>
      <c r="K1570" s="131"/>
      <c r="L1570" s="131"/>
      <c r="U1570" s="131"/>
      <c r="V1570" s="131"/>
      <c r="W1570" s="131"/>
      <c r="X1570" s="131"/>
    </row>
    <row r="1571" spans="9:24" x14ac:dyDescent="0.25">
      <c r="I1571" s="131"/>
      <c r="J1571" s="131"/>
      <c r="K1571" s="131"/>
      <c r="L1571" s="131"/>
      <c r="U1571" s="131"/>
      <c r="V1571" s="131"/>
      <c r="W1571" s="131"/>
      <c r="X1571" s="131"/>
    </row>
    <row r="1572" spans="9:24" x14ac:dyDescent="0.25">
      <c r="I1572" s="131"/>
      <c r="J1572" s="131"/>
      <c r="K1572" s="131"/>
      <c r="L1572" s="131"/>
      <c r="U1572" s="131"/>
      <c r="V1572" s="131"/>
      <c r="W1572" s="131"/>
      <c r="X1572" s="131"/>
    </row>
    <row r="1573" spans="9:24" x14ac:dyDescent="0.25">
      <c r="I1573" s="131"/>
      <c r="J1573" s="131"/>
      <c r="K1573" s="131"/>
      <c r="L1573" s="131"/>
      <c r="U1573" s="131"/>
      <c r="V1573" s="131"/>
      <c r="W1573" s="131"/>
      <c r="X1573" s="131"/>
    </row>
    <row r="1574" spans="9:24" x14ac:dyDescent="0.25">
      <c r="I1574" s="131"/>
      <c r="J1574" s="131"/>
      <c r="K1574" s="131"/>
      <c r="L1574" s="131"/>
      <c r="U1574" s="131"/>
      <c r="V1574" s="131"/>
      <c r="W1574" s="131"/>
      <c r="X1574" s="131"/>
    </row>
    <row r="1575" spans="9:24" x14ac:dyDescent="0.25">
      <c r="I1575" s="131"/>
      <c r="J1575" s="131"/>
      <c r="K1575" s="131"/>
      <c r="L1575" s="131"/>
      <c r="U1575" s="131"/>
      <c r="V1575" s="131"/>
      <c r="W1575" s="131"/>
      <c r="X1575" s="131"/>
    </row>
    <row r="1576" spans="9:24" x14ac:dyDescent="0.25">
      <c r="I1576" s="131"/>
      <c r="J1576" s="131"/>
      <c r="K1576" s="131"/>
      <c r="L1576" s="131"/>
      <c r="U1576" s="131"/>
      <c r="V1576" s="131"/>
      <c r="W1576" s="131"/>
      <c r="X1576" s="131"/>
    </row>
    <row r="1577" spans="9:24" x14ac:dyDescent="0.25">
      <c r="I1577" s="131"/>
      <c r="J1577" s="131"/>
      <c r="K1577" s="131"/>
      <c r="L1577" s="131"/>
      <c r="U1577" s="131"/>
      <c r="V1577" s="131"/>
      <c r="W1577" s="131"/>
      <c r="X1577" s="131"/>
    </row>
    <row r="1578" spans="9:24" x14ac:dyDescent="0.25">
      <c r="I1578" s="131"/>
      <c r="J1578" s="131"/>
      <c r="K1578" s="131"/>
      <c r="L1578" s="131"/>
      <c r="U1578" s="131"/>
      <c r="V1578" s="131"/>
      <c r="W1578" s="131"/>
      <c r="X1578" s="131"/>
    </row>
    <row r="1579" spans="9:24" x14ac:dyDescent="0.25">
      <c r="I1579" s="131"/>
      <c r="J1579" s="131"/>
      <c r="K1579" s="131"/>
      <c r="L1579" s="131"/>
      <c r="U1579" s="131"/>
      <c r="V1579" s="131"/>
      <c r="W1579" s="131"/>
      <c r="X1579" s="131"/>
    </row>
    <row r="1580" spans="9:24" x14ac:dyDescent="0.25">
      <c r="I1580" s="131"/>
      <c r="J1580" s="131"/>
      <c r="K1580" s="131"/>
      <c r="L1580" s="131"/>
      <c r="U1580" s="131"/>
      <c r="V1580" s="131"/>
      <c r="W1580" s="131"/>
      <c r="X1580" s="131"/>
    </row>
    <row r="1581" spans="9:24" x14ac:dyDescent="0.25">
      <c r="I1581" s="131"/>
      <c r="J1581" s="131"/>
      <c r="K1581" s="131"/>
      <c r="L1581" s="131"/>
      <c r="U1581" s="131"/>
      <c r="V1581" s="131"/>
      <c r="W1581" s="131"/>
      <c r="X1581" s="131"/>
    </row>
    <row r="1582" spans="9:24" x14ac:dyDescent="0.25">
      <c r="I1582" s="131"/>
      <c r="J1582" s="131"/>
      <c r="K1582" s="131"/>
      <c r="L1582" s="131"/>
      <c r="U1582" s="131"/>
      <c r="V1582" s="131"/>
      <c r="W1582" s="131"/>
      <c r="X1582" s="131"/>
    </row>
    <row r="1583" spans="9:24" x14ac:dyDescent="0.25">
      <c r="I1583" s="131"/>
      <c r="J1583" s="131"/>
      <c r="K1583" s="131"/>
      <c r="L1583" s="131"/>
      <c r="U1583" s="131"/>
      <c r="V1583" s="131"/>
      <c r="W1583" s="131"/>
      <c r="X1583" s="131"/>
    </row>
    <row r="1584" spans="9:24" x14ac:dyDescent="0.25">
      <c r="I1584" s="131"/>
      <c r="J1584" s="131"/>
      <c r="K1584" s="131"/>
      <c r="L1584" s="131"/>
      <c r="U1584" s="131"/>
      <c r="V1584" s="131"/>
      <c r="W1584" s="131"/>
      <c r="X1584" s="131"/>
    </row>
    <row r="1585" spans="9:24" x14ac:dyDescent="0.25">
      <c r="I1585" s="131"/>
      <c r="J1585" s="131"/>
      <c r="K1585" s="131"/>
      <c r="L1585" s="131"/>
      <c r="U1585" s="131"/>
      <c r="V1585" s="131"/>
      <c r="W1585" s="131"/>
      <c r="X1585" s="131"/>
    </row>
    <row r="1586" spans="9:24" x14ac:dyDescent="0.25">
      <c r="I1586" s="131"/>
      <c r="J1586" s="131"/>
      <c r="K1586" s="131"/>
      <c r="L1586" s="131"/>
      <c r="U1586" s="131"/>
      <c r="V1586" s="131"/>
      <c r="W1586" s="131"/>
      <c r="X1586" s="131"/>
    </row>
    <row r="1587" spans="9:24" x14ac:dyDescent="0.25">
      <c r="I1587" s="131"/>
      <c r="J1587" s="131"/>
      <c r="K1587" s="131"/>
      <c r="L1587" s="131"/>
      <c r="U1587" s="131"/>
      <c r="V1587" s="131"/>
      <c r="W1587" s="131"/>
      <c r="X1587" s="131"/>
    </row>
    <row r="1588" spans="9:24" x14ac:dyDescent="0.25">
      <c r="I1588" s="131"/>
      <c r="J1588" s="131"/>
      <c r="K1588" s="131"/>
      <c r="L1588" s="131"/>
      <c r="U1588" s="131"/>
      <c r="V1588" s="131"/>
      <c r="W1588" s="131"/>
      <c r="X1588" s="131"/>
    </row>
    <row r="1589" spans="9:24" x14ac:dyDescent="0.25">
      <c r="I1589" s="131"/>
      <c r="J1589" s="131"/>
      <c r="K1589" s="131"/>
      <c r="L1589" s="131"/>
      <c r="U1589" s="131"/>
      <c r="V1589" s="131"/>
      <c r="W1589" s="131"/>
      <c r="X1589" s="131"/>
    </row>
    <row r="1590" spans="9:24" x14ac:dyDescent="0.25">
      <c r="I1590" s="131"/>
      <c r="J1590" s="131"/>
      <c r="K1590" s="131"/>
      <c r="L1590" s="131"/>
      <c r="U1590" s="131"/>
      <c r="V1590" s="131"/>
      <c r="W1590" s="131"/>
      <c r="X1590" s="131"/>
    </row>
    <row r="1591" spans="9:24" x14ac:dyDescent="0.25">
      <c r="I1591" s="131"/>
      <c r="J1591" s="131"/>
      <c r="K1591" s="131"/>
      <c r="L1591" s="131"/>
      <c r="U1591" s="131"/>
      <c r="V1591" s="131"/>
      <c r="W1591" s="131"/>
      <c r="X1591" s="131"/>
    </row>
    <row r="1592" spans="9:24" x14ac:dyDescent="0.25">
      <c r="I1592" s="131"/>
      <c r="J1592" s="131"/>
      <c r="K1592" s="131"/>
      <c r="L1592" s="131"/>
      <c r="U1592" s="131"/>
      <c r="V1592" s="131"/>
      <c r="W1592" s="131"/>
      <c r="X1592" s="131"/>
    </row>
    <row r="1593" spans="9:24" x14ac:dyDescent="0.25">
      <c r="I1593" s="131"/>
      <c r="J1593" s="131"/>
      <c r="K1593" s="131"/>
      <c r="L1593" s="131"/>
      <c r="U1593" s="131"/>
      <c r="V1593" s="131"/>
      <c r="W1593" s="131"/>
      <c r="X1593" s="131"/>
    </row>
    <row r="1594" spans="9:24" x14ac:dyDescent="0.25">
      <c r="I1594" s="131"/>
      <c r="J1594" s="131"/>
      <c r="K1594" s="131"/>
      <c r="L1594" s="131"/>
      <c r="U1594" s="131"/>
      <c r="V1594" s="131"/>
      <c r="W1594" s="131"/>
      <c r="X1594" s="131"/>
    </row>
    <row r="1595" spans="9:24" x14ac:dyDescent="0.25">
      <c r="I1595" s="131"/>
      <c r="J1595" s="131"/>
      <c r="K1595" s="131"/>
      <c r="L1595" s="131"/>
      <c r="U1595" s="131"/>
      <c r="V1595" s="131"/>
      <c r="W1595" s="131"/>
      <c r="X1595" s="131"/>
    </row>
    <row r="1596" spans="9:24" x14ac:dyDescent="0.25">
      <c r="I1596" s="131"/>
      <c r="J1596" s="131"/>
      <c r="K1596" s="131"/>
      <c r="L1596" s="131"/>
      <c r="U1596" s="131"/>
      <c r="V1596" s="131"/>
      <c r="W1596" s="131"/>
      <c r="X1596" s="131"/>
    </row>
    <row r="1597" spans="9:24" x14ac:dyDescent="0.25">
      <c r="I1597" s="131"/>
      <c r="J1597" s="131"/>
      <c r="K1597" s="131"/>
      <c r="L1597" s="131"/>
      <c r="U1597" s="131"/>
      <c r="V1597" s="131"/>
      <c r="W1597" s="131"/>
      <c r="X1597" s="131"/>
    </row>
    <row r="1598" spans="9:24" x14ac:dyDescent="0.25">
      <c r="I1598" s="131"/>
      <c r="J1598" s="131"/>
      <c r="K1598" s="131"/>
      <c r="L1598" s="131"/>
      <c r="U1598" s="131"/>
      <c r="V1598" s="131"/>
      <c r="W1598" s="131"/>
      <c r="X1598" s="131"/>
    </row>
    <row r="1599" spans="9:24" x14ac:dyDescent="0.25">
      <c r="I1599" s="131"/>
      <c r="J1599" s="131"/>
      <c r="K1599" s="131"/>
      <c r="L1599" s="131"/>
      <c r="U1599" s="131"/>
      <c r="V1599" s="131"/>
      <c r="W1599" s="131"/>
      <c r="X1599" s="131"/>
    </row>
    <row r="1600" spans="9:24" x14ac:dyDescent="0.25">
      <c r="I1600" s="131"/>
      <c r="J1600" s="131"/>
      <c r="K1600" s="131"/>
      <c r="L1600" s="131"/>
      <c r="U1600" s="131"/>
      <c r="V1600" s="131"/>
      <c r="W1600" s="131"/>
      <c r="X1600" s="131"/>
    </row>
    <row r="1601" spans="9:24" x14ac:dyDescent="0.25">
      <c r="I1601" s="131"/>
      <c r="J1601" s="131"/>
      <c r="K1601" s="131"/>
      <c r="L1601" s="131"/>
      <c r="U1601" s="131"/>
      <c r="V1601" s="131"/>
      <c r="W1601" s="131"/>
      <c r="X1601" s="131"/>
    </row>
    <row r="1602" spans="9:24" x14ac:dyDescent="0.25">
      <c r="I1602" s="131"/>
      <c r="J1602" s="131"/>
      <c r="K1602" s="131"/>
      <c r="L1602" s="131"/>
      <c r="U1602" s="131"/>
      <c r="V1602" s="131"/>
      <c r="W1602" s="131"/>
      <c r="X1602" s="131"/>
    </row>
    <row r="1603" spans="9:24" x14ac:dyDescent="0.25">
      <c r="I1603" s="131"/>
      <c r="J1603" s="131"/>
      <c r="K1603" s="131"/>
      <c r="L1603" s="131"/>
      <c r="U1603" s="131"/>
      <c r="V1603" s="131"/>
      <c r="W1603" s="131"/>
      <c r="X1603" s="131"/>
    </row>
    <row r="1604" spans="9:24" x14ac:dyDescent="0.25">
      <c r="I1604" s="131"/>
      <c r="J1604" s="131"/>
      <c r="K1604" s="131"/>
      <c r="L1604" s="131"/>
      <c r="U1604" s="131"/>
      <c r="V1604" s="131"/>
      <c r="W1604" s="131"/>
      <c r="X1604" s="131"/>
    </row>
    <row r="1605" spans="9:24" x14ac:dyDescent="0.25">
      <c r="I1605" s="131"/>
      <c r="J1605" s="131"/>
      <c r="K1605" s="131"/>
      <c r="L1605" s="131"/>
      <c r="U1605" s="131"/>
      <c r="V1605" s="131"/>
      <c r="W1605" s="131"/>
      <c r="X1605" s="131"/>
    </row>
    <row r="1606" spans="9:24" x14ac:dyDescent="0.25">
      <c r="I1606" s="131"/>
      <c r="J1606" s="131"/>
      <c r="K1606" s="131"/>
      <c r="L1606" s="131"/>
      <c r="U1606" s="131"/>
      <c r="V1606" s="131"/>
      <c r="W1606" s="131"/>
      <c r="X1606" s="131"/>
    </row>
    <row r="1607" spans="9:24" x14ac:dyDescent="0.25">
      <c r="I1607" s="131"/>
      <c r="J1607" s="131"/>
      <c r="K1607" s="131"/>
      <c r="L1607" s="131"/>
      <c r="U1607" s="131"/>
      <c r="V1607" s="131"/>
      <c r="W1607" s="131"/>
      <c r="X1607" s="131"/>
    </row>
    <row r="1608" spans="9:24" x14ac:dyDescent="0.25">
      <c r="I1608" s="131"/>
      <c r="J1608" s="131"/>
      <c r="K1608" s="131"/>
      <c r="L1608" s="131"/>
      <c r="U1608" s="131"/>
      <c r="V1608" s="131"/>
      <c r="W1608" s="131"/>
      <c r="X1608" s="131"/>
    </row>
    <row r="1609" spans="9:24" x14ac:dyDescent="0.25">
      <c r="I1609" s="131"/>
      <c r="J1609" s="131"/>
      <c r="K1609" s="131"/>
      <c r="L1609" s="131"/>
      <c r="U1609" s="131"/>
      <c r="V1609" s="131"/>
      <c r="W1609" s="131"/>
      <c r="X1609" s="131"/>
    </row>
    <row r="1610" spans="9:24" x14ac:dyDescent="0.25">
      <c r="I1610" s="131"/>
      <c r="J1610" s="131"/>
      <c r="K1610" s="131"/>
      <c r="L1610" s="131"/>
      <c r="U1610" s="131"/>
      <c r="V1610" s="131"/>
      <c r="W1610" s="131"/>
      <c r="X1610" s="131"/>
    </row>
    <row r="1611" spans="9:24" x14ac:dyDescent="0.25">
      <c r="I1611" s="131"/>
      <c r="J1611" s="131"/>
      <c r="K1611" s="131"/>
      <c r="L1611" s="131"/>
      <c r="U1611" s="131"/>
      <c r="V1611" s="131"/>
      <c r="W1611" s="131"/>
      <c r="X1611" s="131"/>
    </row>
    <row r="1612" spans="9:24" x14ac:dyDescent="0.25">
      <c r="I1612" s="131"/>
      <c r="J1612" s="131"/>
      <c r="K1612" s="131"/>
      <c r="L1612" s="131"/>
      <c r="U1612" s="131"/>
      <c r="V1612" s="131"/>
      <c r="W1612" s="131"/>
      <c r="X1612" s="131"/>
    </row>
    <row r="1613" spans="9:24" x14ac:dyDescent="0.25">
      <c r="I1613" s="131"/>
      <c r="J1613" s="131"/>
      <c r="K1613" s="131"/>
      <c r="L1613" s="131"/>
      <c r="U1613" s="131"/>
      <c r="V1613" s="131"/>
      <c r="W1613" s="131"/>
      <c r="X1613" s="131"/>
    </row>
    <row r="1614" spans="9:24" x14ac:dyDescent="0.25">
      <c r="I1614" s="131"/>
      <c r="J1614" s="131"/>
      <c r="K1614" s="131"/>
      <c r="L1614" s="131"/>
      <c r="U1614" s="131"/>
      <c r="V1614" s="131"/>
      <c r="W1614" s="131"/>
      <c r="X1614" s="131"/>
    </row>
    <row r="1615" spans="9:24" x14ac:dyDescent="0.25">
      <c r="I1615" s="131"/>
      <c r="J1615" s="131"/>
      <c r="K1615" s="131"/>
      <c r="L1615" s="131"/>
      <c r="U1615" s="131"/>
      <c r="V1615" s="131"/>
      <c r="W1615" s="131"/>
      <c r="X1615" s="131"/>
    </row>
    <row r="1616" spans="9:24" x14ac:dyDescent="0.25">
      <c r="I1616" s="131"/>
      <c r="J1616" s="131"/>
      <c r="K1616" s="131"/>
      <c r="L1616" s="131"/>
      <c r="U1616" s="131"/>
      <c r="V1616" s="131"/>
      <c r="W1616" s="131"/>
      <c r="X1616" s="131"/>
    </row>
    <row r="1617" spans="9:24" x14ac:dyDescent="0.25">
      <c r="I1617" s="131"/>
      <c r="J1617" s="131"/>
      <c r="K1617" s="131"/>
      <c r="L1617" s="131"/>
      <c r="U1617" s="131"/>
      <c r="V1617" s="131"/>
      <c r="W1617" s="131"/>
      <c r="X1617" s="131"/>
    </row>
    <row r="1618" spans="9:24" x14ac:dyDescent="0.25">
      <c r="I1618" s="131"/>
      <c r="J1618" s="131"/>
      <c r="K1618" s="131"/>
      <c r="L1618" s="131"/>
      <c r="U1618" s="131"/>
      <c r="V1618" s="131"/>
      <c r="W1618" s="131"/>
      <c r="X1618" s="131"/>
    </row>
    <row r="1619" spans="9:24" x14ac:dyDescent="0.25">
      <c r="I1619" s="131"/>
      <c r="J1619" s="131"/>
      <c r="K1619" s="131"/>
      <c r="L1619" s="131"/>
      <c r="U1619" s="131"/>
      <c r="V1619" s="131"/>
      <c r="W1619" s="131"/>
      <c r="X1619" s="131"/>
    </row>
    <row r="1620" spans="9:24" x14ac:dyDescent="0.25">
      <c r="I1620" s="131"/>
      <c r="J1620" s="131"/>
      <c r="K1620" s="131"/>
      <c r="L1620" s="131"/>
      <c r="U1620" s="131"/>
      <c r="V1620" s="131"/>
      <c r="W1620" s="131"/>
      <c r="X1620" s="131"/>
    </row>
    <row r="1621" spans="9:24" x14ac:dyDescent="0.25">
      <c r="I1621" s="131"/>
      <c r="J1621" s="131"/>
      <c r="K1621" s="131"/>
      <c r="L1621" s="131"/>
      <c r="U1621" s="131"/>
      <c r="V1621" s="131"/>
      <c r="W1621" s="131"/>
      <c r="X1621" s="131"/>
    </row>
    <row r="1622" spans="9:24" x14ac:dyDescent="0.25">
      <c r="I1622" s="131"/>
      <c r="J1622" s="131"/>
      <c r="K1622" s="131"/>
      <c r="L1622" s="131"/>
      <c r="U1622" s="131"/>
      <c r="V1622" s="131"/>
      <c r="W1622" s="131"/>
      <c r="X1622" s="131"/>
    </row>
    <row r="1623" spans="9:24" x14ac:dyDescent="0.25">
      <c r="I1623" s="131"/>
      <c r="J1623" s="131"/>
      <c r="K1623" s="131"/>
      <c r="L1623" s="131"/>
      <c r="U1623" s="131"/>
      <c r="V1623" s="131"/>
      <c r="W1623" s="131"/>
      <c r="X1623" s="131"/>
    </row>
    <row r="1624" spans="9:24" x14ac:dyDescent="0.25">
      <c r="I1624" s="131"/>
      <c r="J1624" s="131"/>
      <c r="K1624" s="131"/>
      <c r="L1624" s="131"/>
      <c r="U1624" s="131"/>
      <c r="V1624" s="131"/>
      <c r="W1624" s="131"/>
      <c r="X1624" s="131"/>
    </row>
    <row r="1625" spans="9:24" x14ac:dyDescent="0.25">
      <c r="I1625" s="131"/>
      <c r="J1625" s="131"/>
      <c r="K1625" s="131"/>
      <c r="L1625" s="131"/>
      <c r="U1625" s="131"/>
      <c r="V1625" s="131"/>
      <c r="W1625" s="131"/>
      <c r="X1625" s="131"/>
    </row>
    <row r="1626" spans="9:24" x14ac:dyDescent="0.25">
      <c r="I1626" s="131"/>
      <c r="J1626" s="131"/>
      <c r="K1626" s="131"/>
      <c r="L1626" s="131"/>
      <c r="U1626" s="131"/>
      <c r="V1626" s="131"/>
      <c r="W1626" s="131"/>
      <c r="X1626" s="131"/>
    </row>
    <row r="1627" spans="9:24" x14ac:dyDescent="0.25">
      <c r="I1627" s="131"/>
      <c r="J1627" s="131"/>
      <c r="K1627" s="131"/>
      <c r="L1627" s="131"/>
      <c r="U1627" s="131"/>
      <c r="V1627" s="131"/>
      <c r="W1627" s="131"/>
      <c r="X1627" s="131"/>
    </row>
    <row r="1628" spans="9:24" x14ac:dyDescent="0.25">
      <c r="I1628" s="131"/>
      <c r="J1628" s="131"/>
      <c r="K1628" s="131"/>
      <c r="L1628" s="131"/>
      <c r="U1628" s="131"/>
      <c r="V1628" s="131"/>
      <c r="W1628" s="131"/>
      <c r="X1628" s="131"/>
    </row>
    <row r="1629" spans="9:24" x14ac:dyDescent="0.25">
      <c r="I1629" s="131"/>
      <c r="J1629" s="131"/>
      <c r="K1629" s="131"/>
      <c r="L1629" s="131"/>
      <c r="U1629" s="131"/>
      <c r="V1629" s="131"/>
      <c r="W1629" s="131"/>
      <c r="X1629" s="131"/>
    </row>
    <row r="1630" spans="9:24" x14ac:dyDescent="0.25">
      <c r="I1630" s="131"/>
      <c r="J1630" s="131"/>
      <c r="K1630" s="131"/>
      <c r="L1630" s="131"/>
      <c r="U1630" s="131"/>
      <c r="V1630" s="131"/>
      <c r="W1630" s="131"/>
      <c r="X1630" s="131"/>
    </row>
    <row r="1631" spans="9:24" x14ac:dyDescent="0.25">
      <c r="I1631" s="131"/>
      <c r="J1631" s="131"/>
      <c r="K1631" s="131"/>
      <c r="L1631" s="131"/>
      <c r="U1631" s="131"/>
      <c r="V1631" s="131"/>
      <c r="W1631" s="131"/>
      <c r="X1631" s="131"/>
    </row>
    <row r="1632" spans="9:24" x14ac:dyDescent="0.25">
      <c r="I1632" s="131"/>
      <c r="J1632" s="131"/>
      <c r="K1632" s="131"/>
      <c r="L1632" s="131"/>
      <c r="U1632" s="131"/>
      <c r="V1632" s="131"/>
      <c r="W1632" s="131"/>
      <c r="X1632" s="131"/>
    </row>
    <row r="1633" spans="9:24" x14ac:dyDescent="0.25">
      <c r="I1633" s="131"/>
      <c r="J1633" s="131"/>
      <c r="K1633" s="131"/>
      <c r="L1633" s="131"/>
      <c r="U1633" s="131"/>
      <c r="V1633" s="131"/>
      <c r="W1633" s="131"/>
      <c r="X1633" s="131"/>
    </row>
    <row r="1634" spans="9:24" x14ac:dyDescent="0.25">
      <c r="I1634" s="131"/>
      <c r="J1634" s="131"/>
      <c r="K1634" s="131"/>
      <c r="L1634" s="131"/>
      <c r="U1634" s="131"/>
      <c r="V1634" s="131"/>
      <c r="W1634" s="131"/>
      <c r="X1634" s="131"/>
    </row>
    <row r="1635" spans="9:24" x14ac:dyDescent="0.25">
      <c r="I1635" s="131"/>
      <c r="J1635" s="131"/>
      <c r="K1635" s="131"/>
      <c r="L1635" s="131"/>
      <c r="U1635" s="131"/>
      <c r="V1635" s="131"/>
      <c r="W1635" s="131"/>
      <c r="X1635" s="131"/>
    </row>
    <row r="1636" spans="9:24" x14ac:dyDescent="0.25">
      <c r="I1636" s="131"/>
      <c r="J1636" s="131"/>
      <c r="K1636" s="131"/>
      <c r="L1636" s="131"/>
      <c r="U1636" s="131"/>
      <c r="V1636" s="131"/>
      <c r="W1636" s="131"/>
      <c r="X1636" s="131"/>
    </row>
    <row r="1637" spans="9:24" x14ac:dyDescent="0.25">
      <c r="I1637" s="131"/>
      <c r="J1637" s="131"/>
      <c r="K1637" s="131"/>
      <c r="L1637" s="131"/>
      <c r="U1637" s="131"/>
      <c r="V1637" s="131"/>
      <c r="W1637" s="131"/>
      <c r="X1637" s="131"/>
    </row>
    <row r="1638" spans="9:24" x14ac:dyDescent="0.25">
      <c r="I1638" s="131"/>
      <c r="J1638" s="131"/>
      <c r="K1638" s="131"/>
      <c r="L1638" s="131"/>
      <c r="U1638" s="131"/>
      <c r="V1638" s="131"/>
      <c r="W1638" s="131"/>
      <c r="X1638" s="131"/>
    </row>
    <row r="1639" spans="9:24" x14ac:dyDescent="0.25">
      <c r="I1639" s="131"/>
      <c r="J1639" s="131"/>
      <c r="K1639" s="131"/>
      <c r="L1639" s="131"/>
      <c r="U1639" s="131"/>
      <c r="V1639" s="131"/>
      <c r="W1639" s="131"/>
      <c r="X1639" s="131"/>
    </row>
    <row r="1640" spans="9:24" x14ac:dyDescent="0.25">
      <c r="I1640" s="131"/>
      <c r="J1640" s="131"/>
      <c r="K1640" s="131"/>
      <c r="L1640" s="131"/>
      <c r="U1640" s="131"/>
      <c r="V1640" s="131"/>
      <c r="W1640" s="131"/>
      <c r="X1640" s="131"/>
    </row>
    <row r="1641" spans="9:24" x14ac:dyDescent="0.25">
      <c r="I1641" s="131"/>
      <c r="J1641" s="131"/>
      <c r="K1641" s="131"/>
      <c r="L1641" s="131"/>
      <c r="U1641" s="131"/>
      <c r="V1641" s="131"/>
      <c r="W1641" s="131"/>
      <c r="X1641" s="131"/>
    </row>
    <row r="1642" spans="9:24" x14ac:dyDescent="0.25">
      <c r="I1642" s="131"/>
      <c r="J1642" s="131"/>
      <c r="K1642" s="131"/>
      <c r="L1642" s="131"/>
      <c r="U1642" s="131"/>
      <c r="V1642" s="131"/>
      <c r="W1642" s="131"/>
      <c r="X1642" s="131"/>
    </row>
    <row r="1643" spans="9:24" x14ac:dyDescent="0.25">
      <c r="I1643" s="131"/>
      <c r="J1643" s="131"/>
      <c r="K1643" s="131"/>
      <c r="L1643" s="131"/>
      <c r="U1643" s="131"/>
      <c r="V1643" s="131"/>
      <c r="W1643" s="131"/>
      <c r="X1643" s="131"/>
    </row>
    <row r="1644" spans="9:24" x14ac:dyDescent="0.25">
      <c r="I1644" s="131"/>
      <c r="J1644" s="131"/>
      <c r="K1644" s="131"/>
      <c r="L1644" s="131"/>
      <c r="U1644" s="131"/>
      <c r="V1644" s="131"/>
      <c r="W1644" s="131"/>
      <c r="X1644" s="131"/>
    </row>
    <row r="1645" spans="9:24" x14ac:dyDescent="0.25">
      <c r="I1645" s="131"/>
      <c r="J1645" s="131"/>
      <c r="K1645" s="131"/>
      <c r="L1645" s="131"/>
      <c r="U1645" s="131"/>
      <c r="V1645" s="131"/>
      <c r="W1645" s="131"/>
      <c r="X1645" s="131"/>
    </row>
    <row r="1646" spans="9:24" x14ac:dyDescent="0.25">
      <c r="I1646" s="131"/>
      <c r="J1646" s="131"/>
      <c r="K1646" s="131"/>
      <c r="L1646" s="131"/>
      <c r="U1646" s="131"/>
      <c r="V1646" s="131"/>
      <c r="W1646" s="131"/>
      <c r="X1646" s="131"/>
    </row>
    <row r="1647" spans="9:24" x14ac:dyDescent="0.25">
      <c r="I1647" s="131"/>
      <c r="J1647" s="131"/>
      <c r="K1647" s="131"/>
      <c r="L1647" s="131"/>
      <c r="U1647" s="131"/>
      <c r="V1647" s="131"/>
      <c r="W1647" s="131"/>
      <c r="X1647" s="131"/>
    </row>
    <row r="1648" spans="9:24" x14ac:dyDescent="0.25">
      <c r="I1648" s="131"/>
      <c r="J1648" s="131"/>
      <c r="K1648" s="131"/>
      <c r="L1648" s="131"/>
      <c r="U1648" s="131"/>
      <c r="V1648" s="131"/>
      <c r="W1648" s="131"/>
      <c r="X1648" s="131"/>
    </row>
    <row r="1649" spans="9:24" x14ac:dyDescent="0.25">
      <c r="I1649" s="131"/>
      <c r="J1649" s="131"/>
      <c r="K1649" s="131"/>
      <c r="L1649" s="131"/>
      <c r="U1649" s="131"/>
      <c r="V1649" s="131"/>
      <c r="W1649" s="131"/>
      <c r="X1649" s="131"/>
    </row>
    <row r="1650" spans="9:24" x14ac:dyDescent="0.25">
      <c r="I1650" s="131"/>
      <c r="J1650" s="131"/>
      <c r="K1650" s="131"/>
      <c r="L1650" s="131"/>
      <c r="U1650" s="131"/>
      <c r="V1650" s="131"/>
      <c r="W1650" s="131"/>
      <c r="X1650" s="131"/>
    </row>
    <row r="1651" spans="9:24" x14ac:dyDescent="0.25">
      <c r="I1651" s="131"/>
      <c r="J1651" s="131"/>
      <c r="K1651" s="131"/>
      <c r="L1651" s="131"/>
      <c r="U1651" s="131"/>
      <c r="V1651" s="131"/>
      <c r="W1651" s="131"/>
      <c r="X1651" s="131"/>
    </row>
    <row r="1652" spans="9:24" x14ac:dyDescent="0.25">
      <c r="I1652" s="131"/>
      <c r="J1652" s="131"/>
      <c r="K1652" s="131"/>
      <c r="L1652" s="131"/>
      <c r="U1652" s="131"/>
      <c r="V1652" s="131"/>
      <c r="W1652" s="131"/>
      <c r="X1652" s="131"/>
    </row>
    <row r="1653" spans="9:24" x14ac:dyDescent="0.25">
      <c r="I1653" s="131"/>
      <c r="J1653" s="131"/>
      <c r="K1653" s="131"/>
      <c r="L1653" s="131"/>
      <c r="U1653" s="131"/>
      <c r="V1653" s="131"/>
      <c r="W1653" s="131"/>
      <c r="X1653" s="131"/>
    </row>
    <row r="1654" spans="9:24" x14ac:dyDescent="0.25">
      <c r="I1654" s="131"/>
      <c r="J1654" s="131"/>
      <c r="K1654" s="131"/>
      <c r="L1654" s="131"/>
      <c r="U1654" s="131"/>
      <c r="V1654" s="131"/>
      <c r="W1654" s="131"/>
      <c r="X1654" s="131"/>
    </row>
    <row r="1655" spans="9:24" x14ac:dyDescent="0.25">
      <c r="I1655" s="131"/>
      <c r="J1655" s="131"/>
      <c r="K1655" s="131"/>
      <c r="L1655" s="131"/>
      <c r="U1655" s="131"/>
      <c r="V1655" s="131"/>
      <c r="W1655" s="131"/>
      <c r="X1655" s="131"/>
    </row>
    <row r="1656" spans="9:24" x14ac:dyDescent="0.25">
      <c r="I1656" s="131"/>
      <c r="J1656" s="131"/>
      <c r="K1656" s="131"/>
      <c r="L1656" s="131"/>
      <c r="U1656" s="131"/>
      <c r="V1656" s="131"/>
      <c r="W1656" s="131"/>
      <c r="X1656" s="131"/>
    </row>
    <row r="1657" spans="9:24" x14ac:dyDescent="0.25">
      <c r="I1657" s="131"/>
      <c r="J1657" s="131"/>
      <c r="K1657" s="131"/>
      <c r="L1657" s="131"/>
      <c r="U1657" s="131"/>
      <c r="V1657" s="131"/>
      <c r="W1657" s="131"/>
      <c r="X1657" s="131"/>
    </row>
    <row r="1658" spans="9:24" x14ac:dyDescent="0.25">
      <c r="I1658" s="131"/>
      <c r="J1658" s="131"/>
      <c r="K1658" s="131"/>
      <c r="L1658" s="131"/>
      <c r="U1658" s="131"/>
      <c r="V1658" s="131"/>
      <c r="W1658" s="131"/>
      <c r="X1658" s="131"/>
    </row>
    <row r="1659" spans="9:24" x14ac:dyDescent="0.25">
      <c r="I1659" s="131"/>
      <c r="J1659" s="131"/>
      <c r="K1659" s="131"/>
      <c r="L1659" s="131"/>
      <c r="U1659" s="131"/>
      <c r="V1659" s="131"/>
      <c r="W1659" s="131"/>
      <c r="X1659" s="131"/>
    </row>
    <row r="1660" spans="9:24" x14ac:dyDescent="0.25">
      <c r="I1660" s="131"/>
      <c r="J1660" s="131"/>
      <c r="K1660" s="131"/>
      <c r="L1660" s="131"/>
      <c r="U1660" s="131"/>
      <c r="V1660" s="131"/>
      <c r="W1660" s="131"/>
      <c r="X1660" s="131"/>
    </row>
    <row r="1661" spans="9:24" x14ac:dyDescent="0.25">
      <c r="I1661" s="131"/>
      <c r="J1661" s="131"/>
      <c r="K1661" s="131"/>
      <c r="L1661" s="131"/>
      <c r="U1661" s="131"/>
      <c r="V1661" s="131"/>
      <c r="W1661" s="131"/>
      <c r="X1661" s="131"/>
    </row>
    <row r="1662" spans="9:24" x14ac:dyDescent="0.25">
      <c r="I1662" s="131"/>
      <c r="J1662" s="131"/>
      <c r="K1662" s="131"/>
      <c r="L1662" s="131"/>
      <c r="U1662" s="131"/>
      <c r="V1662" s="131"/>
      <c r="W1662" s="131"/>
      <c r="X1662" s="131"/>
    </row>
    <row r="1663" spans="9:24" x14ac:dyDescent="0.25">
      <c r="I1663" s="131"/>
      <c r="J1663" s="131"/>
      <c r="K1663" s="131"/>
      <c r="L1663" s="131"/>
      <c r="U1663" s="131"/>
      <c r="V1663" s="131"/>
      <c r="W1663" s="131"/>
      <c r="X1663" s="131"/>
    </row>
    <row r="1664" spans="9:24" x14ac:dyDescent="0.25">
      <c r="I1664" s="131"/>
      <c r="J1664" s="131"/>
      <c r="K1664" s="131"/>
      <c r="L1664" s="131"/>
      <c r="U1664" s="131"/>
      <c r="V1664" s="131"/>
      <c r="W1664" s="131"/>
      <c r="X1664" s="131"/>
    </row>
    <row r="1665" spans="9:24" x14ac:dyDescent="0.25">
      <c r="I1665" s="131"/>
      <c r="J1665" s="131"/>
      <c r="K1665" s="131"/>
      <c r="L1665" s="131"/>
      <c r="U1665" s="131"/>
      <c r="V1665" s="131"/>
      <c r="W1665" s="131"/>
      <c r="X1665" s="131"/>
    </row>
    <row r="1666" spans="9:24" x14ac:dyDescent="0.25">
      <c r="I1666" s="131"/>
      <c r="J1666" s="131"/>
      <c r="K1666" s="131"/>
      <c r="L1666" s="131"/>
      <c r="U1666" s="131"/>
      <c r="V1666" s="131"/>
      <c r="W1666" s="131"/>
      <c r="X1666" s="131"/>
    </row>
    <row r="1667" spans="9:24" x14ac:dyDescent="0.25">
      <c r="I1667" s="131"/>
      <c r="J1667" s="131"/>
      <c r="K1667" s="131"/>
      <c r="L1667" s="131"/>
      <c r="U1667" s="131"/>
      <c r="V1667" s="131"/>
      <c r="W1667" s="131"/>
      <c r="X1667" s="131"/>
    </row>
    <row r="1668" spans="9:24" x14ac:dyDescent="0.25">
      <c r="I1668" s="131"/>
      <c r="J1668" s="131"/>
      <c r="K1668" s="131"/>
      <c r="L1668" s="131"/>
      <c r="U1668" s="131"/>
      <c r="V1668" s="131"/>
      <c r="W1668" s="131"/>
      <c r="X1668" s="131"/>
    </row>
    <row r="1669" spans="9:24" x14ac:dyDescent="0.25">
      <c r="I1669" s="131"/>
      <c r="J1669" s="131"/>
      <c r="K1669" s="131"/>
      <c r="L1669" s="131"/>
      <c r="U1669" s="131"/>
      <c r="V1669" s="131"/>
      <c r="W1669" s="131"/>
      <c r="X1669" s="131"/>
    </row>
    <row r="1670" spans="9:24" x14ac:dyDescent="0.25">
      <c r="I1670" s="131"/>
      <c r="J1670" s="131"/>
      <c r="K1670" s="131"/>
      <c r="L1670" s="131"/>
      <c r="U1670" s="131"/>
      <c r="V1670" s="131"/>
      <c r="W1670" s="131"/>
      <c r="X1670" s="131"/>
    </row>
    <row r="1671" spans="9:24" x14ac:dyDescent="0.25">
      <c r="I1671" s="131"/>
      <c r="J1671" s="131"/>
      <c r="K1671" s="131"/>
      <c r="L1671" s="131"/>
      <c r="U1671" s="131"/>
      <c r="V1671" s="131"/>
      <c r="W1671" s="131"/>
      <c r="X1671" s="131"/>
    </row>
    <row r="1672" spans="9:24" x14ac:dyDescent="0.25">
      <c r="I1672" s="131"/>
      <c r="J1672" s="131"/>
      <c r="K1672" s="131"/>
      <c r="L1672" s="131"/>
      <c r="U1672" s="131"/>
      <c r="V1672" s="131"/>
      <c r="W1672" s="131"/>
      <c r="X1672" s="131"/>
    </row>
    <row r="1673" spans="9:24" x14ac:dyDescent="0.25">
      <c r="I1673" s="131"/>
      <c r="J1673" s="131"/>
      <c r="K1673" s="131"/>
      <c r="L1673" s="131"/>
      <c r="U1673" s="131"/>
      <c r="V1673" s="131"/>
      <c r="W1673" s="131"/>
      <c r="X1673" s="131"/>
    </row>
    <row r="1674" spans="9:24" x14ac:dyDescent="0.25">
      <c r="I1674" s="131"/>
      <c r="J1674" s="131"/>
      <c r="K1674" s="131"/>
      <c r="L1674" s="131"/>
      <c r="U1674" s="131"/>
      <c r="V1674" s="131"/>
      <c r="W1674" s="131"/>
      <c r="X1674" s="131"/>
    </row>
    <row r="1675" spans="9:24" x14ac:dyDescent="0.25">
      <c r="I1675" s="131"/>
      <c r="J1675" s="131"/>
      <c r="K1675" s="131"/>
      <c r="L1675" s="131"/>
      <c r="U1675" s="131"/>
      <c r="V1675" s="131"/>
      <c r="W1675" s="131"/>
      <c r="X1675" s="131"/>
    </row>
    <row r="1676" spans="9:24" x14ac:dyDescent="0.25">
      <c r="I1676" s="131"/>
      <c r="J1676" s="131"/>
      <c r="K1676" s="131"/>
      <c r="L1676" s="131"/>
      <c r="U1676" s="131"/>
      <c r="V1676" s="131"/>
      <c r="W1676" s="131"/>
      <c r="X1676" s="131"/>
    </row>
    <row r="1677" spans="9:24" x14ac:dyDescent="0.25">
      <c r="I1677" s="131"/>
      <c r="J1677" s="131"/>
      <c r="K1677" s="131"/>
      <c r="L1677" s="131"/>
      <c r="U1677" s="131"/>
      <c r="V1677" s="131"/>
      <c r="W1677" s="131"/>
      <c r="X1677" s="131"/>
    </row>
    <row r="1678" spans="9:24" x14ac:dyDescent="0.25">
      <c r="I1678" s="131"/>
      <c r="J1678" s="131"/>
      <c r="K1678" s="131"/>
      <c r="L1678" s="131"/>
      <c r="U1678" s="131"/>
      <c r="V1678" s="131"/>
      <c r="W1678" s="131"/>
      <c r="X1678" s="131"/>
    </row>
    <row r="1679" spans="9:24" x14ac:dyDescent="0.25">
      <c r="I1679" s="131"/>
      <c r="J1679" s="131"/>
      <c r="K1679" s="131"/>
      <c r="L1679" s="131"/>
      <c r="U1679" s="131"/>
      <c r="V1679" s="131"/>
      <c r="W1679" s="131"/>
      <c r="X1679" s="131"/>
    </row>
    <row r="1680" spans="9:24" x14ac:dyDescent="0.25">
      <c r="I1680" s="131"/>
      <c r="J1680" s="131"/>
      <c r="K1680" s="131"/>
      <c r="L1680" s="131"/>
      <c r="U1680" s="131"/>
      <c r="V1680" s="131"/>
      <c r="W1680" s="131"/>
      <c r="X1680" s="131"/>
    </row>
    <row r="1681" spans="9:24" x14ac:dyDescent="0.25">
      <c r="I1681" s="131"/>
      <c r="J1681" s="131"/>
      <c r="K1681" s="131"/>
      <c r="L1681" s="131"/>
      <c r="U1681" s="131"/>
      <c r="V1681" s="131"/>
      <c r="W1681" s="131"/>
      <c r="X1681" s="131"/>
    </row>
    <row r="1682" spans="9:24" x14ac:dyDescent="0.25">
      <c r="I1682" s="131"/>
      <c r="J1682" s="131"/>
      <c r="K1682" s="131"/>
      <c r="L1682" s="131"/>
      <c r="U1682" s="131"/>
      <c r="V1682" s="131"/>
      <c r="W1682" s="131"/>
      <c r="X1682" s="131"/>
    </row>
    <row r="1683" spans="9:24" x14ac:dyDescent="0.25">
      <c r="I1683" s="131"/>
      <c r="J1683" s="131"/>
      <c r="K1683" s="131"/>
      <c r="L1683" s="131"/>
      <c r="U1683" s="131"/>
      <c r="V1683" s="131"/>
      <c r="W1683" s="131"/>
      <c r="X1683" s="131"/>
    </row>
    <row r="1684" spans="9:24" x14ac:dyDescent="0.25">
      <c r="I1684" s="131"/>
      <c r="J1684" s="131"/>
      <c r="K1684" s="131"/>
      <c r="L1684" s="131"/>
      <c r="U1684" s="131"/>
      <c r="V1684" s="131"/>
      <c r="W1684" s="131"/>
      <c r="X1684" s="131"/>
    </row>
    <row r="1685" spans="9:24" x14ac:dyDescent="0.25">
      <c r="I1685" s="131"/>
      <c r="J1685" s="131"/>
      <c r="K1685" s="131"/>
      <c r="L1685" s="131"/>
      <c r="U1685" s="131"/>
      <c r="V1685" s="131"/>
      <c r="W1685" s="131"/>
      <c r="X1685" s="131"/>
    </row>
    <row r="1686" spans="9:24" x14ac:dyDescent="0.25">
      <c r="I1686" s="131"/>
      <c r="J1686" s="131"/>
      <c r="K1686" s="131"/>
      <c r="L1686" s="131"/>
      <c r="U1686" s="131"/>
      <c r="V1686" s="131"/>
      <c r="W1686" s="131"/>
      <c r="X1686" s="131"/>
    </row>
    <row r="1687" spans="9:24" x14ac:dyDescent="0.25">
      <c r="I1687" s="131"/>
      <c r="J1687" s="131"/>
      <c r="K1687" s="131"/>
      <c r="L1687" s="131"/>
      <c r="U1687" s="131"/>
      <c r="V1687" s="131"/>
      <c r="W1687" s="131"/>
      <c r="X1687" s="131"/>
    </row>
    <row r="1688" spans="9:24" x14ac:dyDescent="0.25">
      <c r="I1688" s="131"/>
      <c r="J1688" s="131"/>
      <c r="K1688" s="131"/>
      <c r="L1688" s="131"/>
      <c r="U1688" s="131"/>
      <c r="V1688" s="131"/>
      <c r="W1688" s="131"/>
      <c r="X1688" s="131"/>
    </row>
    <row r="1689" spans="9:24" x14ac:dyDescent="0.25">
      <c r="I1689" s="131"/>
      <c r="J1689" s="131"/>
      <c r="K1689" s="131"/>
      <c r="L1689" s="131"/>
      <c r="U1689" s="131"/>
      <c r="V1689" s="131"/>
      <c r="W1689" s="131"/>
      <c r="X1689" s="131"/>
    </row>
    <row r="1690" spans="9:24" x14ac:dyDescent="0.25">
      <c r="I1690" s="131"/>
      <c r="J1690" s="131"/>
      <c r="K1690" s="131"/>
      <c r="L1690" s="131"/>
      <c r="U1690" s="131"/>
      <c r="V1690" s="131"/>
      <c r="W1690" s="131"/>
      <c r="X1690" s="131"/>
    </row>
    <row r="1691" spans="9:24" x14ac:dyDescent="0.25">
      <c r="I1691" s="131"/>
      <c r="J1691" s="131"/>
      <c r="K1691" s="131"/>
      <c r="L1691" s="131"/>
      <c r="U1691" s="131"/>
      <c r="V1691" s="131"/>
      <c r="W1691" s="131"/>
      <c r="X1691" s="131"/>
    </row>
    <row r="1692" spans="9:24" x14ac:dyDescent="0.25">
      <c r="I1692" s="131"/>
      <c r="J1692" s="131"/>
      <c r="K1692" s="131"/>
      <c r="L1692" s="131"/>
      <c r="U1692" s="131"/>
      <c r="V1692" s="131"/>
      <c r="W1692" s="131"/>
      <c r="X1692" s="131"/>
    </row>
    <row r="1693" spans="9:24" x14ac:dyDescent="0.25">
      <c r="I1693" s="131"/>
      <c r="J1693" s="131"/>
      <c r="K1693" s="131"/>
      <c r="L1693" s="131"/>
      <c r="U1693" s="131"/>
      <c r="V1693" s="131"/>
      <c r="W1693" s="131"/>
      <c r="X1693" s="131"/>
    </row>
    <row r="1694" spans="9:24" x14ac:dyDescent="0.25">
      <c r="I1694" s="131"/>
      <c r="J1694" s="131"/>
      <c r="K1694" s="131"/>
      <c r="L1694" s="131"/>
      <c r="U1694" s="131"/>
      <c r="V1694" s="131"/>
      <c r="W1694" s="131"/>
      <c r="X1694" s="131"/>
    </row>
    <row r="1695" spans="9:24" x14ac:dyDescent="0.25">
      <c r="I1695" s="131"/>
      <c r="J1695" s="131"/>
      <c r="K1695" s="131"/>
      <c r="L1695" s="131"/>
      <c r="U1695" s="131"/>
      <c r="V1695" s="131"/>
      <c r="W1695" s="131"/>
      <c r="X1695" s="131"/>
    </row>
    <row r="1696" spans="9:24" x14ac:dyDescent="0.25">
      <c r="I1696" s="131"/>
      <c r="J1696" s="131"/>
      <c r="K1696" s="131"/>
      <c r="L1696" s="131"/>
      <c r="U1696" s="131"/>
      <c r="V1696" s="131"/>
      <c r="W1696" s="131"/>
      <c r="X1696" s="131"/>
    </row>
    <row r="1697" spans="9:24" x14ac:dyDescent="0.25">
      <c r="I1697" s="131"/>
      <c r="J1697" s="131"/>
      <c r="K1697" s="131"/>
      <c r="L1697" s="131"/>
      <c r="U1697" s="131"/>
      <c r="V1697" s="131"/>
      <c r="W1697" s="131"/>
      <c r="X1697" s="131"/>
    </row>
    <row r="1698" spans="9:24" x14ac:dyDescent="0.25">
      <c r="I1698" s="131"/>
      <c r="J1698" s="131"/>
      <c r="K1698" s="131"/>
      <c r="L1698" s="131"/>
      <c r="U1698" s="131"/>
      <c r="V1698" s="131"/>
      <c r="W1698" s="131"/>
      <c r="X1698" s="131"/>
    </row>
    <row r="1699" spans="9:24" x14ac:dyDescent="0.25">
      <c r="I1699" s="131"/>
      <c r="J1699" s="131"/>
      <c r="K1699" s="131"/>
      <c r="L1699" s="131"/>
      <c r="U1699" s="131"/>
      <c r="V1699" s="131"/>
      <c r="W1699" s="131"/>
      <c r="X1699" s="131"/>
    </row>
    <row r="1700" spans="9:24" x14ac:dyDescent="0.25">
      <c r="I1700" s="131"/>
      <c r="J1700" s="131"/>
      <c r="K1700" s="131"/>
      <c r="L1700" s="131"/>
      <c r="U1700" s="131"/>
      <c r="V1700" s="131"/>
      <c r="W1700" s="131"/>
      <c r="X1700" s="131"/>
    </row>
    <row r="1701" spans="9:24" x14ac:dyDescent="0.25">
      <c r="I1701" s="131"/>
      <c r="J1701" s="131"/>
      <c r="K1701" s="131"/>
      <c r="L1701" s="131"/>
      <c r="U1701" s="131"/>
      <c r="V1701" s="131"/>
      <c r="W1701" s="131"/>
      <c r="X1701" s="131"/>
    </row>
    <row r="1702" spans="9:24" x14ac:dyDescent="0.25">
      <c r="I1702" s="131"/>
      <c r="J1702" s="131"/>
      <c r="K1702" s="131"/>
      <c r="L1702" s="131"/>
      <c r="U1702" s="131"/>
      <c r="V1702" s="131"/>
      <c r="W1702" s="131"/>
      <c r="X1702" s="131"/>
    </row>
    <row r="1703" spans="9:24" x14ac:dyDescent="0.25">
      <c r="I1703" s="131"/>
      <c r="J1703" s="131"/>
      <c r="K1703" s="131"/>
      <c r="L1703" s="131"/>
      <c r="U1703" s="131"/>
      <c r="V1703" s="131"/>
      <c r="W1703" s="131"/>
      <c r="X1703" s="131"/>
    </row>
    <row r="1704" spans="9:24" x14ac:dyDescent="0.25">
      <c r="I1704" s="131"/>
      <c r="J1704" s="131"/>
      <c r="K1704" s="131"/>
      <c r="L1704" s="131"/>
      <c r="U1704" s="131"/>
      <c r="V1704" s="131"/>
      <c r="W1704" s="131"/>
      <c r="X1704" s="131"/>
    </row>
    <row r="1705" spans="9:24" x14ac:dyDescent="0.25">
      <c r="I1705" s="131"/>
      <c r="J1705" s="131"/>
      <c r="K1705" s="131"/>
      <c r="L1705" s="131"/>
      <c r="U1705" s="131"/>
      <c r="V1705" s="131"/>
      <c r="W1705" s="131"/>
      <c r="X1705" s="131"/>
    </row>
    <row r="1706" spans="9:24" x14ac:dyDescent="0.25">
      <c r="I1706" s="131"/>
      <c r="J1706" s="131"/>
      <c r="K1706" s="131"/>
      <c r="L1706" s="131"/>
      <c r="U1706" s="131"/>
      <c r="V1706" s="131"/>
      <c r="W1706" s="131"/>
      <c r="X1706" s="131"/>
    </row>
    <row r="1707" spans="9:24" x14ac:dyDescent="0.25">
      <c r="I1707" s="131"/>
      <c r="J1707" s="131"/>
      <c r="K1707" s="131"/>
      <c r="L1707" s="131"/>
      <c r="U1707" s="131"/>
      <c r="V1707" s="131"/>
      <c r="W1707" s="131"/>
      <c r="X1707" s="131"/>
    </row>
    <row r="1708" spans="9:24" x14ac:dyDescent="0.25">
      <c r="I1708" s="131"/>
      <c r="J1708" s="131"/>
      <c r="K1708" s="131"/>
      <c r="L1708" s="131"/>
      <c r="U1708" s="131"/>
      <c r="V1708" s="131"/>
      <c r="W1708" s="131"/>
      <c r="X1708" s="131"/>
    </row>
    <row r="1709" spans="9:24" x14ac:dyDescent="0.25">
      <c r="I1709" s="131"/>
      <c r="J1709" s="131"/>
      <c r="K1709" s="131"/>
      <c r="L1709" s="131"/>
      <c r="U1709" s="131"/>
      <c r="V1709" s="131"/>
      <c r="W1709" s="131"/>
      <c r="X1709" s="131"/>
    </row>
    <row r="1710" spans="9:24" x14ac:dyDescent="0.25">
      <c r="I1710" s="131"/>
      <c r="J1710" s="131"/>
      <c r="K1710" s="131"/>
      <c r="L1710" s="131"/>
      <c r="U1710" s="131"/>
      <c r="V1710" s="131"/>
      <c r="W1710" s="131"/>
      <c r="X1710" s="131"/>
    </row>
    <row r="1711" spans="9:24" x14ac:dyDescent="0.25">
      <c r="I1711" s="131"/>
      <c r="J1711" s="131"/>
      <c r="K1711" s="131"/>
      <c r="L1711" s="131"/>
      <c r="U1711" s="131"/>
      <c r="V1711" s="131"/>
      <c r="W1711" s="131"/>
      <c r="X1711" s="131"/>
    </row>
    <row r="1712" spans="9:24" x14ac:dyDescent="0.25">
      <c r="I1712" s="131"/>
      <c r="J1712" s="131"/>
      <c r="K1712" s="131"/>
      <c r="L1712" s="131"/>
      <c r="U1712" s="131"/>
      <c r="V1712" s="131"/>
      <c r="W1712" s="131"/>
      <c r="X1712" s="131"/>
    </row>
    <row r="1713" spans="9:24" x14ac:dyDescent="0.25">
      <c r="I1713" s="131"/>
      <c r="J1713" s="131"/>
      <c r="K1713" s="131"/>
      <c r="L1713" s="131"/>
      <c r="U1713" s="131"/>
      <c r="V1713" s="131"/>
      <c r="W1713" s="131"/>
      <c r="X1713" s="131"/>
    </row>
    <row r="1714" spans="9:24" x14ac:dyDescent="0.25">
      <c r="I1714" s="131"/>
      <c r="J1714" s="131"/>
      <c r="K1714" s="131"/>
      <c r="L1714" s="131"/>
      <c r="U1714" s="131"/>
      <c r="V1714" s="131"/>
      <c r="W1714" s="131"/>
      <c r="X1714" s="131"/>
    </row>
    <row r="1715" spans="9:24" x14ac:dyDescent="0.25">
      <c r="I1715" s="131"/>
      <c r="J1715" s="131"/>
      <c r="K1715" s="131"/>
      <c r="L1715" s="131"/>
      <c r="U1715" s="131"/>
      <c r="V1715" s="131"/>
      <c r="W1715" s="131"/>
      <c r="X1715" s="131"/>
    </row>
    <row r="1716" spans="9:24" x14ac:dyDescent="0.25">
      <c r="I1716" s="131"/>
      <c r="J1716" s="131"/>
      <c r="K1716" s="131"/>
      <c r="L1716" s="131"/>
      <c r="U1716" s="131"/>
      <c r="V1716" s="131"/>
      <c r="W1716" s="131"/>
      <c r="X1716" s="131"/>
    </row>
    <row r="1717" spans="9:24" x14ac:dyDescent="0.25">
      <c r="I1717" s="131"/>
      <c r="J1717" s="131"/>
      <c r="K1717" s="131"/>
      <c r="L1717" s="131"/>
      <c r="U1717" s="131"/>
      <c r="V1717" s="131"/>
      <c r="W1717" s="131"/>
      <c r="X1717" s="131"/>
    </row>
    <row r="1718" spans="9:24" x14ac:dyDescent="0.25">
      <c r="I1718" s="131"/>
      <c r="J1718" s="131"/>
      <c r="K1718" s="131"/>
      <c r="L1718" s="131"/>
      <c r="U1718" s="131"/>
      <c r="V1718" s="131"/>
      <c r="W1718" s="131"/>
      <c r="X1718" s="131"/>
    </row>
    <row r="1719" spans="9:24" x14ac:dyDescent="0.25">
      <c r="I1719" s="131"/>
      <c r="J1719" s="131"/>
      <c r="K1719" s="131"/>
      <c r="L1719" s="131"/>
      <c r="U1719" s="131"/>
      <c r="V1719" s="131"/>
      <c r="W1719" s="131"/>
      <c r="X1719" s="131"/>
    </row>
    <row r="1720" spans="9:24" x14ac:dyDescent="0.25">
      <c r="I1720" s="131"/>
      <c r="J1720" s="131"/>
      <c r="K1720" s="131"/>
      <c r="L1720" s="131"/>
      <c r="U1720" s="131"/>
      <c r="V1720" s="131"/>
      <c r="W1720" s="131"/>
      <c r="X1720" s="131"/>
    </row>
    <row r="1721" spans="9:24" x14ac:dyDescent="0.25">
      <c r="I1721" s="131"/>
      <c r="J1721" s="131"/>
      <c r="K1721" s="131"/>
      <c r="L1721" s="131"/>
      <c r="U1721" s="131"/>
      <c r="V1721" s="131"/>
      <c r="W1721" s="131"/>
      <c r="X1721" s="131"/>
    </row>
    <row r="1722" spans="9:24" x14ac:dyDescent="0.25">
      <c r="I1722" s="131"/>
      <c r="J1722" s="131"/>
      <c r="K1722" s="131"/>
      <c r="L1722" s="131"/>
      <c r="U1722" s="131"/>
      <c r="V1722" s="131"/>
      <c r="W1722" s="131"/>
      <c r="X1722" s="131"/>
    </row>
    <row r="1723" spans="9:24" x14ac:dyDescent="0.25">
      <c r="I1723" s="131"/>
      <c r="J1723" s="131"/>
      <c r="K1723" s="131"/>
      <c r="L1723" s="131"/>
      <c r="U1723" s="131"/>
      <c r="V1723" s="131"/>
      <c r="W1723" s="131"/>
      <c r="X1723" s="131"/>
    </row>
    <row r="1724" spans="9:24" x14ac:dyDescent="0.25">
      <c r="I1724" s="131"/>
      <c r="J1724" s="131"/>
      <c r="K1724" s="131"/>
      <c r="L1724" s="131"/>
      <c r="U1724" s="131"/>
      <c r="V1724" s="131"/>
      <c r="W1724" s="131"/>
      <c r="X1724" s="131"/>
    </row>
    <row r="1725" spans="9:24" x14ac:dyDescent="0.25">
      <c r="I1725" s="131"/>
      <c r="J1725" s="131"/>
      <c r="K1725" s="131"/>
      <c r="L1725" s="131"/>
      <c r="U1725" s="131"/>
      <c r="V1725" s="131"/>
      <c r="W1725" s="131"/>
      <c r="X1725" s="131"/>
    </row>
    <row r="1726" spans="9:24" x14ac:dyDescent="0.25">
      <c r="I1726" s="131"/>
      <c r="J1726" s="131"/>
      <c r="K1726" s="131"/>
      <c r="L1726" s="131"/>
      <c r="U1726" s="131"/>
      <c r="V1726" s="131"/>
      <c r="W1726" s="131"/>
      <c r="X1726" s="131"/>
    </row>
    <row r="1727" spans="9:24" x14ac:dyDescent="0.25">
      <c r="I1727" s="131"/>
      <c r="J1727" s="131"/>
      <c r="K1727" s="131"/>
      <c r="L1727" s="131"/>
      <c r="U1727" s="131"/>
      <c r="V1727" s="131"/>
      <c r="W1727" s="131"/>
      <c r="X1727" s="131"/>
    </row>
    <row r="1728" spans="9:24" x14ac:dyDescent="0.25">
      <c r="I1728" s="131"/>
      <c r="J1728" s="131"/>
      <c r="K1728" s="131"/>
      <c r="L1728" s="131"/>
      <c r="U1728" s="131"/>
      <c r="V1728" s="131"/>
      <c r="W1728" s="131"/>
      <c r="X1728" s="131"/>
    </row>
    <row r="1729" spans="9:24" x14ac:dyDescent="0.25">
      <c r="I1729" s="131"/>
      <c r="J1729" s="131"/>
      <c r="K1729" s="131"/>
      <c r="L1729" s="131"/>
      <c r="U1729" s="131"/>
      <c r="V1729" s="131"/>
      <c r="W1729" s="131"/>
      <c r="X1729" s="131"/>
    </row>
    <row r="1730" spans="9:24" x14ac:dyDescent="0.25">
      <c r="I1730" s="131"/>
      <c r="J1730" s="131"/>
      <c r="K1730" s="131"/>
      <c r="L1730" s="131"/>
      <c r="U1730" s="131"/>
      <c r="V1730" s="131"/>
      <c r="W1730" s="131"/>
      <c r="X1730" s="131"/>
    </row>
    <row r="1731" spans="9:24" x14ac:dyDescent="0.25">
      <c r="I1731" s="131"/>
      <c r="J1731" s="131"/>
      <c r="K1731" s="131"/>
      <c r="L1731" s="131"/>
      <c r="U1731" s="131"/>
      <c r="V1731" s="131"/>
      <c r="W1731" s="131"/>
      <c r="X1731" s="131"/>
    </row>
    <row r="1732" spans="9:24" x14ac:dyDescent="0.25">
      <c r="I1732" s="131"/>
      <c r="J1732" s="131"/>
      <c r="K1732" s="131"/>
      <c r="L1732" s="131"/>
      <c r="U1732" s="131"/>
      <c r="V1732" s="131"/>
      <c r="W1732" s="131"/>
      <c r="X1732" s="131"/>
    </row>
    <row r="1733" spans="9:24" x14ac:dyDescent="0.25">
      <c r="I1733" s="131"/>
      <c r="J1733" s="131"/>
      <c r="K1733" s="131"/>
      <c r="L1733" s="131"/>
      <c r="U1733" s="131"/>
      <c r="V1733" s="131"/>
      <c r="W1733" s="131"/>
      <c r="X1733" s="131"/>
    </row>
    <row r="1734" spans="9:24" x14ac:dyDescent="0.25">
      <c r="I1734" s="131"/>
      <c r="J1734" s="131"/>
      <c r="K1734" s="131"/>
      <c r="L1734" s="131"/>
      <c r="U1734" s="131"/>
      <c r="V1734" s="131"/>
      <c r="W1734" s="131"/>
      <c r="X1734" s="131"/>
    </row>
    <row r="1735" spans="9:24" x14ac:dyDescent="0.25">
      <c r="I1735" s="131"/>
      <c r="J1735" s="131"/>
      <c r="K1735" s="131"/>
      <c r="L1735" s="131"/>
      <c r="U1735" s="131"/>
      <c r="V1735" s="131"/>
      <c r="W1735" s="131"/>
      <c r="X1735" s="131"/>
    </row>
    <row r="1736" spans="9:24" x14ac:dyDescent="0.25">
      <c r="I1736" s="131"/>
      <c r="J1736" s="131"/>
      <c r="K1736" s="131"/>
      <c r="L1736" s="131"/>
      <c r="U1736" s="131"/>
      <c r="V1736" s="131"/>
      <c r="W1736" s="131"/>
      <c r="X1736" s="131"/>
    </row>
    <row r="1737" spans="9:24" x14ac:dyDescent="0.25">
      <c r="I1737" s="131"/>
      <c r="J1737" s="131"/>
      <c r="K1737" s="131"/>
      <c r="L1737" s="131"/>
      <c r="U1737" s="131"/>
      <c r="V1737" s="131"/>
      <c r="W1737" s="131"/>
      <c r="X1737" s="131"/>
    </row>
    <row r="1738" spans="9:24" x14ac:dyDescent="0.25">
      <c r="I1738" s="131"/>
      <c r="J1738" s="131"/>
      <c r="K1738" s="131"/>
      <c r="L1738" s="131"/>
      <c r="U1738" s="131"/>
      <c r="V1738" s="131"/>
      <c r="W1738" s="131"/>
      <c r="X1738" s="131"/>
    </row>
    <row r="1739" spans="9:24" x14ac:dyDescent="0.25">
      <c r="I1739" s="131"/>
      <c r="J1739" s="131"/>
      <c r="K1739" s="131"/>
      <c r="L1739" s="131"/>
      <c r="U1739" s="131"/>
      <c r="V1739" s="131"/>
      <c r="W1739" s="131"/>
      <c r="X1739" s="131"/>
    </row>
    <row r="1740" spans="9:24" x14ac:dyDescent="0.25">
      <c r="I1740" s="131"/>
      <c r="J1740" s="131"/>
      <c r="K1740" s="131"/>
      <c r="L1740" s="131"/>
      <c r="U1740" s="131"/>
      <c r="V1740" s="131"/>
      <c r="W1740" s="131"/>
      <c r="X1740" s="131"/>
    </row>
    <row r="1741" spans="9:24" x14ac:dyDescent="0.25">
      <c r="I1741" s="131"/>
      <c r="J1741" s="131"/>
      <c r="K1741" s="131"/>
      <c r="L1741" s="131"/>
      <c r="U1741" s="131"/>
      <c r="V1741" s="131"/>
      <c r="W1741" s="131"/>
      <c r="X1741" s="131"/>
    </row>
    <row r="1742" spans="9:24" x14ac:dyDescent="0.25">
      <c r="I1742" s="131"/>
      <c r="J1742" s="131"/>
      <c r="K1742" s="131"/>
      <c r="L1742" s="131"/>
      <c r="U1742" s="131"/>
      <c r="V1742" s="131"/>
      <c r="W1742" s="131"/>
      <c r="X1742" s="131"/>
    </row>
    <row r="1743" spans="9:24" x14ac:dyDescent="0.25">
      <c r="I1743" s="131"/>
      <c r="J1743" s="131"/>
      <c r="K1743" s="131"/>
      <c r="L1743" s="131"/>
      <c r="U1743" s="131"/>
      <c r="V1743" s="131"/>
      <c r="W1743" s="131"/>
      <c r="X1743" s="131"/>
    </row>
    <row r="1744" spans="9:24" x14ac:dyDescent="0.25">
      <c r="I1744" s="131"/>
      <c r="J1744" s="131"/>
      <c r="K1744" s="131"/>
      <c r="L1744" s="131"/>
      <c r="U1744" s="131"/>
      <c r="V1744" s="131"/>
      <c r="W1744" s="131"/>
      <c r="X1744" s="131"/>
    </row>
    <row r="1745" spans="9:24" x14ac:dyDescent="0.25">
      <c r="I1745" s="131"/>
      <c r="J1745" s="131"/>
      <c r="K1745" s="131"/>
      <c r="L1745" s="131"/>
      <c r="U1745" s="131"/>
      <c r="V1745" s="131"/>
      <c r="W1745" s="131"/>
      <c r="X1745" s="131"/>
    </row>
    <row r="1746" spans="9:24" x14ac:dyDescent="0.25">
      <c r="I1746" s="131"/>
      <c r="J1746" s="131"/>
      <c r="K1746" s="131"/>
      <c r="L1746" s="131"/>
      <c r="U1746" s="131"/>
      <c r="V1746" s="131"/>
      <c r="W1746" s="131"/>
      <c r="X1746" s="131"/>
    </row>
    <row r="1747" spans="9:24" x14ac:dyDescent="0.25">
      <c r="I1747" s="131"/>
      <c r="J1747" s="131"/>
      <c r="K1747" s="131"/>
      <c r="L1747" s="131"/>
      <c r="U1747" s="131"/>
      <c r="V1747" s="131"/>
      <c r="W1747" s="131"/>
      <c r="X1747" s="131"/>
    </row>
    <row r="1748" spans="9:24" x14ac:dyDescent="0.25">
      <c r="I1748" s="131"/>
      <c r="J1748" s="131"/>
      <c r="K1748" s="131"/>
      <c r="L1748" s="131"/>
      <c r="U1748" s="131"/>
      <c r="V1748" s="131"/>
      <c r="W1748" s="131"/>
      <c r="X1748" s="131"/>
    </row>
    <row r="1749" spans="9:24" x14ac:dyDescent="0.25">
      <c r="I1749" s="131"/>
      <c r="J1749" s="131"/>
      <c r="K1749" s="131"/>
      <c r="L1749" s="131"/>
      <c r="U1749" s="131"/>
      <c r="V1749" s="131"/>
      <c r="W1749" s="131"/>
      <c r="X1749" s="131"/>
    </row>
    <row r="1750" spans="9:24" x14ac:dyDescent="0.25">
      <c r="I1750" s="131"/>
      <c r="J1750" s="131"/>
      <c r="K1750" s="131"/>
      <c r="L1750" s="131"/>
      <c r="U1750" s="131"/>
      <c r="V1750" s="131"/>
      <c r="W1750" s="131"/>
      <c r="X1750" s="131"/>
    </row>
    <row r="1751" spans="9:24" x14ac:dyDescent="0.25">
      <c r="I1751" s="131"/>
      <c r="J1751" s="131"/>
      <c r="K1751" s="131"/>
      <c r="L1751" s="131"/>
      <c r="U1751" s="131"/>
      <c r="V1751" s="131"/>
      <c r="W1751" s="131"/>
      <c r="X1751" s="131"/>
    </row>
    <row r="1752" spans="9:24" x14ac:dyDescent="0.25">
      <c r="I1752" s="131"/>
      <c r="J1752" s="131"/>
      <c r="K1752" s="131"/>
      <c r="L1752" s="131"/>
      <c r="U1752" s="131"/>
      <c r="V1752" s="131"/>
      <c r="W1752" s="131"/>
      <c r="X1752" s="131"/>
    </row>
    <row r="1753" spans="9:24" x14ac:dyDescent="0.25">
      <c r="I1753" s="131"/>
      <c r="J1753" s="131"/>
      <c r="K1753" s="131"/>
      <c r="L1753" s="131"/>
      <c r="U1753" s="131"/>
      <c r="V1753" s="131"/>
      <c r="W1753" s="131"/>
      <c r="X1753" s="131"/>
    </row>
    <row r="1754" spans="9:24" x14ac:dyDescent="0.25">
      <c r="I1754" s="131"/>
      <c r="J1754" s="131"/>
      <c r="K1754" s="131"/>
      <c r="L1754" s="131"/>
      <c r="U1754" s="131"/>
      <c r="V1754" s="131"/>
      <c r="W1754" s="131"/>
      <c r="X1754" s="131"/>
    </row>
    <row r="1755" spans="9:24" x14ac:dyDescent="0.25">
      <c r="I1755" s="131"/>
      <c r="J1755" s="131"/>
      <c r="K1755" s="131"/>
      <c r="L1755" s="131"/>
      <c r="U1755" s="131"/>
      <c r="V1755" s="131"/>
      <c r="W1755" s="131"/>
      <c r="X1755" s="131"/>
    </row>
    <row r="1756" spans="9:24" x14ac:dyDescent="0.25">
      <c r="I1756" s="131"/>
      <c r="J1756" s="131"/>
      <c r="K1756" s="131"/>
      <c r="L1756" s="131"/>
      <c r="U1756" s="131"/>
      <c r="V1756" s="131"/>
      <c r="W1756" s="131"/>
      <c r="X1756" s="131"/>
    </row>
    <row r="1757" spans="9:24" x14ac:dyDescent="0.25">
      <c r="I1757" s="131"/>
      <c r="J1757" s="131"/>
      <c r="K1757" s="131"/>
      <c r="L1757" s="131"/>
      <c r="U1757" s="131"/>
      <c r="V1757" s="131"/>
      <c r="W1757" s="131"/>
      <c r="X1757" s="131"/>
    </row>
    <row r="1758" spans="9:24" x14ac:dyDescent="0.25">
      <c r="I1758" s="131"/>
      <c r="J1758" s="131"/>
      <c r="K1758" s="131"/>
      <c r="L1758" s="131"/>
      <c r="U1758" s="131"/>
      <c r="V1758" s="131"/>
      <c r="W1758" s="131"/>
      <c r="X1758" s="131"/>
    </row>
    <row r="1759" spans="9:24" x14ac:dyDescent="0.25">
      <c r="I1759" s="131"/>
      <c r="J1759" s="131"/>
      <c r="K1759" s="131"/>
      <c r="L1759" s="131"/>
      <c r="U1759" s="131"/>
      <c r="V1759" s="131"/>
      <c r="W1759" s="131"/>
      <c r="X1759" s="131"/>
    </row>
    <row r="1760" spans="9:24" x14ac:dyDescent="0.25">
      <c r="I1760" s="131"/>
      <c r="J1760" s="131"/>
      <c r="K1760" s="131"/>
      <c r="L1760" s="131"/>
      <c r="U1760" s="131"/>
      <c r="V1760" s="131"/>
      <c r="W1760" s="131"/>
      <c r="X1760" s="131"/>
    </row>
    <row r="1761" spans="9:24" x14ac:dyDescent="0.25">
      <c r="I1761" s="131"/>
      <c r="J1761" s="131"/>
      <c r="K1761" s="131"/>
      <c r="L1761" s="131"/>
      <c r="U1761" s="131"/>
      <c r="V1761" s="131"/>
      <c r="W1761" s="131"/>
      <c r="X1761" s="131"/>
    </row>
    <row r="1762" spans="9:24" x14ac:dyDescent="0.25">
      <c r="I1762" s="131"/>
      <c r="J1762" s="131"/>
      <c r="K1762" s="131"/>
      <c r="L1762" s="131"/>
      <c r="U1762" s="131"/>
      <c r="V1762" s="131"/>
      <c r="W1762" s="131"/>
      <c r="X1762" s="131"/>
    </row>
    <row r="1763" spans="9:24" x14ac:dyDescent="0.25">
      <c r="I1763" s="131"/>
      <c r="J1763" s="131"/>
      <c r="K1763" s="131"/>
      <c r="L1763" s="131"/>
      <c r="U1763" s="131"/>
      <c r="V1763" s="131"/>
      <c r="W1763" s="131"/>
      <c r="X1763" s="131"/>
    </row>
    <row r="1764" spans="9:24" x14ac:dyDescent="0.25">
      <c r="I1764" s="131"/>
      <c r="J1764" s="131"/>
      <c r="K1764" s="131"/>
      <c r="L1764" s="131"/>
      <c r="U1764" s="131"/>
      <c r="V1764" s="131"/>
      <c r="W1764" s="131"/>
      <c r="X1764" s="131"/>
    </row>
    <row r="1765" spans="9:24" x14ac:dyDescent="0.25">
      <c r="I1765" s="131"/>
      <c r="J1765" s="131"/>
      <c r="K1765" s="131"/>
      <c r="L1765" s="131"/>
      <c r="U1765" s="131"/>
      <c r="V1765" s="131"/>
      <c r="W1765" s="131"/>
      <c r="X1765" s="131"/>
    </row>
    <row r="1766" spans="9:24" x14ac:dyDescent="0.25">
      <c r="I1766" s="131"/>
      <c r="J1766" s="131"/>
      <c r="K1766" s="131"/>
      <c r="L1766" s="131"/>
      <c r="U1766" s="131"/>
      <c r="V1766" s="131"/>
      <c r="W1766" s="131"/>
      <c r="X1766" s="131"/>
    </row>
    <row r="1767" spans="9:24" x14ac:dyDescent="0.25">
      <c r="I1767" s="131"/>
      <c r="J1767" s="131"/>
      <c r="K1767" s="131"/>
      <c r="L1767" s="131"/>
      <c r="U1767" s="131"/>
      <c r="V1767" s="131"/>
      <c r="W1767" s="131"/>
      <c r="X1767" s="131"/>
    </row>
    <row r="1768" spans="9:24" x14ac:dyDescent="0.25">
      <c r="I1768" s="131"/>
      <c r="J1768" s="131"/>
      <c r="K1768" s="131"/>
      <c r="L1768" s="131"/>
      <c r="U1768" s="131"/>
      <c r="V1768" s="131"/>
      <c r="W1768" s="131"/>
      <c r="X1768" s="131"/>
    </row>
    <row r="1769" spans="9:24" x14ac:dyDescent="0.25">
      <c r="I1769" s="131"/>
      <c r="J1769" s="131"/>
      <c r="K1769" s="131"/>
      <c r="L1769" s="131"/>
      <c r="U1769" s="131"/>
      <c r="V1769" s="131"/>
      <c r="W1769" s="131"/>
      <c r="X1769" s="131"/>
    </row>
    <row r="1770" spans="9:24" x14ac:dyDescent="0.25">
      <c r="I1770" s="131"/>
      <c r="J1770" s="131"/>
      <c r="K1770" s="131"/>
      <c r="L1770" s="131"/>
      <c r="U1770" s="131"/>
      <c r="V1770" s="131"/>
      <c r="W1770" s="131"/>
      <c r="X1770" s="131"/>
    </row>
    <row r="1771" spans="9:24" x14ac:dyDescent="0.25">
      <c r="I1771" s="131"/>
      <c r="J1771" s="131"/>
      <c r="K1771" s="131"/>
      <c r="L1771" s="131"/>
      <c r="U1771" s="131"/>
      <c r="V1771" s="131"/>
      <c r="W1771" s="131"/>
      <c r="X1771" s="131"/>
    </row>
    <row r="1772" spans="9:24" x14ac:dyDescent="0.25">
      <c r="I1772" s="131"/>
      <c r="J1772" s="131"/>
      <c r="K1772" s="131"/>
      <c r="L1772" s="131"/>
      <c r="U1772" s="131"/>
      <c r="V1772" s="131"/>
      <c r="W1772" s="131"/>
      <c r="X1772" s="131"/>
    </row>
    <row r="1773" spans="9:24" x14ac:dyDescent="0.25">
      <c r="I1773" s="131"/>
      <c r="J1773" s="131"/>
      <c r="K1773" s="131"/>
      <c r="L1773" s="131"/>
      <c r="U1773" s="131"/>
      <c r="V1773" s="131"/>
      <c r="W1773" s="131"/>
      <c r="X1773" s="131"/>
    </row>
    <row r="1774" spans="9:24" x14ac:dyDescent="0.25">
      <c r="I1774" s="131"/>
      <c r="J1774" s="131"/>
      <c r="K1774" s="131"/>
      <c r="L1774" s="131"/>
      <c r="U1774" s="131"/>
      <c r="V1774" s="131"/>
      <c r="W1774" s="131"/>
      <c r="X1774" s="131"/>
    </row>
    <row r="1775" spans="9:24" x14ac:dyDescent="0.25">
      <c r="I1775" s="131"/>
      <c r="J1775" s="131"/>
      <c r="K1775" s="131"/>
      <c r="L1775" s="131"/>
      <c r="U1775" s="131"/>
      <c r="V1775" s="131"/>
      <c r="W1775" s="131"/>
      <c r="X1775" s="131"/>
    </row>
    <row r="1776" spans="9:24" x14ac:dyDescent="0.25">
      <c r="I1776" s="131"/>
      <c r="J1776" s="131"/>
      <c r="K1776" s="131"/>
      <c r="L1776" s="131"/>
      <c r="U1776" s="131"/>
      <c r="V1776" s="131"/>
      <c r="W1776" s="131"/>
      <c r="X1776" s="131"/>
    </row>
    <row r="1777" spans="9:24" x14ac:dyDescent="0.25">
      <c r="I1777" s="131"/>
      <c r="J1777" s="131"/>
      <c r="K1777" s="131"/>
      <c r="L1777" s="131"/>
      <c r="U1777" s="131"/>
      <c r="V1777" s="131"/>
      <c r="W1777" s="131"/>
      <c r="X1777" s="131"/>
    </row>
    <row r="1778" spans="9:24" x14ac:dyDescent="0.25">
      <c r="I1778" s="131"/>
      <c r="J1778" s="131"/>
      <c r="K1778" s="131"/>
      <c r="L1778" s="131"/>
      <c r="U1778" s="131"/>
      <c r="V1778" s="131"/>
      <c r="W1778" s="131"/>
      <c r="X1778" s="131"/>
    </row>
    <row r="1779" spans="9:24" x14ac:dyDescent="0.25">
      <c r="I1779" s="131"/>
      <c r="J1779" s="131"/>
      <c r="K1779" s="131"/>
      <c r="L1779" s="131"/>
      <c r="U1779" s="131"/>
      <c r="V1779" s="131"/>
      <c r="W1779" s="131"/>
      <c r="X1779" s="131"/>
    </row>
    <row r="1780" spans="9:24" x14ac:dyDescent="0.25">
      <c r="I1780" s="131"/>
      <c r="J1780" s="131"/>
      <c r="K1780" s="131"/>
      <c r="L1780" s="131"/>
      <c r="U1780" s="131"/>
      <c r="V1780" s="131"/>
      <c r="W1780" s="131"/>
      <c r="X1780" s="131"/>
    </row>
    <row r="1781" spans="9:24" x14ac:dyDescent="0.25">
      <c r="I1781" s="131"/>
      <c r="J1781" s="131"/>
      <c r="K1781" s="131"/>
      <c r="L1781" s="131"/>
      <c r="U1781" s="131"/>
      <c r="V1781" s="131"/>
      <c r="W1781" s="131"/>
      <c r="X1781" s="131"/>
    </row>
    <row r="1782" spans="9:24" x14ac:dyDescent="0.25">
      <c r="I1782" s="131"/>
      <c r="J1782" s="131"/>
      <c r="K1782" s="131"/>
      <c r="L1782" s="131"/>
      <c r="U1782" s="131"/>
      <c r="V1782" s="131"/>
      <c r="W1782" s="131"/>
      <c r="X1782" s="131"/>
    </row>
    <row r="1783" spans="9:24" x14ac:dyDescent="0.25">
      <c r="I1783" s="131"/>
      <c r="J1783" s="131"/>
      <c r="K1783" s="131"/>
      <c r="L1783" s="131"/>
      <c r="U1783" s="131"/>
      <c r="V1783" s="131"/>
      <c r="W1783" s="131"/>
      <c r="X1783" s="131"/>
    </row>
    <row r="1784" spans="9:24" x14ac:dyDescent="0.25">
      <c r="I1784" s="131"/>
      <c r="J1784" s="131"/>
      <c r="K1784" s="131"/>
      <c r="L1784" s="131"/>
      <c r="U1784" s="131"/>
      <c r="V1784" s="131"/>
      <c r="W1784" s="131"/>
      <c r="X1784" s="131"/>
    </row>
    <row r="1785" spans="9:24" x14ac:dyDescent="0.25">
      <c r="I1785" s="131"/>
      <c r="J1785" s="131"/>
      <c r="K1785" s="131"/>
      <c r="L1785" s="131"/>
      <c r="U1785" s="131"/>
      <c r="V1785" s="131"/>
      <c r="W1785" s="131"/>
      <c r="X1785" s="131"/>
    </row>
    <row r="1786" spans="9:24" x14ac:dyDescent="0.25">
      <c r="I1786" s="131"/>
      <c r="J1786" s="131"/>
      <c r="K1786" s="131"/>
      <c r="L1786" s="131"/>
      <c r="U1786" s="131"/>
      <c r="V1786" s="131"/>
      <c r="W1786" s="131"/>
      <c r="X1786" s="131"/>
    </row>
    <row r="1787" spans="9:24" x14ac:dyDescent="0.25">
      <c r="I1787" s="131"/>
      <c r="J1787" s="131"/>
      <c r="K1787" s="131"/>
      <c r="L1787" s="131"/>
      <c r="U1787" s="131"/>
      <c r="V1787" s="131"/>
      <c r="W1787" s="131"/>
      <c r="X1787" s="131"/>
    </row>
    <row r="1788" spans="9:24" x14ac:dyDescent="0.25">
      <c r="I1788" s="131"/>
      <c r="J1788" s="131"/>
      <c r="K1788" s="131"/>
      <c r="L1788" s="131"/>
      <c r="U1788" s="131"/>
      <c r="V1788" s="131"/>
      <c r="W1788" s="131"/>
      <c r="X1788" s="131"/>
    </row>
    <row r="1789" spans="9:24" x14ac:dyDescent="0.25">
      <c r="I1789" s="131"/>
      <c r="J1789" s="131"/>
      <c r="K1789" s="131"/>
      <c r="L1789" s="131"/>
      <c r="U1789" s="131"/>
      <c r="V1789" s="131"/>
      <c r="W1789" s="131"/>
      <c r="X1789" s="131"/>
    </row>
    <row r="1790" spans="9:24" x14ac:dyDescent="0.25">
      <c r="I1790" s="131"/>
      <c r="J1790" s="131"/>
      <c r="K1790" s="131"/>
      <c r="L1790" s="131"/>
      <c r="U1790" s="131"/>
      <c r="V1790" s="131"/>
      <c r="W1790" s="131"/>
      <c r="X1790" s="131"/>
    </row>
    <row r="1791" spans="9:24" x14ac:dyDescent="0.25">
      <c r="I1791" s="131"/>
      <c r="J1791" s="131"/>
      <c r="K1791" s="131"/>
      <c r="L1791" s="131"/>
      <c r="U1791" s="131"/>
      <c r="V1791" s="131"/>
      <c r="W1791" s="131"/>
      <c r="X1791" s="131"/>
    </row>
    <row r="1792" spans="9:24" x14ac:dyDescent="0.25">
      <c r="I1792" s="131"/>
      <c r="J1792" s="131"/>
      <c r="K1792" s="131"/>
      <c r="L1792" s="131"/>
      <c r="U1792" s="131"/>
      <c r="V1792" s="131"/>
      <c r="W1792" s="131"/>
      <c r="X1792" s="131"/>
    </row>
    <row r="1793" spans="9:24" x14ac:dyDescent="0.25">
      <c r="I1793" s="131"/>
      <c r="J1793" s="131"/>
      <c r="K1793" s="131"/>
      <c r="L1793" s="131"/>
      <c r="U1793" s="131"/>
      <c r="V1793" s="131"/>
      <c r="W1793" s="131"/>
      <c r="X1793" s="131"/>
    </row>
    <row r="1794" spans="9:24" x14ac:dyDescent="0.25">
      <c r="I1794" s="131"/>
      <c r="J1794" s="131"/>
      <c r="K1794" s="131"/>
      <c r="L1794" s="131"/>
      <c r="U1794" s="131"/>
      <c r="V1794" s="131"/>
      <c r="W1794" s="131"/>
      <c r="X1794" s="131"/>
    </row>
    <row r="1795" spans="9:24" x14ac:dyDescent="0.25">
      <c r="I1795" s="131"/>
      <c r="J1795" s="131"/>
      <c r="K1795" s="131"/>
      <c r="L1795" s="131"/>
      <c r="U1795" s="131"/>
      <c r="V1795" s="131"/>
      <c r="W1795" s="131"/>
      <c r="X1795" s="131"/>
    </row>
    <row r="1796" spans="9:24" x14ac:dyDescent="0.25">
      <c r="I1796" s="131"/>
      <c r="J1796" s="131"/>
      <c r="K1796" s="131"/>
      <c r="L1796" s="131"/>
      <c r="U1796" s="131"/>
      <c r="V1796" s="131"/>
      <c r="W1796" s="131"/>
      <c r="X1796" s="131"/>
    </row>
    <row r="1797" spans="9:24" x14ac:dyDescent="0.25">
      <c r="I1797" s="131"/>
      <c r="J1797" s="131"/>
      <c r="K1797" s="131"/>
      <c r="L1797" s="131"/>
      <c r="U1797" s="131"/>
      <c r="V1797" s="131"/>
      <c r="W1797" s="131"/>
      <c r="X1797" s="131"/>
    </row>
    <row r="1798" spans="9:24" x14ac:dyDescent="0.25">
      <c r="I1798" s="131"/>
      <c r="J1798" s="131"/>
      <c r="K1798" s="131"/>
      <c r="L1798" s="131"/>
      <c r="U1798" s="131"/>
      <c r="V1798" s="131"/>
      <c r="W1798" s="131"/>
      <c r="X1798" s="131"/>
    </row>
    <row r="1799" spans="9:24" x14ac:dyDescent="0.25">
      <c r="I1799" s="131"/>
      <c r="J1799" s="131"/>
      <c r="K1799" s="131"/>
      <c r="L1799" s="131"/>
      <c r="U1799" s="131"/>
      <c r="V1799" s="131"/>
      <c r="W1799" s="131"/>
      <c r="X1799" s="131"/>
    </row>
    <row r="1800" spans="9:24" x14ac:dyDescent="0.25">
      <c r="I1800" s="131"/>
      <c r="J1800" s="131"/>
      <c r="K1800" s="131"/>
      <c r="L1800" s="131"/>
      <c r="U1800" s="131"/>
      <c r="V1800" s="131"/>
      <c r="W1800" s="131"/>
      <c r="X1800" s="131"/>
    </row>
    <row r="1801" spans="9:24" x14ac:dyDescent="0.25">
      <c r="I1801" s="131"/>
      <c r="J1801" s="131"/>
      <c r="K1801" s="131"/>
      <c r="L1801" s="131"/>
      <c r="U1801" s="131"/>
      <c r="V1801" s="131"/>
      <c r="W1801" s="131"/>
      <c r="X1801" s="131"/>
    </row>
    <row r="1802" spans="9:24" x14ac:dyDescent="0.25">
      <c r="I1802" s="131"/>
      <c r="J1802" s="131"/>
      <c r="K1802" s="131"/>
      <c r="L1802" s="131"/>
      <c r="U1802" s="131"/>
      <c r="V1802" s="131"/>
      <c r="W1802" s="131"/>
      <c r="X1802" s="131"/>
    </row>
    <row r="1803" spans="9:24" x14ac:dyDescent="0.25">
      <c r="I1803" s="131"/>
      <c r="J1803" s="131"/>
      <c r="K1803" s="131"/>
      <c r="L1803" s="131"/>
      <c r="U1803" s="131"/>
      <c r="V1803" s="131"/>
      <c r="W1803" s="131"/>
      <c r="X1803" s="131"/>
    </row>
    <row r="1804" spans="9:24" x14ac:dyDescent="0.25">
      <c r="I1804" s="131"/>
      <c r="J1804" s="131"/>
      <c r="K1804" s="131"/>
      <c r="L1804" s="131"/>
      <c r="U1804" s="131"/>
      <c r="V1804" s="131"/>
      <c r="W1804" s="131"/>
      <c r="X1804" s="131"/>
    </row>
    <row r="1805" spans="9:24" x14ac:dyDescent="0.25">
      <c r="I1805" s="131"/>
      <c r="J1805" s="131"/>
      <c r="K1805" s="131"/>
      <c r="L1805" s="131"/>
      <c r="U1805" s="131"/>
      <c r="V1805" s="131"/>
      <c r="W1805" s="131"/>
      <c r="X1805" s="131"/>
    </row>
    <row r="1806" spans="9:24" x14ac:dyDescent="0.25">
      <c r="I1806" s="131"/>
      <c r="J1806" s="131"/>
      <c r="K1806" s="131"/>
      <c r="L1806" s="131"/>
      <c r="U1806" s="131"/>
      <c r="V1806" s="131"/>
      <c r="W1806" s="131"/>
      <c r="X1806" s="131"/>
    </row>
    <row r="1807" spans="9:24" x14ac:dyDescent="0.25">
      <c r="I1807" s="131"/>
      <c r="J1807" s="131"/>
      <c r="K1807" s="131"/>
      <c r="L1807" s="131"/>
      <c r="U1807" s="131"/>
      <c r="V1807" s="131"/>
      <c r="W1807" s="131"/>
      <c r="X1807" s="131"/>
    </row>
    <row r="1808" spans="9:24" x14ac:dyDescent="0.25">
      <c r="I1808" s="131"/>
      <c r="J1808" s="131"/>
      <c r="K1808" s="131"/>
      <c r="L1808" s="131"/>
      <c r="U1808" s="131"/>
      <c r="V1808" s="131"/>
      <c r="W1808" s="131"/>
      <c r="X1808" s="131"/>
    </row>
    <row r="1809" spans="9:24" x14ac:dyDescent="0.25">
      <c r="I1809" s="131"/>
      <c r="J1809" s="131"/>
      <c r="K1809" s="131"/>
      <c r="L1809" s="131"/>
      <c r="U1809" s="131"/>
      <c r="V1809" s="131"/>
      <c r="W1809" s="131"/>
      <c r="X1809" s="131"/>
    </row>
    <row r="1810" spans="9:24" x14ac:dyDescent="0.25">
      <c r="I1810" s="131"/>
      <c r="J1810" s="131"/>
      <c r="K1810" s="131"/>
      <c r="L1810" s="131"/>
      <c r="U1810" s="131"/>
      <c r="V1810" s="131"/>
      <c r="W1810" s="131"/>
      <c r="X1810" s="131"/>
    </row>
    <row r="1811" spans="9:24" x14ac:dyDescent="0.25">
      <c r="I1811" s="131"/>
      <c r="J1811" s="131"/>
      <c r="K1811" s="131"/>
      <c r="L1811" s="131"/>
      <c r="U1811" s="131"/>
      <c r="V1811" s="131"/>
      <c r="W1811" s="131"/>
      <c r="X1811" s="131"/>
    </row>
    <row r="1812" spans="9:24" x14ac:dyDescent="0.25">
      <c r="I1812" s="131"/>
      <c r="J1812" s="131"/>
      <c r="K1812" s="131"/>
      <c r="L1812" s="131"/>
      <c r="U1812" s="131"/>
      <c r="V1812" s="131"/>
      <c r="W1812" s="131"/>
      <c r="X1812" s="131"/>
    </row>
    <row r="1813" spans="9:24" x14ac:dyDescent="0.25">
      <c r="I1813" s="131"/>
      <c r="J1813" s="131"/>
      <c r="K1813" s="131"/>
      <c r="L1813" s="131"/>
      <c r="U1813" s="131"/>
      <c r="V1813" s="131"/>
      <c r="W1813" s="131"/>
      <c r="X1813" s="131"/>
    </row>
    <row r="1814" spans="9:24" x14ac:dyDescent="0.25">
      <c r="I1814" s="131"/>
      <c r="J1814" s="131"/>
      <c r="K1814" s="131"/>
      <c r="L1814" s="131"/>
      <c r="U1814" s="131"/>
      <c r="V1814" s="131"/>
      <c r="W1814" s="131"/>
      <c r="X1814" s="131"/>
    </row>
    <row r="1815" spans="9:24" x14ac:dyDescent="0.25">
      <c r="I1815" s="131"/>
      <c r="J1815" s="131"/>
      <c r="K1815" s="131"/>
      <c r="L1815" s="131"/>
      <c r="U1815" s="131"/>
      <c r="V1815" s="131"/>
      <c r="W1815" s="131"/>
      <c r="X1815" s="131"/>
    </row>
    <row r="1816" spans="9:24" x14ac:dyDescent="0.25">
      <c r="I1816" s="131"/>
      <c r="J1816" s="131"/>
      <c r="K1816" s="131"/>
      <c r="L1816" s="131"/>
      <c r="U1816" s="131"/>
      <c r="V1816" s="131"/>
      <c r="W1816" s="131"/>
      <c r="X1816" s="131"/>
    </row>
    <row r="1817" spans="9:24" x14ac:dyDescent="0.25">
      <c r="I1817" s="131"/>
      <c r="J1817" s="131"/>
      <c r="K1817" s="131"/>
      <c r="L1817" s="131"/>
      <c r="U1817" s="131"/>
      <c r="V1817" s="131"/>
      <c r="W1817" s="131"/>
      <c r="X1817" s="131"/>
    </row>
    <row r="1818" spans="9:24" x14ac:dyDescent="0.25">
      <c r="I1818" s="131"/>
      <c r="J1818" s="131"/>
      <c r="K1818" s="131"/>
      <c r="L1818" s="131"/>
      <c r="U1818" s="131"/>
      <c r="V1818" s="131"/>
      <c r="W1818" s="131"/>
      <c r="X1818" s="131"/>
    </row>
    <row r="1819" spans="9:24" x14ac:dyDescent="0.25">
      <c r="I1819" s="131"/>
      <c r="J1819" s="131"/>
      <c r="K1819" s="131"/>
      <c r="L1819" s="131"/>
      <c r="U1819" s="131"/>
      <c r="V1819" s="131"/>
      <c r="W1819" s="131"/>
      <c r="X1819" s="131"/>
    </row>
    <row r="1820" spans="9:24" x14ac:dyDescent="0.25">
      <c r="I1820" s="131"/>
      <c r="J1820" s="131"/>
      <c r="K1820" s="131"/>
      <c r="L1820" s="131"/>
      <c r="U1820" s="131"/>
      <c r="V1820" s="131"/>
      <c r="W1820" s="131"/>
      <c r="X1820" s="131"/>
    </row>
    <row r="1821" spans="9:24" x14ac:dyDescent="0.25">
      <c r="I1821" s="131"/>
      <c r="J1821" s="131"/>
      <c r="K1821" s="131"/>
      <c r="L1821" s="131"/>
      <c r="U1821" s="131"/>
      <c r="V1821" s="131"/>
      <c r="W1821" s="131"/>
      <c r="X1821" s="131"/>
    </row>
    <row r="1822" spans="9:24" x14ac:dyDescent="0.25">
      <c r="I1822" s="131"/>
      <c r="J1822" s="131"/>
      <c r="K1822" s="131"/>
      <c r="L1822" s="131"/>
      <c r="U1822" s="131"/>
      <c r="V1822" s="131"/>
      <c r="W1822" s="131"/>
      <c r="X1822" s="131"/>
    </row>
    <row r="1823" spans="9:24" x14ac:dyDescent="0.25">
      <c r="I1823" s="131"/>
      <c r="J1823" s="131"/>
      <c r="K1823" s="131"/>
      <c r="L1823" s="131"/>
      <c r="U1823" s="131"/>
      <c r="V1823" s="131"/>
      <c r="W1823" s="131"/>
      <c r="X1823" s="131"/>
    </row>
    <row r="1824" spans="9:24" x14ac:dyDescent="0.25">
      <c r="I1824" s="131"/>
      <c r="J1824" s="131"/>
      <c r="K1824" s="131"/>
      <c r="L1824" s="131"/>
      <c r="U1824" s="131"/>
      <c r="V1824" s="131"/>
      <c r="W1824" s="131"/>
      <c r="X1824" s="131"/>
    </row>
    <row r="1825" spans="9:24" x14ac:dyDescent="0.25">
      <c r="I1825" s="131"/>
      <c r="J1825" s="131"/>
      <c r="K1825" s="131"/>
      <c r="L1825" s="131"/>
      <c r="U1825" s="131"/>
      <c r="V1825" s="131"/>
      <c r="W1825" s="131"/>
      <c r="X1825" s="131"/>
    </row>
    <row r="1826" spans="9:24" x14ac:dyDescent="0.25">
      <c r="I1826" s="131"/>
      <c r="J1826" s="131"/>
      <c r="K1826" s="131"/>
      <c r="L1826" s="131"/>
      <c r="U1826" s="131"/>
      <c r="V1826" s="131"/>
      <c r="W1826" s="131"/>
      <c r="X1826" s="131"/>
    </row>
    <row r="1827" spans="9:24" x14ac:dyDescent="0.25">
      <c r="I1827" s="131"/>
      <c r="J1827" s="131"/>
      <c r="K1827" s="131"/>
      <c r="L1827" s="131"/>
      <c r="U1827" s="131"/>
      <c r="V1827" s="131"/>
      <c r="W1827" s="131"/>
      <c r="X1827" s="131"/>
    </row>
    <row r="1828" spans="9:24" x14ac:dyDescent="0.25">
      <c r="I1828" s="131"/>
      <c r="J1828" s="131"/>
      <c r="K1828" s="131"/>
      <c r="L1828" s="131"/>
      <c r="U1828" s="131"/>
      <c r="V1828" s="131"/>
      <c r="W1828" s="131"/>
      <c r="X1828" s="131"/>
    </row>
    <row r="1829" spans="9:24" x14ac:dyDescent="0.25">
      <c r="I1829" s="131"/>
      <c r="J1829" s="131"/>
      <c r="K1829" s="131"/>
      <c r="L1829" s="131"/>
      <c r="U1829" s="131"/>
      <c r="V1829" s="131"/>
      <c r="W1829" s="131"/>
      <c r="X1829" s="131"/>
    </row>
    <row r="1830" spans="9:24" x14ac:dyDescent="0.25">
      <c r="I1830" s="131"/>
      <c r="J1830" s="131"/>
      <c r="K1830" s="131"/>
      <c r="L1830" s="131"/>
      <c r="U1830" s="131"/>
      <c r="V1830" s="131"/>
      <c r="W1830" s="131"/>
      <c r="X1830" s="131"/>
    </row>
    <row r="1831" spans="9:24" x14ac:dyDescent="0.25">
      <c r="I1831" s="131"/>
      <c r="J1831" s="131"/>
      <c r="K1831" s="131"/>
      <c r="L1831" s="131"/>
      <c r="U1831" s="131"/>
      <c r="V1831" s="131"/>
      <c r="W1831" s="131"/>
      <c r="X1831" s="131"/>
    </row>
    <row r="1832" spans="9:24" x14ac:dyDescent="0.25">
      <c r="I1832" s="131"/>
      <c r="J1832" s="131"/>
      <c r="K1832" s="131"/>
      <c r="L1832" s="131"/>
      <c r="U1832" s="131"/>
      <c r="V1832" s="131"/>
      <c r="W1832" s="131"/>
      <c r="X1832" s="131"/>
    </row>
    <row r="1833" spans="9:24" x14ac:dyDescent="0.25">
      <c r="I1833" s="131"/>
      <c r="J1833" s="131"/>
      <c r="K1833" s="131"/>
      <c r="L1833" s="131"/>
      <c r="U1833" s="131"/>
      <c r="V1833" s="131"/>
      <c r="W1833" s="131"/>
      <c r="X1833" s="131"/>
    </row>
    <row r="1834" spans="9:24" x14ac:dyDescent="0.25">
      <c r="I1834" s="131"/>
      <c r="J1834" s="131"/>
      <c r="K1834" s="131"/>
      <c r="L1834" s="131"/>
      <c r="U1834" s="131"/>
      <c r="V1834" s="131"/>
      <c r="W1834" s="131"/>
      <c r="X1834" s="131"/>
    </row>
    <row r="1835" spans="9:24" x14ac:dyDescent="0.25">
      <c r="I1835" s="131"/>
      <c r="J1835" s="131"/>
      <c r="K1835" s="131"/>
      <c r="L1835" s="131"/>
      <c r="U1835" s="131"/>
      <c r="V1835" s="131"/>
      <c r="W1835" s="131"/>
      <c r="X1835" s="131"/>
    </row>
    <row r="1836" spans="9:24" x14ac:dyDescent="0.25">
      <c r="I1836" s="131"/>
      <c r="J1836" s="131"/>
      <c r="K1836" s="131"/>
      <c r="L1836" s="131"/>
      <c r="U1836" s="131"/>
      <c r="V1836" s="131"/>
      <c r="W1836" s="131"/>
      <c r="X1836" s="131"/>
    </row>
    <row r="1837" spans="9:24" x14ac:dyDescent="0.25">
      <c r="I1837" s="131"/>
      <c r="J1837" s="131"/>
      <c r="K1837" s="131"/>
      <c r="L1837" s="131"/>
      <c r="U1837" s="131"/>
      <c r="V1837" s="131"/>
      <c r="W1837" s="131"/>
      <c r="X1837" s="131"/>
    </row>
    <row r="1838" spans="9:24" x14ac:dyDescent="0.25">
      <c r="I1838" s="131"/>
      <c r="J1838" s="131"/>
      <c r="K1838" s="131"/>
      <c r="L1838" s="131"/>
      <c r="U1838" s="131"/>
      <c r="V1838" s="131"/>
      <c r="W1838" s="131"/>
      <c r="X1838" s="131"/>
    </row>
    <row r="1839" spans="9:24" x14ac:dyDescent="0.25">
      <c r="I1839" s="131"/>
      <c r="J1839" s="131"/>
      <c r="K1839" s="131"/>
      <c r="L1839" s="131"/>
      <c r="U1839" s="131"/>
      <c r="V1839" s="131"/>
      <c r="W1839" s="131"/>
      <c r="X1839" s="131"/>
    </row>
    <row r="1840" spans="9:24" x14ac:dyDescent="0.25">
      <c r="I1840" s="131"/>
      <c r="J1840" s="131"/>
      <c r="K1840" s="131"/>
      <c r="L1840" s="131"/>
      <c r="U1840" s="131"/>
      <c r="V1840" s="131"/>
      <c r="W1840" s="131"/>
      <c r="X1840" s="131"/>
    </row>
    <row r="1841" spans="9:24" x14ac:dyDescent="0.25">
      <c r="I1841" s="131"/>
      <c r="J1841" s="131"/>
      <c r="K1841" s="131"/>
      <c r="L1841" s="131"/>
      <c r="U1841" s="131"/>
      <c r="V1841" s="131"/>
      <c r="W1841" s="131"/>
      <c r="X1841" s="131"/>
    </row>
    <row r="1842" spans="9:24" x14ac:dyDescent="0.25">
      <c r="I1842" s="131"/>
      <c r="J1842" s="131"/>
      <c r="K1842" s="131"/>
      <c r="L1842" s="131"/>
      <c r="U1842" s="131"/>
      <c r="V1842" s="131"/>
      <c r="W1842" s="131"/>
      <c r="X1842" s="131"/>
    </row>
    <row r="1843" spans="9:24" x14ac:dyDescent="0.25">
      <c r="I1843" s="131"/>
      <c r="J1843" s="131"/>
      <c r="K1843" s="131"/>
      <c r="L1843" s="131"/>
      <c r="U1843" s="131"/>
      <c r="V1843" s="131"/>
      <c r="W1843" s="131"/>
      <c r="X1843" s="131"/>
    </row>
    <row r="1844" spans="9:24" x14ac:dyDescent="0.25">
      <c r="I1844" s="131"/>
      <c r="J1844" s="131"/>
      <c r="K1844" s="131"/>
      <c r="L1844" s="131"/>
      <c r="U1844" s="131"/>
      <c r="V1844" s="131"/>
      <c r="W1844" s="131"/>
      <c r="X1844" s="131"/>
    </row>
    <row r="1845" spans="9:24" x14ac:dyDescent="0.25">
      <c r="I1845" s="131"/>
      <c r="J1845" s="131"/>
      <c r="K1845" s="131"/>
      <c r="L1845" s="131"/>
      <c r="U1845" s="131"/>
      <c r="V1845" s="131"/>
      <c r="W1845" s="131"/>
      <c r="X1845" s="131"/>
    </row>
    <row r="1846" spans="9:24" x14ac:dyDescent="0.25">
      <c r="I1846" s="131"/>
      <c r="J1846" s="131"/>
      <c r="K1846" s="131"/>
      <c r="L1846" s="131"/>
      <c r="U1846" s="131"/>
      <c r="V1846" s="131"/>
      <c r="W1846" s="131"/>
      <c r="X1846" s="131"/>
    </row>
    <row r="1847" spans="9:24" x14ac:dyDescent="0.25">
      <c r="I1847" s="131"/>
      <c r="J1847" s="131"/>
      <c r="K1847" s="131"/>
      <c r="L1847" s="131"/>
      <c r="U1847" s="131"/>
      <c r="V1847" s="131"/>
      <c r="W1847" s="131"/>
      <c r="X1847" s="131"/>
    </row>
    <row r="1848" spans="9:24" x14ac:dyDescent="0.25">
      <c r="I1848" s="131"/>
      <c r="J1848" s="131"/>
      <c r="K1848" s="131"/>
      <c r="L1848" s="131"/>
      <c r="U1848" s="131"/>
      <c r="V1848" s="131"/>
      <c r="W1848" s="131"/>
      <c r="X1848" s="131"/>
    </row>
    <row r="1849" spans="9:24" x14ac:dyDescent="0.25">
      <c r="I1849" s="131"/>
      <c r="J1849" s="131"/>
      <c r="K1849" s="131"/>
      <c r="L1849" s="131"/>
      <c r="U1849" s="131"/>
      <c r="V1849" s="131"/>
      <c r="W1849" s="131"/>
      <c r="X1849" s="131"/>
    </row>
    <row r="1850" spans="9:24" x14ac:dyDescent="0.25">
      <c r="I1850" s="131"/>
      <c r="J1850" s="131"/>
      <c r="K1850" s="131"/>
      <c r="L1850" s="131"/>
      <c r="U1850" s="131"/>
      <c r="V1850" s="131"/>
      <c r="W1850" s="131"/>
      <c r="X1850" s="131"/>
    </row>
    <row r="1851" spans="9:24" x14ac:dyDescent="0.25">
      <c r="I1851" s="131"/>
      <c r="J1851" s="131"/>
      <c r="K1851" s="131"/>
      <c r="L1851" s="131"/>
      <c r="U1851" s="131"/>
      <c r="V1851" s="131"/>
      <c r="W1851" s="131"/>
      <c r="X1851" s="131"/>
    </row>
    <row r="1852" spans="9:24" x14ac:dyDescent="0.25">
      <c r="I1852" s="131"/>
      <c r="J1852" s="131"/>
      <c r="K1852" s="131"/>
      <c r="L1852" s="131"/>
      <c r="U1852" s="131"/>
      <c r="V1852" s="131"/>
      <c r="W1852" s="131"/>
      <c r="X1852" s="131"/>
    </row>
    <row r="1853" spans="9:24" x14ac:dyDescent="0.25">
      <c r="I1853" s="131"/>
      <c r="J1853" s="131"/>
      <c r="K1853" s="131"/>
      <c r="L1853" s="131"/>
      <c r="U1853" s="131"/>
      <c r="V1853" s="131"/>
      <c r="W1853" s="131"/>
      <c r="X1853" s="131"/>
    </row>
    <row r="1854" spans="9:24" x14ac:dyDescent="0.25">
      <c r="I1854" s="131"/>
      <c r="J1854" s="131"/>
      <c r="K1854" s="131"/>
      <c r="L1854" s="131"/>
      <c r="U1854" s="131"/>
      <c r="V1854" s="131"/>
      <c r="W1854" s="131"/>
      <c r="X1854" s="131"/>
    </row>
    <row r="1855" spans="9:24" x14ac:dyDescent="0.25">
      <c r="I1855" s="131"/>
      <c r="J1855" s="131"/>
      <c r="K1855" s="131"/>
      <c r="L1855" s="131"/>
      <c r="U1855" s="131"/>
      <c r="V1855" s="131"/>
      <c r="W1855" s="131"/>
      <c r="X1855" s="131"/>
    </row>
    <row r="1856" spans="9:24" x14ac:dyDescent="0.25">
      <c r="I1856" s="131"/>
      <c r="J1856" s="131"/>
      <c r="K1856" s="131"/>
      <c r="L1856" s="131"/>
      <c r="U1856" s="131"/>
      <c r="V1856" s="131"/>
      <c r="W1856" s="131"/>
      <c r="X1856" s="131"/>
    </row>
    <row r="1857" spans="9:24" x14ac:dyDescent="0.25">
      <c r="I1857" s="131"/>
      <c r="J1857" s="131"/>
      <c r="K1857" s="131"/>
      <c r="L1857" s="131"/>
      <c r="U1857" s="131"/>
      <c r="V1857" s="131"/>
      <c r="W1857" s="131"/>
      <c r="X1857" s="131"/>
    </row>
    <row r="1858" spans="9:24" x14ac:dyDescent="0.25">
      <c r="I1858" s="131"/>
      <c r="J1858" s="131"/>
      <c r="K1858" s="131"/>
      <c r="L1858" s="131"/>
      <c r="U1858" s="131"/>
      <c r="V1858" s="131"/>
      <c r="W1858" s="131"/>
      <c r="X1858" s="131"/>
    </row>
    <row r="1859" spans="9:24" x14ac:dyDescent="0.25">
      <c r="I1859" s="131"/>
      <c r="J1859" s="131"/>
      <c r="K1859" s="131"/>
      <c r="L1859" s="131"/>
      <c r="U1859" s="131"/>
      <c r="V1859" s="131"/>
      <c r="W1859" s="131"/>
      <c r="X1859" s="131"/>
    </row>
    <row r="1860" spans="9:24" x14ac:dyDescent="0.25">
      <c r="I1860" s="131"/>
      <c r="J1860" s="131"/>
      <c r="K1860" s="131"/>
      <c r="L1860" s="131"/>
      <c r="U1860" s="131"/>
      <c r="V1860" s="131"/>
      <c r="W1860" s="131"/>
      <c r="X1860" s="131"/>
    </row>
    <row r="1861" spans="9:24" x14ac:dyDescent="0.25">
      <c r="I1861" s="131"/>
      <c r="J1861" s="131"/>
      <c r="K1861" s="131"/>
      <c r="L1861" s="131"/>
      <c r="U1861" s="131"/>
      <c r="V1861" s="131"/>
      <c r="W1861" s="131"/>
      <c r="X1861" s="131"/>
    </row>
    <row r="1862" spans="9:24" x14ac:dyDescent="0.25">
      <c r="I1862" s="131"/>
      <c r="J1862" s="131"/>
      <c r="K1862" s="131"/>
      <c r="L1862" s="131"/>
      <c r="U1862" s="131"/>
      <c r="V1862" s="131"/>
      <c r="W1862" s="131"/>
      <c r="X1862" s="131"/>
    </row>
    <row r="1863" spans="9:24" x14ac:dyDescent="0.25">
      <c r="I1863" s="131"/>
      <c r="J1863" s="131"/>
      <c r="K1863" s="131"/>
      <c r="L1863" s="131"/>
      <c r="U1863" s="131"/>
      <c r="V1863" s="131"/>
      <c r="W1863" s="131"/>
      <c r="X1863" s="131"/>
    </row>
    <row r="1864" spans="9:24" x14ac:dyDescent="0.25">
      <c r="I1864" s="131"/>
      <c r="J1864" s="131"/>
      <c r="K1864" s="131"/>
      <c r="L1864" s="131"/>
      <c r="U1864" s="131"/>
      <c r="V1864" s="131"/>
      <c r="W1864" s="131"/>
      <c r="X1864" s="131"/>
    </row>
    <row r="1865" spans="9:24" x14ac:dyDescent="0.25">
      <c r="I1865" s="131"/>
      <c r="J1865" s="131"/>
      <c r="K1865" s="131"/>
      <c r="L1865" s="131"/>
      <c r="U1865" s="131"/>
      <c r="V1865" s="131"/>
      <c r="W1865" s="131"/>
      <c r="X1865" s="131"/>
    </row>
    <row r="1866" spans="9:24" x14ac:dyDescent="0.25">
      <c r="I1866" s="131"/>
      <c r="J1866" s="131"/>
      <c r="K1866" s="131"/>
      <c r="L1866" s="131"/>
      <c r="U1866" s="131"/>
      <c r="V1866" s="131"/>
      <c r="W1866" s="131"/>
      <c r="X1866" s="131"/>
    </row>
    <row r="1867" spans="9:24" x14ac:dyDescent="0.25">
      <c r="I1867" s="131"/>
      <c r="J1867" s="131"/>
      <c r="K1867" s="131"/>
      <c r="L1867" s="131"/>
      <c r="U1867" s="131"/>
      <c r="V1867" s="131"/>
      <c r="W1867" s="131"/>
      <c r="X1867" s="131"/>
    </row>
    <row r="1868" spans="9:24" x14ac:dyDescent="0.25">
      <c r="I1868" s="131"/>
      <c r="J1868" s="131"/>
      <c r="K1868" s="131"/>
      <c r="L1868" s="131"/>
      <c r="U1868" s="131"/>
      <c r="V1868" s="131"/>
      <c r="W1868" s="131"/>
      <c r="X1868" s="131"/>
    </row>
    <row r="1869" spans="9:24" x14ac:dyDescent="0.25">
      <c r="I1869" s="131"/>
      <c r="J1869" s="131"/>
      <c r="K1869" s="131"/>
      <c r="L1869" s="131"/>
      <c r="U1869" s="131"/>
      <c r="V1869" s="131"/>
      <c r="W1869" s="131"/>
      <c r="X1869" s="131"/>
    </row>
    <row r="1870" spans="9:24" x14ac:dyDescent="0.25">
      <c r="I1870" s="131"/>
      <c r="J1870" s="131"/>
      <c r="K1870" s="131"/>
      <c r="L1870" s="131"/>
      <c r="U1870" s="131"/>
      <c r="V1870" s="131"/>
      <c r="W1870" s="131"/>
      <c r="X1870" s="131"/>
    </row>
    <row r="1871" spans="9:24" x14ac:dyDescent="0.25">
      <c r="I1871" s="131"/>
      <c r="J1871" s="131"/>
      <c r="K1871" s="131"/>
      <c r="L1871" s="131"/>
      <c r="U1871" s="131"/>
      <c r="V1871" s="131"/>
      <c r="W1871" s="131"/>
      <c r="X1871" s="131"/>
    </row>
    <row r="1872" spans="9:24" x14ac:dyDescent="0.25">
      <c r="I1872" s="131"/>
      <c r="J1872" s="131"/>
      <c r="K1872" s="131"/>
      <c r="L1872" s="131"/>
      <c r="U1872" s="131"/>
      <c r="V1872" s="131"/>
      <c r="W1872" s="131"/>
      <c r="X1872" s="131"/>
    </row>
    <row r="1873" spans="9:24" x14ac:dyDescent="0.25">
      <c r="I1873" s="131"/>
      <c r="J1873" s="131"/>
      <c r="K1873" s="131"/>
      <c r="L1873" s="131"/>
      <c r="U1873" s="131"/>
      <c r="V1873" s="131"/>
      <c r="W1873" s="131"/>
      <c r="X1873" s="131"/>
    </row>
    <row r="1874" spans="9:24" x14ac:dyDescent="0.25">
      <c r="I1874" s="131"/>
      <c r="J1874" s="131"/>
      <c r="K1874" s="131"/>
      <c r="L1874" s="131"/>
      <c r="U1874" s="131"/>
      <c r="V1874" s="131"/>
      <c r="W1874" s="131"/>
      <c r="X1874" s="131"/>
    </row>
    <row r="1875" spans="9:24" x14ac:dyDescent="0.25">
      <c r="I1875" s="131"/>
      <c r="J1875" s="131"/>
      <c r="K1875" s="131"/>
      <c r="L1875" s="131"/>
      <c r="U1875" s="131"/>
      <c r="V1875" s="131"/>
      <c r="W1875" s="131"/>
      <c r="X1875" s="131"/>
    </row>
    <row r="1876" spans="9:24" x14ac:dyDescent="0.25">
      <c r="I1876" s="131"/>
      <c r="J1876" s="131"/>
      <c r="K1876" s="131"/>
      <c r="L1876" s="131"/>
      <c r="U1876" s="131"/>
      <c r="V1876" s="131"/>
      <c r="W1876" s="131"/>
      <c r="X1876" s="131"/>
    </row>
    <row r="1877" spans="9:24" x14ac:dyDescent="0.25">
      <c r="I1877" s="131"/>
      <c r="J1877" s="131"/>
      <c r="K1877" s="131"/>
      <c r="L1877" s="131"/>
      <c r="U1877" s="131"/>
      <c r="V1877" s="131"/>
      <c r="W1877" s="131"/>
      <c r="X1877" s="131"/>
    </row>
    <row r="1878" spans="9:24" x14ac:dyDescent="0.25">
      <c r="I1878" s="131"/>
      <c r="J1878" s="131"/>
      <c r="K1878" s="131"/>
      <c r="L1878" s="131"/>
      <c r="U1878" s="131"/>
      <c r="V1878" s="131"/>
      <c r="W1878" s="131"/>
      <c r="X1878" s="131"/>
    </row>
    <row r="1879" spans="9:24" x14ac:dyDescent="0.25">
      <c r="I1879" s="131"/>
      <c r="J1879" s="131"/>
      <c r="K1879" s="131"/>
      <c r="L1879" s="131"/>
      <c r="U1879" s="131"/>
      <c r="V1879" s="131"/>
      <c r="W1879" s="131"/>
      <c r="X1879" s="131"/>
    </row>
    <row r="1880" spans="9:24" x14ac:dyDescent="0.25">
      <c r="I1880" s="131"/>
      <c r="J1880" s="131"/>
      <c r="K1880" s="131"/>
      <c r="L1880" s="131"/>
      <c r="U1880" s="131"/>
      <c r="V1880" s="131"/>
      <c r="W1880" s="131"/>
      <c r="X1880" s="131"/>
    </row>
    <row r="1881" spans="9:24" x14ac:dyDescent="0.25">
      <c r="I1881" s="131"/>
      <c r="J1881" s="131"/>
      <c r="K1881" s="131"/>
      <c r="L1881" s="131"/>
      <c r="U1881" s="131"/>
      <c r="V1881" s="131"/>
      <c r="W1881" s="131"/>
      <c r="X1881" s="131"/>
    </row>
    <row r="1882" spans="9:24" x14ac:dyDescent="0.25">
      <c r="I1882" s="131"/>
      <c r="J1882" s="131"/>
      <c r="K1882" s="131"/>
      <c r="L1882" s="131"/>
      <c r="U1882" s="131"/>
      <c r="V1882" s="131"/>
      <c r="W1882" s="131"/>
      <c r="X1882" s="131"/>
    </row>
    <row r="1883" spans="9:24" x14ac:dyDescent="0.25">
      <c r="I1883" s="131"/>
      <c r="J1883" s="131"/>
      <c r="K1883" s="131"/>
      <c r="L1883" s="131"/>
      <c r="U1883" s="131"/>
      <c r="V1883" s="131"/>
      <c r="W1883" s="131"/>
      <c r="X1883" s="131"/>
    </row>
    <row r="1884" spans="9:24" x14ac:dyDescent="0.25">
      <c r="I1884" s="131"/>
      <c r="J1884" s="131"/>
      <c r="K1884" s="131"/>
      <c r="L1884" s="131"/>
      <c r="U1884" s="131"/>
      <c r="V1884" s="131"/>
      <c r="W1884" s="131"/>
      <c r="X1884" s="131"/>
    </row>
    <row r="1885" spans="9:24" x14ac:dyDescent="0.25">
      <c r="I1885" s="131"/>
      <c r="J1885" s="131"/>
      <c r="K1885" s="131"/>
      <c r="L1885" s="131"/>
      <c r="U1885" s="131"/>
      <c r="V1885" s="131"/>
      <c r="W1885" s="131"/>
      <c r="X1885" s="131"/>
    </row>
    <row r="1886" spans="9:24" x14ac:dyDescent="0.25">
      <c r="I1886" s="131"/>
      <c r="J1886" s="131"/>
      <c r="K1886" s="131"/>
      <c r="L1886" s="131"/>
      <c r="U1886" s="131"/>
      <c r="V1886" s="131"/>
      <c r="W1886" s="131"/>
      <c r="X1886" s="131"/>
    </row>
    <row r="1887" spans="9:24" x14ac:dyDescent="0.25">
      <c r="I1887" s="131"/>
      <c r="J1887" s="131"/>
      <c r="K1887" s="131"/>
      <c r="L1887" s="131"/>
      <c r="U1887" s="131"/>
      <c r="V1887" s="131"/>
      <c r="W1887" s="131"/>
      <c r="X1887" s="131"/>
    </row>
    <row r="1888" spans="9:24" x14ac:dyDescent="0.25">
      <c r="I1888" s="131"/>
      <c r="J1888" s="131"/>
      <c r="K1888" s="131"/>
      <c r="L1888" s="131"/>
      <c r="U1888" s="131"/>
      <c r="V1888" s="131"/>
      <c r="W1888" s="131"/>
      <c r="X1888" s="131"/>
    </row>
    <row r="1889" spans="9:24" x14ac:dyDescent="0.25">
      <c r="I1889" s="131"/>
      <c r="J1889" s="131"/>
      <c r="K1889" s="131"/>
      <c r="L1889" s="131"/>
      <c r="U1889" s="131"/>
      <c r="V1889" s="131"/>
      <c r="W1889" s="131"/>
      <c r="X1889" s="131"/>
    </row>
    <row r="1890" spans="9:24" x14ac:dyDescent="0.25">
      <c r="I1890" s="131"/>
      <c r="J1890" s="131"/>
      <c r="K1890" s="131"/>
      <c r="L1890" s="131"/>
      <c r="U1890" s="131"/>
      <c r="V1890" s="131"/>
      <c r="W1890" s="131"/>
      <c r="X1890" s="131"/>
    </row>
    <row r="1891" spans="9:24" x14ac:dyDescent="0.25">
      <c r="I1891" s="131"/>
      <c r="J1891" s="131"/>
      <c r="K1891" s="131"/>
      <c r="L1891" s="131"/>
      <c r="U1891" s="131"/>
      <c r="V1891" s="131"/>
      <c r="W1891" s="131"/>
      <c r="X1891" s="131"/>
    </row>
    <row r="1892" spans="9:24" x14ac:dyDescent="0.25">
      <c r="I1892" s="131"/>
      <c r="J1892" s="131"/>
      <c r="K1892" s="131"/>
      <c r="L1892" s="131"/>
      <c r="U1892" s="131"/>
      <c r="V1892" s="131"/>
      <c r="W1892" s="131"/>
      <c r="X1892" s="131"/>
    </row>
    <row r="1893" spans="9:24" x14ac:dyDescent="0.25">
      <c r="I1893" s="131"/>
      <c r="J1893" s="131"/>
      <c r="K1893" s="131"/>
      <c r="L1893" s="131"/>
      <c r="U1893" s="131"/>
      <c r="V1893" s="131"/>
      <c r="W1893" s="131"/>
      <c r="X1893" s="131"/>
    </row>
    <row r="1894" spans="9:24" x14ac:dyDescent="0.25">
      <c r="I1894" s="131"/>
      <c r="J1894" s="131"/>
      <c r="K1894" s="131"/>
      <c r="L1894" s="131"/>
      <c r="U1894" s="131"/>
      <c r="V1894" s="131"/>
      <c r="W1894" s="131"/>
      <c r="X1894" s="131"/>
    </row>
    <row r="1895" spans="9:24" x14ac:dyDescent="0.25">
      <c r="I1895" s="131"/>
      <c r="J1895" s="131"/>
      <c r="K1895" s="131"/>
      <c r="L1895" s="131"/>
      <c r="U1895" s="131"/>
      <c r="V1895" s="131"/>
      <c r="W1895" s="131"/>
      <c r="X1895" s="131"/>
    </row>
    <row r="1896" spans="9:24" x14ac:dyDescent="0.25">
      <c r="I1896" s="131"/>
      <c r="J1896" s="131"/>
      <c r="K1896" s="131"/>
      <c r="L1896" s="131"/>
      <c r="U1896" s="131"/>
      <c r="V1896" s="131"/>
      <c r="W1896" s="131"/>
      <c r="X1896" s="131"/>
    </row>
    <row r="1897" spans="9:24" x14ac:dyDescent="0.25">
      <c r="I1897" s="131"/>
      <c r="J1897" s="131"/>
      <c r="K1897" s="131"/>
      <c r="L1897" s="131"/>
      <c r="U1897" s="131"/>
      <c r="V1897" s="131"/>
      <c r="W1897" s="131"/>
      <c r="X1897" s="131"/>
    </row>
    <row r="1898" spans="9:24" x14ac:dyDescent="0.25">
      <c r="I1898" s="131"/>
      <c r="J1898" s="131"/>
      <c r="K1898" s="131"/>
      <c r="L1898" s="131"/>
      <c r="U1898" s="131"/>
      <c r="V1898" s="131"/>
      <c r="W1898" s="131"/>
      <c r="X1898" s="131"/>
    </row>
    <row r="1899" spans="9:24" x14ac:dyDescent="0.25">
      <c r="I1899" s="131"/>
      <c r="J1899" s="131"/>
      <c r="K1899" s="131"/>
      <c r="L1899" s="131"/>
      <c r="U1899" s="131"/>
      <c r="V1899" s="131"/>
      <c r="W1899" s="131"/>
      <c r="X1899" s="131"/>
    </row>
    <row r="1900" spans="9:24" x14ac:dyDescent="0.25">
      <c r="I1900" s="131"/>
      <c r="J1900" s="131"/>
      <c r="K1900" s="131"/>
      <c r="L1900" s="131"/>
      <c r="U1900" s="131"/>
      <c r="V1900" s="131"/>
      <c r="W1900" s="131"/>
      <c r="X1900" s="131"/>
    </row>
    <row r="1901" spans="9:24" x14ac:dyDescent="0.25">
      <c r="I1901" s="131"/>
      <c r="J1901" s="131"/>
      <c r="K1901" s="131"/>
      <c r="L1901" s="131"/>
      <c r="U1901" s="131"/>
      <c r="V1901" s="131"/>
      <c r="W1901" s="131"/>
      <c r="X1901" s="131"/>
    </row>
    <row r="1902" spans="9:24" x14ac:dyDescent="0.25">
      <c r="I1902" s="131"/>
      <c r="J1902" s="131"/>
      <c r="K1902" s="131"/>
      <c r="L1902" s="131"/>
      <c r="U1902" s="131"/>
      <c r="V1902" s="131"/>
      <c r="W1902" s="131"/>
      <c r="X1902" s="131"/>
    </row>
    <row r="1903" spans="9:24" x14ac:dyDescent="0.25">
      <c r="I1903" s="131"/>
      <c r="J1903" s="131"/>
      <c r="K1903" s="131"/>
      <c r="L1903" s="131"/>
      <c r="U1903" s="131"/>
      <c r="V1903" s="131"/>
      <c r="W1903" s="131"/>
      <c r="X1903" s="131"/>
    </row>
    <row r="1904" spans="9:24" x14ac:dyDescent="0.25">
      <c r="I1904" s="131"/>
      <c r="J1904" s="131"/>
      <c r="K1904" s="131"/>
      <c r="L1904" s="131"/>
      <c r="U1904" s="131"/>
      <c r="V1904" s="131"/>
      <c r="W1904" s="131"/>
      <c r="X1904" s="131"/>
    </row>
    <row r="1905" spans="9:24" x14ac:dyDescent="0.25">
      <c r="I1905" s="131"/>
      <c r="J1905" s="131"/>
      <c r="K1905" s="131"/>
      <c r="L1905" s="131"/>
      <c r="U1905" s="131"/>
      <c r="V1905" s="131"/>
      <c r="W1905" s="131"/>
      <c r="X1905" s="131"/>
    </row>
    <row r="1906" spans="9:24" x14ac:dyDescent="0.25">
      <c r="I1906" s="131"/>
      <c r="J1906" s="131"/>
      <c r="K1906" s="131"/>
      <c r="L1906" s="131"/>
      <c r="U1906" s="131"/>
      <c r="V1906" s="131"/>
      <c r="W1906" s="131"/>
      <c r="X1906" s="131"/>
    </row>
    <row r="1907" spans="9:24" x14ac:dyDescent="0.25">
      <c r="I1907" s="131"/>
      <c r="J1907" s="131"/>
      <c r="K1907" s="131"/>
      <c r="L1907" s="131"/>
      <c r="U1907" s="131"/>
      <c r="V1907" s="131"/>
      <c r="W1907" s="131"/>
      <c r="X1907" s="131"/>
    </row>
    <row r="1908" spans="9:24" x14ac:dyDescent="0.25">
      <c r="I1908" s="131"/>
      <c r="J1908" s="131"/>
      <c r="K1908" s="131"/>
      <c r="L1908" s="131"/>
      <c r="U1908" s="131"/>
      <c r="V1908" s="131"/>
      <c r="W1908" s="131"/>
      <c r="X1908" s="131"/>
    </row>
    <row r="1909" spans="9:24" x14ac:dyDescent="0.25">
      <c r="I1909" s="131"/>
      <c r="J1909" s="131"/>
      <c r="K1909" s="131"/>
      <c r="L1909" s="131"/>
      <c r="U1909" s="131"/>
      <c r="V1909" s="131"/>
      <c r="W1909" s="131"/>
      <c r="X1909" s="131"/>
    </row>
    <row r="1910" spans="9:24" x14ac:dyDescent="0.25">
      <c r="I1910" s="131"/>
      <c r="J1910" s="131"/>
      <c r="K1910" s="131"/>
      <c r="L1910" s="131"/>
      <c r="U1910" s="131"/>
      <c r="V1910" s="131"/>
      <c r="W1910" s="131"/>
      <c r="X1910" s="131"/>
    </row>
    <row r="1911" spans="9:24" x14ac:dyDescent="0.25">
      <c r="I1911" s="131"/>
      <c r="J1911" s="131"/>
      <c r="K1911" s="131"/>
      <c r="L1911" s="131"/>
      <c r="U1911" s="131"/>
      <c r="V1911" s="131"/>
      <c r="W1911" s="131"/>
      <c r="X1911" s="131"/>
    </row>
    <row r="1912" spans="9:24" x14ac:dyDescent="0.25">
      <c r="I1912" s="131"/>
      <c r="J1912" s="131"/>
      <c r="K1912" s="131"/>
      <c r="L1912" s="131"/>
      <c r="U1912" s="131"/>
      <c r="V1912" s="131"/>
      <c r="W1912" s="131"/>
      <c r="X1912" s="131"/>
    </row>
    <row r="1913" spans="9:24" x14ac:dyDescent="0.25">
      <c r="I1913" s="131"/>
      <c r="J1913" s="131"/>
      <c r="K1913" s="131"/>
      <c r="L1913" s="131"/>
      <c r="U1913" s="131"/>
      <c r="V1913" s="131"/>
      <c r="W1913" s="131"/>
      <c r="X1913" s="131"/>
    </row>
    <row r="1914" spans="9:24" x14ac:dyDescent="0.25">
      <c r="I1914" s="131"/>
      <c r="J1914" s="131"/>
      <c r="K1914" s="131"/>
      <c r="L1914" s="131"/>
      <c r="U1914" s="131"/>
      <c r="V1914" s="131"/>
      <c r="W1914" s="131"/>
      <c r="X1914" s="131"/>
    </row>
    <row r="1915" spans="9:24" x14ac:dyDescent="0.25">
      <c r="I1915" s="131"/>
      <c r="J1915" s="131"/>
      <c r="K1915" s="131"/>
      <c r="L1915" s="131"/>
      <c r="U1915" s="131"/>
      <c r="V1915" s="131"/>
      <c r="W1915" s="131"/>
      <c r="X1915" s="131"/>
    </row>
    <row r="1916" spans="9:24" x14ac:dyDescent="0.25">
      <c r="I1916" s="131"/>
      <c r="J1916" s="131"/>
      <c r="K1916" s="131"/>
      <c r="L1916" s="131"/>
      <c r="U1916" s="131"/>
      <c r="V1916" s="131"/>
      <c r="W1916" s="131"/>
      <c r="X1916" s="131"/>
    </row>
    <row r="1917" spans="9:24" x14ac:dyDescent="0.25">
      <c r="I1917" s="131"/>
      <c r="J1917" s="131"/>
      <c r="K1917" s="131"/>
      <c r="L1917" s="131"/>
      <c r="U1917" s="131"/>
      <c r="V1917" s="131"/>
      <c r="W1917" s="131"/>
      <c r="X1917" s="131"/>
    </row>
    <row r="1918" spans="9:24" x14ac:dyDescent="0.25">
      <c r="I1918" s="131"/>
      <c r="J1918" s="131"/>
      <c r="K1918" s="131"/>
      <c r="L1918" s="131"/>
      <c r="U1918" s="131"/>
      <c r="V1918" s="131"/>
      <c r="W1918" s="131"/>
      <c r="X1918" s="131"/>
    </row>
    <row r="1919" spans="9:24" x14ac:dyDescent="0.25">
      <c r="I1919" s="131"/>
      <c r="J1919" s="131"/>
      <c r="K1919" s="131"/>
      <c r="L1919" s="131"/>
      <c r="U1919" s="131"/>
      <c r="V1919" s="131"/>
      <c r="W1919" s="131"/>
      <c r="X1919" s="131"/>
    </row>
    <row r="1920" spans="9:24" x14ac:dyDescent="0.25">
      <c r="I1920" s="131"/>
      <c r="J1920" s="131"/>
      <c r="K1920" s="131"/>
      <c r="L1920" s="131"/>
      <c r="U1920" s="131"/>
      <c r="V1920" s="131"/>
      <c r="W1920" s="131"/>
      <c r="X1920" s="131"/>
    </row>
    <row r="1921" spans="9:24" x14ac:dyDescent="0.25">
      <c r="I1921" s="131"/>
      <c r="J1921" s="131"/>
      <c r="K1921" s="131"/>
      <c r="L1921" s="131"/>
      <c r="U1921" s="131"/>
      <c r="V1921" s="131"/>
      <c r="W1921" s="131"/>
      <c r="X1921" s="131"/>
    </row>
    <row r="1922" spans="9:24" x14ac:dyDescent="0.25">
      <c r="I1922" s="131"/>
      <c r="J1922" s="131"/>
      <c r="K1922" s="131"/>
      <c r="L1922" s="131"/>
      <c r="U1922" s="131"/>
      <c r="V1922" s="131"/>
      <c r="W1922" s="131"/>
      <c r="X1922" s="131"/>
    </row>
    <row r="1923" spans="9:24" x14ac:dyDescent="0.25">
      <c r="I1923" s="131"/>
      <c r="J1923" s="131"/>
      <c r="K1923" s="131"/>
      <c r="L1923" s="131"/>
      <c r="U1923" s="131"/>
      <c r="V1923" s="131"/>
      <c r="W1923" s="131"/>
      <c r="X1923" s="131"/>
    </row>
    <row r="1924" spans="9:24" x14ac:dyDescent="0.25">
      <c r="I1924" s="131"/>
      <c r="J1924" s="131"/>
      <c r="K1924" s="131"/>
      <c r="L1924" s="131"/>
      <c r="U1924" s="131"/>
      <c r="V1924" s="131"/>
      <c r="W1924" s="131"/>
      <c r="X1924" s="131"/>
    </row>
    <row r="1925" spans="9:24" x14ac:dyDescent="0.25">
      <c r="I1925" s="131"/>
      <c r="J1925" s="131"/>
      <c r="K1925" s="131"/>
      <c r="L1925" s="131"/>
      <c r="U1925" s="131"/>
      <c r="V1925" s="131"/>
      <c r="W1925" s="131"/>
      <c r="X1925" s="131"/>
    </row>
    <row r="1926" spans="9:24" x14ac:dyDescent="0.25">
      <c r="I1926" s="131"/>
      <c r="J1926" s="131"/>
      <c r="K1926" s="131"/>
      <c r="L1926" s="131"/>
      <c r="U1926" s="131"/>
      <c r="V1926" s="131"/>
      <c r="W1926" s="131"/>
      <c r="X1926" s="131"/>
    </row>
    <row r="1927" spans="9:24" x14ac:dyDescent="0.25">
      <c r="I1927" s="131"/>
      <c r="J1927" s="131"/>
      <c r="K1927" s="131"/>
      <c r="L1927" s="131"/>
      <c r="U1927" s="131"/>
      <c r="V1927" s="131"/>
      <c r="W1927" s="131"/>
      <c r="X1927" s="131"/>
    </row>
    <row r="1928" spans="9:24" x14ac:dyDescent="0.25">
      <c r="I1928" s="131"/>
      <c r="J1928" s="131"/>
      <c r="K1928" s="131"/>
      <c r="L1928" s="131"/>
      <c r="U1928" s="131"/>
      <c r="V1928" s="131"/>
      <c r="W1928" s="131"/>
      <c r="X1928" s="131"/>
    </row>
    <row r="1929" spans="9:24" x14ac:dyDescent="0.25">
      <c r="I1929" s="131"/>
      <c r="J1929" s="131"/>
      <c r="K1929" s="131"/>
      <c r="L1929" s="131"/>
      <c r="U1929" s="131"/>
      <c r="V1929" s="131"/>
      <c r="W1929" s="131"/>
      <c r="X1929" s="131"/>
    </row>
    <row r="1930" spans="9:24" x14ac:dyDescent="0.25">
      <c r="I1930" s="131"/>
      <c r="J1930" s="131"/>
      <c r="K1930" s="131"/>
      <c r="L1930" s="131"/>
      <c r="U1930" s="131"/>
      <c r="V1930" s="131"/>
      <c r="W1930" s="131"/>
      <c r="X1930" s="131"/>
    </row>
    <row r="1931" spans="9:24" x14ac:dyDescent="0.25">
      <c r="I1931" s="131"/>
      <c r="J1931" s="131"/>
      <c r="K1931" s="131"/>
      <c r="L1931" s="131"/>
      <c r="U1931" s="131"/>
      <c r="V1931" s="131"/>
      <c r="W1931" s="131"/>
      <c r="X1931" s="131"/>
    </row>
    <row r="1932" spans="9:24" x14ac:dyDescent="0.25">
      <c r="I1932" s="131"/>
      <c r="J1932" s="131"/>
      <c r="K1932" s="131"/>
      <c r="L1932" s="131"/>
      <c r="U1932" s="131"/>
      <c r="V1932" s="131"/>
      <c r="W1932" s="131"/>
      <c r="X1932" s="131"/>
    </row>
    <row r="1933" spans="9:24" x14ac:dyDescent="0.25">
      <c r="I1933" s="131"/>
      <c r="J1933" s="131"/>
      <c r="K1933" s="131"/>
      <c r="L1933" s="131"/>
      <c r="U1933" s="131"/>
      <c r="V1933" s="131"/>
      <c r="W1933" s="131"/>
      <c r="X1933" s="131"/>
    </row>
    <row r="1934" spans="9:24" x14ac:dyDescent="0.25">
      <c r="I1934" s="131"/>
      <c r="J1934" s="131"/>
      <c r="K1934" s="131"/>
      <c r="L1934" s="131"/>
      <c r="U1934" s="131"/>
      <c r="V1934" s="131"/>
      <c r="W1934" s="131"/>
      <c r="X1934" s="131"/>
    </row>
    <row r="1935" spans="9:24" x14ac:dyDescent="0.25">
      <c r="I1935" s="131"/>
      <c r="J1935" s="131"/>
      <c r="K1935" s="131"/>
      <c r="L1935" s="131"/>
      <c r="U1935" s="131"/>
      <c r="V1935" s="131"/>
      <c r="W1935" s="131"/>
      <c r="X1935" s="131"/>
    </row>
    <row r="1936" spans="9:24" x14ac:dyDescent="0.25">
      <c r="I1936" s="131"/>
      <c r="J1936" s="131"/>
      <c r="K1936" s="131"/>
      <c r="L1936" s="131"/>
      <c r="U1936" s="131"/>
      <c r="V1936" s="131"/>
      <c r="W1936" s="131"/>
      <c r="X1936" s="131"/>
    </row>
    <row r="1937" spans="9:24" x14ac:dyDescent="0.25">
      <c r="I1937" s="131"/>
      <c r="J1937" s="131"/>
      <c r="K1937" s="131"/>
      <c r="L1937" s="131"/>
      <c r="U1937" s="131"/>
      <c r="V1937" s="131"/>
      <c r="W1937" s="131"/>
      <c r="X1937" s="131"/>
    </row>
    <row r="1938" spans="9:24" x14ac:dyDescent="0.25">
      <c r="I1938" s="131"/>
      <c r="J1938" s="131"/>
      <c r="K1938" s="131"/>
      <c r="L1938" s="131"/>
      <c r="U1938" s="131"/>
      <c r="V1938" s="131"/>
      <c r="W1938" s="131"/>
      <c r="X1938" s="131"/>
    </row>
    <row r="1939" spans="9:24" x14ac:dyDescent="0.25">
      <c r="I1939" s="131"/>
      <c r="J1939" s="131"/>
      <c r="K1939" s="131"/>
      <c r="L1939" s="131"/>
      <c r="U1939" s="131"/>
      <c r="V1939" s="131"/>
      <c r="W1939" s="131"/>
      <c r="X1939" s="131"/>
    </row>
    <row r="1940" spans="9:24" x14ac:dyDescent="0.25">
      <c r="I1940" s="131"/>
      <c r="J1940" s="131"/>
      <c r="K1940" s="131"/>
      <c r="L1940" s="131"/>
      <c r="U1940" s="131"/>
      <c r="V1940" s="131"/>
      <c r="W1940" s="131"/>
      <c r="X1940" s="131"/>
    </row>
    <row r="1941" spans="9:24" x14ac:dyDescent="0.25">
      <c r="I1941" s="131"/>
      <c r="J1941" s="131"/>
      <c r="K1941" s="131"/>
      <c r="L1941" s="131"/>
      <c r="U1941" s="131"/>
      <c r="V1941" s="131"/>
      <c r="W1941" s="131"/>
      <c r="X1941" s="131"/>
    </row>
    <row r="1942" spans="9:24" x14ac:dyDescent="0.25">
      <c r="I1942" s="131"/>
      <c r="J1942" s="131"/>
      <c r="K1942" s="131"/>
      <c r="L1942" s="131"/>
      <c r="U1942" s="131"/>
      <c r="V1942" s="131"/>
      <c r="W1942" s="131"/>
      <c r="X1942" s="131"/>
    </row>
    <row r="1943" spans="9:24" x14ac:dyDescent="0.25">
      <c r="I1943" s="131"/>
      <c r="J1943" s="131"/>
      <c r="K1943" s="131"/>
      <c r="L1943" s="131"/>
      <c r="U1943" s="131"/>
      <c r="V1943" s="131"/>
      <c r="W1943" s="131"/>
      <c r="X1943" s="131"/>
    </row>
    <row r="1944" spans="9:24" x14ac:dyDescent="0.25">
      <c r="I1944" s="131"/>
      <c r="J1944" s="131"/>
      <c r="K1944" s="131"/>
      <c r="L1944" s="131"/>
      <c r="U1944" s="131"/>
      <c r="V1944" s="131"/>
      <c r="W1944" s="131"/>
      <c r="X1944" s="131"/>
    </row>
    <row r="1945" spans="9:24" x14ac:dyDescent="0.25">
      <c r="I1945" s="131"/>
      <c r="J1945" s="131"/>
      <c r="K1945" s="131"/>
      <c r="L1945" s="131"/>
      <c r="U1945" s="131"/>
      <c r="V1945" s="131"/>
      <c r="W1945" s="131"/>
      <c r="X1945" s="131"/>
    </row>
    <row r="1946" spans="9:24" x14ac:dyDescent="0.25">
      <c r="I1946" s="131"/>
      <c r="J1946" s="131"/>
      <c r="K1946" s="131"/>
      <c r="L1946" s="131"/>
      <c r="U1946" s="131"/>
      <c r="V1946" s="131"/>
      <c r="W1946" s="131"/>
      <c r="X1946" s="131"/>
    </row>
    <row r="1947" spans="9:24" x14ac:dyDescent="0.25">
      <c r="I1947" s="131"/>
      <c r="J1947" s="131"/>
      <c r="K1947" s="131"/>
      <c r="L1947" s="131"/>
      <c r="U1947" s="131"/>
      <c r="V1947" s="131"/>
      <c r="W1947" s="131"/>
      <c r="X1947" s="131"/>
    </row>
    <row r="1948" spans="9:24" x14ac:dyDescent="0.25">
      <c r="I1948" s="131"/>
      <c r="J1948" s="131"/>
      <c r="K1948" s="131"/>
      <c r="L1948" s="131"/>
      <c r="U1948" s="131"/>
      <c r="V1948" s="131"/>
      <c r="W1948" s="131"/>
      <c r="X1948" s="131"/>
    </row>
    <row r="1949" spans="9:24" x14ac:dyDescent="0.25">
      <c r="I1949" s="131"/>
      <c r="J1949" s="131"/>
      <c r="K1949" s="131"/>
      <c r="L1949" s="131"/>
      <c r="U1949" s="131"/>
      <c r="V1949" s="131"/>
      <c r="W1949" s="131"/>
      <c r="X1949" s="131"/>
    </row>
    <row r="1950" spans="9:24" x14ac:dyDescent="0.25">
      <c r="I1950" s="131"/>
      <c r="J1950" s="131"/>
      <c r="K1950" s="131"/>
      <c r="L1950" s="131"/>
      <c r="U1950" s="131"/>
      <c r="V1950" s="131"/>
      <c r="W1950" s="131"/>
      <c r="X1950" s="131"/>
    </row>
    <row r="1951" spans="9:24" x14ac:dyDescent="0.25">
      <c r="I1951" s="131"/>
      <c r="J1951" s="131"/>
      <c r="K1951" s="131"/>
      <c r="L1951" s="131"/>
      <c r="U1951" s="131"/>
      <c r="V1951" s="131"/>
      <c r="W1951" s="131"/>
      <c r="X1951" s="131"/>
    </row>
    <row r="1952" spans="9:24" x14ac:dyDescent="0.25">
      <c r="I1952" s="131"/>
      <c r="J1952" s="131"/>
      <c r="K1952" s="131"/>
      <c r="L1952" s="131"/>
      <c r="U1952" s="131"/>
      <c r="V1952" s="131"/>
      <c r="W1952" s="131"/>
      <c r="X1952" s="131"/>
    </row>
    <row r="1953" spans="9:24" x14ac:dyDescent="0.25">
      <c r="I1953" s="131"/>
      <c r="J1953" s="131"/>
      <c r="K1953" s="131"/>
      <c r="L1953" s="131"/>
      <c r="U1953" s="131"/>
      <c r="V1953" s="131"/>
      <c r="W1953" s="131"/>
      <c r="X1953" s="131"/>
    </row>
    <row r="1954" spans="9:24" x14ac:dyDescent="0.25">
      <c r="I1954" s="131"/>
      <c r="J1954" s="131"/>
      <c r="K1954" s="131"/>
      <c r="L1954" s="131"/>
      <c r="U1954" s="131"/>
      <c r="V1954" s="131"/>
      <c r="W1954" s="131"/>
      <c r="X1954" s="131"/>
    </row>
    <row r="1955" spans="9:24" x14ac:dyDescent="0.25">
      <c r="I1955" s="131"/>
      <c r="J1955" s="131"/>
      <c r="K1955" s="131"/>
      <c r="L1955" s="131"/>
      <c r="U1955" s="131"/>
      <c r="V1955" s="131"/>
      <c r="W1955" s="131"/>
      <c r="X1955" s="131"/>
    </row>
    <row r="1956" spans="9:24" x14ac:dyDescent="0.25">
      <c r="I1956" s="131"/>
      <c r="J1956" s="131"/>
      <c r="K1956" s="131"/>
      <c r="L1956" s="131"/>
      <c r="U1956" s="131"/>
      <c r="V1956" s="131"/>
      <c r="W1956" s="131"/>
      <c r="X1956" s="131"/>
    </row>
    <row r="1957" spans="9:24" x14ac:dyDescent="0.25">
      <c r="I1957" s="131"/>
      <c r="J1957" s="131"/>
      <c r="K1957" s="131"/>
      <c r="L1957" s="131"/>
      <c r="U1957" s="131"/>
      <c r="V1957" s="131"/>
      <c r="W1957" s="131"/>
      <c r="X1957" s="131"/>
    </row>
    <row r="1958" spans="9:24" x14ac:dyDescent="0.25">
      <c r="I1958" s="131"/>
      <c r="J1958" s="131"/>
      <c r="K1958" s="131"/>
      <c r="L1958" s="131"/>
      <c r="U1958" s="131"/>
      <c r="V1958" s="131"/>
      <c r="W1958" s="131"/>
      <c r="X1958" s="131"/>
    </row>
    <row r="1959" spans="9:24" x14ac:dyDescent="0.25">
      <c r="I1959" s="131"/>
      <c r="J1959" s="131"/>
      <c r="K1959" s="131"/>
      <c r="L1959" s="131"/>
      <c r="U1959" s="131"/>
      <c r="V1959" s="131"/>
      <c r="W1959" s="131"/>
      <c r="X1959" s="131"/>
    </row>
    <row r="1960" spans="9:24" x14ac:dyDescent="0.25">
      <c r="I1960" s="131"/>
      <c r="J1960" s="131"/>
      <c r="K1960" s="131"/>
      <c r="L1960" s="131"/>
      <c r="U1960" s="131"/>
      <c r="V1960" s="131"/>
      <c r="W1960" s="131"/>
      <c r="X1960" s="131"/>
    </row>
    <row r="1961" spans="9:24" x14ac:dyDescent="0.25">
      <c r="I1961" s="131"/>
      <c r="J1961" s="131"/>
      <c r="K1961" s="131"/>
      <c r="L1961" s="131"/>
      <c r="U1961" s="131"/>
      <c r="V1961" s="131"/>
      <c r="W1961" s="131"/>
      <c r="X1961" s="131"/>
    </row>
    <row r="1962" spans="9:24" x14ac:dyDescent="0.25">
      <c r="I1962" s="131"/>
      <c r="J1962" s="131"/>
      <c r="K1962" s="131"/>
      <c r="L1962" s="131"/>
      <c r="U1962" s="131"/>
      <c r="V1962" s="131"/>
      <c r="W1962" s="131"/>
      <c r="X1962" s="131"/>
    </row>
    <row r="1963" spans="9:24" x14ac:dyDescent="0.25">
      <c r="I1963" s="131"/>
      <c r="J1963" s="131"/>
      <c r="K1963" s="131"/>
      <c r="L1963" s="131"/>
      <c r="U1963" s="131"/>
      <c r="V1963" s="131"/>
      <c r="W1963" s="131"/>
      <c r="X1963" s="131"/>
    </row>
    <row r="1964" spans="9:24" x14ac:dyDescent="0.25">
      <c r="I1964" s="131"/>
      <c r="J1964" s="131"/>
      <c r="K1964" s="131"/>
      <c r="L1964" s="131"/>
      <c r="U1964" s="131"/>
      <c r="V1964" s="131"/>
      <c r="W1964" s="131"/>
      <c r="X1964" s="131"/>
    </row>
    <row r="1965" spans="9:24" x14ac:dyDescent="0.25">
      <c r="I1965" s="131"/>
      <c r="J1965" s="131"/>
      <c r="K1965" s="131"/>
      <c r="L1965" s="131"/>
      <c r="U1965" s="131"/>
      <c r="V1965" s="131"/>
      <c r="W1965" s="131"/>
      <c r="X1965" s="131"/>
    </row>
    <row r="1966" spans="9:24" x14ac:dyDescent="0.25">
      <c r="I1966" s="131"/>
      <c r="J1966" s="131"/>
      <c r="K1966" s="131"/>
      <c r="L1966" s="131"/>
      <c r="U1966" s="131"/>
      <c r="V1966" s="131"/>
      <c r="W1966" s="131"/>
      <c r="X1966" s="131"/>
    </row>
    <row r="1967" spans="9:24" x14ac:dyDescent="0.25">
      <c r="I1967" s="131"/>
      <c r="J1967" s="131"/>
      <c r="K1967" s="131"/>
      <c r="L1967" s="131"/>
      <c r="U1967" s="131"/>
      <c r="V1967" s="131"/>
      <c r="W1967" s="131"/>
      <c r="X1967" s="131"/>
    </row>
    <row r="1968" spans="9:24" x14ac:dyDescent="0.25">
      <c r="I1968" s="131"/>
      <c r="J1968" s="131"/>
      <c r="K1968" s="131"/>
      <c r="L1968" s="131"/>
      <c r="U1968" s="131"/>
      <c r="V1968" s="131"/>
      <c r="W1968" s="131"/>
      <c r="X1968" s="131"/>
    </row>
    <row r="1969" spans="9:24" x14ac:dyDescent="0.25">
      <c r="I1969" s="131"/>
      <c r="J1969" s="131"/>
      <c r="K1969" s="131"/>
      <c r="L1969" s="131"/>
      <c r="U1969" s="131"/>
      <c r="V1969" s="131"/>
      <c r="W1969" s="131"/>
      <c r="X1969" s="131"/>
    </row>
    <row r="1970" spans="9:24" x14ac:dyDescent="0.25">
      <c r="I1970" s="131"/>
      <c r="J1970" s="131"/>
      <c r="K1970" s="131"/>
      <c r="L1970" s="131"/>
      <c r="U1970" s="131"/>
      <c r="V1970" s="131"/>
      <c r="W1970" s="131"/>
      <c r="X1970" s="131"/>
    </row>
    <row r="1971" spans="9:24" x14ac:dyDescent="0.25">
      <c r="I1971" s="131"/>
      <c r="J1971" s="131"/>
      <c r="K1971" s="131"/>
      <c r="L1971" s="131"/>
      <c r="U1971" s="131"/>
      <c r="V1971" s="131"/>
      <c r="W1971" s="131"/>
      <c r="X1971" s="131"/>
    </row>
    <row r="1972" spans="9:24" x14ac:dyDescent="0.25">
      <c r="I1972" s="131"/>
      <c r="J1972" s="131"/>
      <c r="K1972" s="131"/>
      <c r="L1972" s="131"/>
      <c r="U1972" s="131"/>
      <c r="V1972" s="131"/>
      <c r="W1972" s="131"/>
      <c r="X1972" s="131"/>
    </row>
    <row r="1973" spans="9:24" x14ac:dyDescent="0.25">
      <c r="I1973" s="131"/>
      <c r="J1973" s="131"/>
      <c r="K1973" s="131"/>
      <c r="L1973" s="131"/>
      <c r="U1973" s="131"/>
      <c r="V1973" s="131"/>
      <c r="W1973" s="131"/>
      <c r="X1973" s="131"/>
    </row>
    <row r="1974" spans="9:24" x14ac:dyDescent="0.25">
      <c r="I1974" s="131"/>
      <c r="J1974" s="131"/>
      <c r="K1974" s="131"/>
      <c r="L1974" s="131"/>
      <c r="U1974" s="131"/>
      <c r="V1974" s="131"/>
      <c r="W1974" s="131"/>
      <c r="X1974" s="131"/>
    </row>
    <row r="1975" spans="9:24" x14ac:dyDescent="0.25">
      <c r="I1975" s="131"/>
      <c r="J1975" s="131"/>
      <c r="K1975" s="131"/>
      <c r="L1975" s="131"/>
      <c r="U1975" s="131"/>
      <c r="V1975" s="131"/>
      <c r="W1975" s="131"/>
      <c r="X1975" s="131"/>
    </row>
    <row r="1976" spans="9:24" x14ac:dyDescent="0.25">
      <c r="I1976" s="131"/>
      <c r="J1976" s="131"/>
      <c r="K1976" s="131"/>
      <c r="L1976" s="131"/>
      <c r="U1976" s="131"/>
      <c r="V1976" s="131"/>
      <c r="W1976" s="131"/>
      <c r="X1976" s="131"/>
    </row>
    <row r="1977" spans="9:24" x14ac:dyDescent="0.25">
      <c r="I1977" s="131"/>
      <c r="J1977" s="131"/>
      <c r="K1977" s="131"/>
      <c r="L1977" s="131"/>
      <c r="U1977" s="131"/>
      <c r="V1977" s="131"/>
      <c r="W1977" s="131"/>
      <c r="X1977" s="131"/>
    </row>
    <row r="1978" spans="9:24" x14ac:dyDescent="0.25">
      <c r="I1978" s="131"/>
      <c r="J1978" s="131"/>
      <c r="K1978" s="131"/>
      <c r="L1978" s="131"/>
      <c r="U1978" s="131"/>
      <c r="V1978" s="131"/>
      <c r="W1978" s="131"/>
      <c r="X1978" s="131"/>
    </row>
    <row r="1979" spans="9:24" x14ac:dyDescent="0.25">
      <c r="I1979" s="131"/>
      <c r="J1979" s="131"/>
      <c r="K1979" s="131"/>
      <c r="L1979" s="131"/>
      <c r="U1979" s="131"/>
      <c r="V1979" s="131"/>
      <c r="W1979" s="131"/>
      <c r="X1979" s="131"/>
    </row>
    <row r="1980" spans="9:24" x14ac:dyDescent="0.25">
      <c r="I1980" s="131"/>
      <c r="J1980" s="131"/>
      <c r="K1980" s="131"/>
      <c r="L1980" s="131"/>
      <c r="U1980" s="131"/>
      <c r="V1980" s="131"/>
      <c r="W1980" s="131"/>
      <c r="X1980" s="131"/>
    </row>
    <row r="1981" spans="9:24" x14ac:dyDescent="0.25">
      <c r="I1981" s="131"/>
      <c r="J1981" s="131"/>
      <c r="K1981" s="131"/>
      <c r="L1981" s="131"/>
      <c r="U1981" s="131"/>
      <c r="V1981" s="131"/>
      <c r="W1981" s="131"/>
      <c r="X1981" s="131"/>
    </row>
    <row r="1982" spans="9:24" x14ac:dyDescent="0.25">
      <c r="I1982" s="131"/>
      <c r="J1982" s="131"/>
      <c r="K1982" s="131"/>
      <c r="L1982" s="131"/>
      <c r="U1982" s="131"/>
      <c r="V1982" s="131"/>
      <c r="W1982" s="131"/>
      <c r="X1982" s="131"/>
    </row>
    <row r="1983" spans="9:24" x14ac:dyDescent="0.25">
      <c r="I1983" s="131"/>
      <c r="J1983" s="131"/>
      <c r="K1983" s="131"/>
      <c r="L1983" s="131"/>
      <c r="U1983" s="131"/>
      <c r="V1983" s="131"/>
      <c r="W1983" s="131"/>
      <c r="X1983" s="131"/>
    </row>
    <row r="1984" spans="9:24" x14ac:dyDescent="0.25">
      <c r="I1984" s="131"/>
      <c r="J1984" s="131"/>
      <c r="K1984" s="131"/>
      <c r="L1984" s="131"/>
      <c r="U1984" s="131"/>
      <c r="V1984" s="131"/>
      <c r="W1984" s="131"/>
      <c r="X1984" s="131"/>
    </row>
    <row r="1985" spans="9:24" x14ac:dyDescent="0.25">
      <c r="I1985" s="131"/>
      <c r="J1985" s="131"/>
      <c r="K1985" s="131"/>
      <c r="L1985" s="131"/>
      <c r="U1985" s="131"/>
      <c r="V1985" s="131"/>
      <c r="W1985" s="131"/>
      <c r="X1985" s="131"/>
    </row>
    <row r="1986" spans="9:24" x14ac:dyDescent="0.25">
      <c r="I1986" s="131"/>
      <c r="J1986" s="131"/>
      <c r="K1986" s="131"/>
      <c r="L1986" s="131"/>
      <c r="U1986" s="131"/>
      <c r="V1986" s="131"/>
      <c r="W1986" s="131"/>
      <c r="X1986" s="131"/>
    </row>
    <row r="1987" spans="9:24" x14ac:dyDescent="0.25">
      <c r="I1987" s="131"/>
      <c r="J1987" s="131"/>
      <c r="K1987" s="131"/>
      <c r="L1987" s="131"/>
      <c r="U1987" s="131"/>
      <c r="V1987" s="131"/>
      <c r="W1987" s="131"/>
      <c r="X1987" s="131"/>
    </row>
    <row r="1988" spans="9:24" x14ac:dyDescent="0.25">
      <c r="I1988" s="131"/>
      <c r="J1988" s="131"/>
      <c r="K1988" s="131"/>
      <c r="L1988" s="131"/>
      <c r="U1988" s="131"/>
      <c r="V1988" s="131"/>
      <c r="W1988" s="131"/>
      <c r="X1988" s="131"/>
    </row>
    <row r="1989" spans="9:24" x14ac:dyDescent="0.25">
      <c r="I1989" s="131"/>
      <c r="J1989" s="131"/>
      <c r="K1989" s="131"/>
      <c r="L1989" s="131"/>
      <c r="U1989" s="131"/>
      <c r="V1989" s="131"/>
      <c r="W1989" s="131"/>
      <c r="X1989" s="131"/>
    </row>
    <row r="1990" spans="9:24" x14ac:dyDescent="0.25">
      <c r="I1990" s="131"/>
      <c r="J1990" s="131"/>
      <c r="K1990" s="131"/>
      <c r="L1990" s="131"/>
      <c r="U1990" s="131"/>
      <c r="V1990" s="131"/>
      <c r="W1990" s="131"/>
      <c r="X1990" s="131"/>
    </row>
    <row r="1991" spans="9:24" x14ac:dyDescent="0.25">
      <c r="I1991" s="131"/>
      <c r="J1991" s="131"/>
      <c r="K1991" s="131"/>
      <c r="L1991" s="131"/>
      <c r="U1991" s="131"/>
      <c r="V1991" s="131"/>
      <c r="W1991" s="131"/>
      <c r="X1991" s="131"/>
    </row>
    <row r="1992" spans="9:24" x14ac:dyDescent="0.25">
      <c r="I1992" s="131"/>
      <c r="J1992" s="131"/>
      <c r="K1992" s="131"/>
      <c r="L1992" s="131"/>
      <c r="U1992" s="131"/>
      <c r="V1992" s="131"/>
      <c r="W1992" s="131"/>
      <c r="X1992" s="131"/>
    </row>
    <row r="1993" spans="9:24" x14ac:dyDescent="0.25">
      <c r="I1993" s="131"/>
      <c r="J1993" s="131"/>
      <c r="K1993" s="131"/>
      <c r="L1993" s="131"/>
      <c r="U1993" s="131"/>
      <c r="V1993" s="131"/>
      <c r="W1993" s="131"/>
      <c r="X1993" s="131"/>
    </row>
    <row r="1994" spans="9:24" x14ac:dyDescent="0.25">
      <c r="I1994" s="131"/>
      <c r="J1994" s="131"/>
      <c r="K1994" s="131"/>
      <c r="L1994" s="131"/>
      <c r="U1994" s="131"/>
      <c r="V1994" s="131"/>
      <c r="W1994" s="131"/>
      <c r="X1994" s="131"/>
    </row>
    <row r="1995" spans="9:24" x14ac:dyDescent="0.25">
      <c r="I1995" s="131"/>
      <c r="J1995" s="131"/>
      <c r="K1995" s="131"/>
      <c r="L1995" s="131"/>
      <c r="U1995" s="131"/>
      <c r="V1995" s="131"/>
      <c r="W1995" s="131"/>
      <c r="X1995" s="131"/>
    </row>
    <row r="1996" spans="9:24" x14ac:dyDescent="0.25">
      <c r="I1996" s="131"/>
      <c r="J1996" s="131"/>
      <c r="K1996" s="131"/>
      <c r="L1996" s="131"/>
      <c r="U1996" s="131"/>
      <c r="V1996" s="131"/>
      <c r="W1996" s="131"/>
      <c r="X1996" s="131"/>
    </row>
    <row r="1997" spans="9:24" x14ac:dyDescent="0.25">
      <c r="I1997" s="131"/>
      <c r="J1997" s="131"/>
      <c r="K1997" s="131"/>
      <c r="L1997" s="131"/>
      <c r="U1997" s="131"/>
      <c r="V1997" s="131"/>
      <c r="W1997" s="131"/>
      <c r="X1997" s="131"/>
    </row>
    <row r="1998" spans="9:24" x14ac:dyDescent="0.25">
      <c r="I1998" s="131"/>
      <c r="J1998" s="131"/>
      <c r="K1998" s="131"/>
      <c r="L1998" s="131"/>
      <c r="U1998" s="131"/>
      <c r="V1998" s="131"/>
      <c r="W1998" s="131"/>
      <c r="X1998" s="131"/>
    </row>
    <row r="1999" spans="9:24" x14ac:dyDescent="0.25">
      <c r="I1999" s="131"/>
      <c r="J1999" s="131"/>
      <c r="K1999" s="131"/>
      <c r="L1999" s="131"/>
      <c r="U1999" s="131"/>
      <c r="V1999" s="131"/>
      <c r="W1999" s="131"/>
      <c r="X1999" s="131"/>
    </row>
    <row r="2000" spans="9:24" x14ac:dyDescent="0.25">
      <c r="I2000" s="131"/>
      <c r="J2000" s="131"/>
      <c r="K2000" s="131"/>
      <c r="L2000" s="131"/>
      <c r="U2000" s="131"/>
      <c r="V2000" s="131"/>
      <c r="W2000" s="131"/>
      <c r="X2000" s="131"/>
    </row>
    <row r="2001" spans="9:24" x14ac:dyDescent="0.25">
      <c r="I2001" s="131"/>
      <c r="J2001" s="131"/>
      <c r="K2001" s="131"/>
      <c r="L2001" s="131"/>
      <c r="U2001" s="131"/>
      <c r="V2001" s="131"/>
      <c r="W2001" s="131"/>
      <c r="X2001" s="131"/>
    </row>
    <row r="2002" spans="9:24" x14ac:dyDescent="0.25">
      <c r="I2002" s="131"/>
      <c r="J2002" s="131"/>
      <c r="K2002" s="131"/>
      <c r="L2002" s="131"/>
      <c r="U2002" s="131"/>
      <c r="V2002" s="131"/>
      <c r="W2002" s="131"/>
      <c r="X2002" s="131"/>
    </row>
    <row r="2003" spans="9:24" x14ac:dyDescent="0.25">
      <c r="I2003" s="131"/>
      <c r="J2003" s="131"/>
      <c r="K2003" s="131"/>
      <c r="L2003" s="131"/>
      <c r="U2003" s="131"/>
      <c r="V2003" s="131"/>
      <c r="W2003" s="131"/>
      <c r="X2003" s="131"/>
    </row>
    <row r="2004" spans="9:24" x14ac:dyDescent="0.25">
      <c r="I2004" s="131"/>
      <c r="J2004" s="131"/>
      <c r="K2004" s="131"/>
      <c r="L2004" s="131"/>
      <c r="U2004" s="131"/>
      <c r="V2004" s="131"/>
      <c r="W2004" s="131"/>
      <c r="X2004" s="131"/>
    </row>
    <row r="2005" spans="9:24" x14ac:dyDescent="0.25">
      <c r="I2005" s="131"/>
      <c r="J2005" s="131"/>
      <c r="K2005" s="131"/>
      <c r="L2005" s="131"/>
      <c r="U2005" s="131"/>
      <c r="V2005" s="131"/>
      <c r="W2005" s="131"/>
      <c r="X2005" s="131"/>
    </row>
    <row r="2006" spans="9:24" x14ac:dyDescent="0.25">
      <c r="I2006" s="131"/>
      <c r="J2006" s="131"/>
      <c r="K2006" s="131"/>
      <c r="L2006" s="131"/>
      <c r="U2006" s="131"/>
      <c r="V2006" s="131"/>
      <c r="W2006" s="131"/>
      <c r="X2006" s="131"/>
    </row>
    <row r="2007" spans="9:24" x14ac:dyDescent="0.25">
      <c r="I2007" s="131"/>
      <c r="J2007" s="131"/>
      <c r="K2007" s="131"/>
      <c r="L2007" s="131"/>
      <c r="U2007" s="131"/>
      <c r="V2007" s="131"/>
      <c r="W2007" s="131"/>
      <c r="X2007" s="131"/>
    </row>
    <row r="2008" spans="9:24" x14ac:dyDescent="0.25">
      <c r="I2008" s="131"/>
      <c r="J2008" s="131"/>
      <c r="K2008" s="131"/>
      <c r="L2008" s="131"/>
      <c r="U2008" s="131"/>
      <c r="V2008" s="131"/>
      <c r="W2008" s="131"/>
      <c r="X2008" s="131"/>
    </row>
    <row r="2009" spans="9:24" x14ac:dyDescent="0.25">
      <c r="I2009" s="131"/>
      <c r="J2009" s="131"/>
      <c r="K2009" s="131"/>
      <c r="L2009" s="131"/>
      <c r="U2009" s="131"/>
      <c r="V2009" s="131"/>
      <c r="W2009" s="131"/>
      <c r="X2009" s="131"/>
    </row>
    <row r="2010" spans="9:24" x14ac:dyDescent="0.25">
      <c r="I2010" s="131"/>
      <c r="J2010" s="131"/>
      <c r="K2010" s="131"/>
      <c r="L2010" s="131"/>
      <c r="U2010" s="131"/>
      <c r="V2010" s="131"/>
      <c r="W2010" s="131"/>
      <c r="X2010" s="131"/>
    </row>
    <row r="2011" spans="9:24" x14ac:dyDescent="0.25">
      <c r="I2011" s="131"/>
      <c r="J2011" s="131"/>
      <c r="K2011" s="131"/>
      <c r="L2011" s="131"/>
      <c r="U2011" s="131"/>
      <c r="V2011" s="131"/>
      <c r="W2011" s="131"/>
      <c r="X2011" s="131"/>
    </row>
    <row r="2012" spans="9:24" x14ac:dyDescent="0.25">
      <c r="I2012" s="131"/>
      <c r="J2012" s="131"/>
      <c r="K2012" s="131"/>
      <c r="L2012" s="131"/>
      <c r="U2012" s="131"/>
      <c r="V2012" s="131"/>
      <c r="W2012" s="131"/>
      <c r="X2012" s="131"/>
    </row>
    <row r="2013" spans="9:24" x14ac:dyDescent="0.25">
      <c r="I2013" s="131"/>
      <c r="J2013" s="131"/>
      <c r="K2013" s="131"/>
      <c r="L2013" s="131"/>
      <c r="U2013" s="131"/>
      <c r="V2013" s="131"/>
      <c r="W2013" s="131"/>
      <c r="X2013" s="131"/>
    </row>
    <row r="2014" spans="9:24" x14ac:dyDescent="0.25">
      <c r="I2014" s="131"/>
      <c r="J2014" s="131"/>
      <c r="K2014" s="131"/>
      <c r="L2014" s="131"/>
      <c r="U2014" s="131"/>
      <c r="V2014" s="131"/>
      <c r="W2014" s="131"/>
      <c r="X2014" s="131"/>
    </row>
    <row r="2015" spans="9:24" x14ac:dyDescent="0.25">
      <c r="I2015" s="131"/>
      <c r="J2015" s="131"/>
      <c r="K2015" s="131"/>
      <c r="L2015" s="131"/>
      <c r="U2015" s="131"/>
      <c r="V2015" s="131"/>
      <c r="W2015" s="131"/>
      <c r="X2015" s="131"/>
    </row>
    <row r="2016" spans="9:24" x14ac:dyDescent="0.25">
      <c r="I2016" s="131"/>
      <c r="J2016" s="131"/>
      <c r="K2016" s="131"/>
      <c r="L2016" s="131"/>
      <c r="U2016" s="131"/>
      <c r="V2016" s="131"/>
      <c r="W2016" s="131"/>
      <c r="X2016" s="131"/>
    </row>
    <row r="2017" spans="9:24" x14ac:dyDescent="0.25">
      <c r="I2017" s="131"/>
      <c r="J2017" s="131"/>
      <c r="K2017" s="131"/>
      <c r="L2017" s="131"/>
      <c r="U2017" s="131"/>
      <c r="V2017" s="131"/>
      <c r="W2017" s="131"/>
      <c r="X2017" s="131"/>
    </row>
    <row r="2018" spans="9:24" x14ac:dyDescent="0.25">
      <c r="I2018" s="131"/>
      <c r="J2018" s="131"/>
      <c r="K2018" s="131"/>
      <c r="L2018" s="131"/>
      <c r="U2018" s="131"/>
      <c r="V2018" s="131"/>
      <c r="W2018" s="131"/>
      <c r="X2018" s="131"/>
    </row>
    <row r="2019" spans="9:24" x14ac:dyDescent="0.25">
      <c r="I2019" s="131"/>
      <c r="J2019" s="131"/>
      <c r="K2019" s="131"/>
      <c r="L2019" s="131"/>
      <c r="U2019" s="131"/>
      <c r="V2019" s="131"/>
      <c r="W2019" s="131"/>
      <c r="X2019" s="131"/>
    </row>
    <row r="2020" spans="9:24" x14ac:dyDescent="0.25">
      <c r="I2020" s="131"/>
      <c r="J2020" s="131"/>
      <c r="K2020" s="131"/>
      <c r="L2020" s="131"/>
      <c r="U2020" s="131"/>
      <c r="V2020" s="131"/>
      <c r="W2020" s="131"/>
      <c r="X2020" s="131"/>
    </row>
    <row r="2021" spans="9:24" x14ac:dyDescent="0.25">
      <c r="I2021" s="131"/>
      <c r="J2021" s="131"/>
      <c r="K2021" s="131"/>
      <c r="L2021" s="131"/>
      <c r="U2021" s="131"/>
      <c r="V2021" s="131"/>
      <c r="W2021" s="131"/>
      <c r="X2021" s="131"/>
    </row>
    <row r="2022" spans="9:24" x14ac:dyDescent="0.25">
      <c r="I2022" s="131"/>
      <c r="J2022" s="131"/>
      <c r="K2022" s="131"/>
      <c r="L2022" s="131"/>
      <c r="U2022" s="131"/>
      <c r="V2022" s="131"/>
      <c r="W2022" s="131"/>
      <c r="X2022" s="131"/>
    </row>
    <row r="2023" spans="9:24" x14ac:dyDescent="0.25">
      <c r="I2023" s="131"/>
      <c r="J2023" s="131"/>
      <c r="K2023" s="131"/>
      <c r="L2023" s="131"/>
      <c r="U2023" s="131"/>
      <c r="V2023" s="131"/>
      <c r="W2023" s="131"/>
      <c r="X2023" s="131"/>
    </row>
    <row r="2024" spans="9:24" x14ac:dyDescent="0.25">
      <c r="I2024" s="131"/>
      <c r="J2024" s="131"/>
      <c r="K2024" s="131"/>
      <c r="L2024" s="131"/>
      <c r="U2024" s="131"/>
      <c r="V2024" s="131"/>
      <c r="W2024" s="131"/>
      <c r="X2024" s="131"/>
    </row>
    <row r="2025" spans="9:24" x14ac:dyDescent="0.25">
      <c r="I2025" s="131"/>
      <c r="J2025" s="131"/>
      <c r="K2025" s="131"/>
      <c r="L2025" s="131"/>
      <c r="U2025" s="131"/>
      <c r="V2025" s="131"/>
      <c r="W2025" s="131"/>
      <c r="X2025" s="131"/>
    </row>
    <row r="2026" spans="9:24" x14ac:dyDescent="0.25">
      <c r="I2026" s="131"/>
      <c r="J2026" s="131"/>
      <c r="K2026" s="131"/>
      <c r="L2026" s="131"/>
      <c r="U2026" s="131"/>
      <c r="V2026" s="131"/>
      <c r="W2026" s="131"/>
      <c r="X2026" s="131"/>
    </row>
    <row r="2027" spans="9:24" x14ac:dyDescent="0.25">
      <c r="I2027" s="131"/>
      <c r="J2027" s="131"/>
      <c r="K2027" s="131"/>
      <c r="L2027" s="131"/>
      <c r="U2027" s="131"/>
      <c r="V2027" s="131"/>
      <c r="W2027" s="131"/>
      <c r="X2027" s="131"/>
    </row>
    <row r="2028" spans="9:24" x14ac:dyDescent="0.25">
      <c r="I2028" s="131"/>
      <c r="J2028" s="131"/>
      <c r="K2028" s="131"/>
      <c r="L2028" s="131"/>
      <c r="U2028" s="131"/>
      <c r="V2028" s="131"/>
      <c r="W2028" s="131"/>
      <c r="X2028" s="131"/>
    </row>
    <row r="2029" spans="9:24" x14ac:dyDescent="0.25">
      <c r="I2029" s="131"/>
      <c r="J2029" s="131"/>
      <c r="K2029" s="131"/>
      <c r="L2029" s="131"/>
      <c r="U2029" s="131"/>
      <c r="V2029" s="131"/>
      <c r="W2029" s="131"/>
      <c r="X2029" s="131"/>
    </row>
    <row r="2030" spans="9:24" x14ac:dyDescent="0.25">
      <c r="I2030" s="131"/>
      <c r="J2030" s="131"/>
      <c r="K2030" s="131"/>
      <c r="L2030" s="131"/>
      <c r="U2030" s="131"/>
      <c r="V2030" s="131"/>
      <c r="W2030" s="131"/>
      <c r="X2030" s="131"/>
    </row>
    <row r="2031" spans="9:24" x14ac:dyDescent="0.25">
      <c r="I2031" s="131"/>
      <c r="J2031" s="131"/>
      <c r="K2031" s="131"/>
      <c r="L2031" s="131"/>
      <c r="U2031" s="131"/>
      <c r="V2031" s="131"/>
      <c r="W2031" s="131"/>
      <c r="X2031" s="131"/>
    </row>
    <row r="2032" spans="9:24" x14ac:dyDescent="0.25">
      <c r="I2032" s="131"/>
      <c r="J2032" s="131"/>
      <c r="K2032" s="131"/>
      <c r="L2032" s="131"/>
      <c r="U2032" s="131"/>
      <c r="V2032" s="131"/>
      <c r="W2032" s="131"/>
      <c r="X2032" s="131"/>
    </row>
    <row r="2033" spans="9:24" x14ac:dyDescent="0.25">
      <c r="I2033" s="131"/>
      <c r="J2033" s="131"/>
      <c r="K2033" s="131"/>
      <c r="L2033" s="131"/>
      <c r="U2033" s="131"/>
      <c r="V2033" s="131"/>
      <c r="W2033" s="131"/>
      <c r="X2033" s="131"/>
    </row>
    <row r="2034" spans="9:24" x14ac:dyDescent="0.25">
      <c r="I2034" s="131"/>
      <c r="J2034" s="131"/>
      <c r="K2034" s="131"/>
      <c r="L2034" s="131"/>
      <c r="U2034" s="131"/>
      <c r="V2034" s="131"/>
      <c r="W2034" s="131"/>
      <c r="X2034" s="131"/>
    </row>
    <row r="2035" spans="9:24" x14ac:dyDescent="0.25">
      <c r="I2035" s="131"/>
      <c r="J2035" s="131"/>
      <c r="K2035" s="131"/>
      <c r="L2035" s="131"/>
      <c r="U2035" s="131"/>
      <c r="V2035" s="131"/>
      <c r="W2035" s="131"/>
      <c r="X2035" s="131"/>
    </row>
    <row r="2036" spans="9:24" x14ac:dyDescent="0.25">
      <c r="I2036" s="131"/>
      <c r="J2036" s="131"/>
      <c r="K2036" s="131"/>
      <c r="L2036" s="131"/>
      <c r="U2036" s="131"/>
      <c r="V2036" s="131"/>
      <c r="W2036" s="131"/>
      <c r="X2036" s="131"/>
    </row>
    <row r="2037" spans="9:24" x14ac:dyDescent="0.25">
      <c r="I2037" s="131"/>
      <c r="J2037" s="131"/>
      <c r="K2037" s="131"/>
      <c r="L2037" s="131"/>
      <c r="U2037" s="131"/>
      <c r="V2037" s="131"/>
      <c r="W2037" s="131"/>
      <c r="X2037" s="131"/>
    </row>
    <row r="2038" spans="9:24" x14ac:dyDescent="0.25">
      <c r="I2038" s="131"/>
      <c r="J2038" s="131"/>
      <c r="K2038" s="131"/>
      <c r="L2038" s="131"/>
      <c r="U2038" s="131"/>
      <c r="V2038" s="131"/>
      <c r="W2038" s="131"/>
      <c r="X2038" s="131"/>
    </row>
    <row r="2039" spans="9:24" x14ac:dyDescent="0.25">
      <c r="I2039" s="131"/>
      <c r="J2039" s="131"/>
      <c r="K2039" s="131"/>
      <c r="L2039" s="131"/>
      <c r="U2039" s="131"/>
      <c r="V2039" s="131"/>
      <c r="W2039" s="131"/>
      <c r="X2039" s="131"/>
    </row>
    <row r="2040" spans="9:24" x14ac:dyDescent="0.25">
      <c r="I2040" s="131"/>
      <c r="J2040" s="131"/>
      <c r="K2040" s="131"/>
      <c r="L2040" s="131"/>
      <c r="U2040" s="131"/>
      <c r="V2040" s="131"/>
      <c r="W2040" s="131"/>
      <c r="X2040" s="131"/>
    </row>
    <row r="2041" spans="9:24" x14ac:dyDescent="0.25">
      <c r="I2041" s="131"/>
      <c r="J2041" s="131"/>
      <c r="K2041" s="131"/>
      <c r="L2041" s="131"/>
      <c r="U2041" s="131"/>
      <c r="V2041" s="131"/>
      <c r="W2041" s="131"/>
      <c r="X2041" s="131"/>
    </row>
    <row r="2042" spans="9:24" x14ac:dyDescent="0.25">
      <c r="I2042" s="131"/>
      <c r="J2042" s="131"/>
      <c r="K2042" s="131"/>
      <c r="L2042" s="131"/>
      <c r="U2042" s="131"/>
      <c r="V2042" s="131"/>
      <c r="W2042" s="131"/>
      <c r="X2042" s="131"/>
    </row>
    <row r="2043" spans="9:24" x14ac:dyDescent="0.25">
      <c r="I2043" s="131"/>
      <c r="J2043" s="131"/>
      <c r="K2043" s="131"/>
      <c r="L2043" s="131"/>
      <c r="U2043" s="131"/>
      <c r="V2043" s="131"/>
      <c r="W2043" s="131"/>
      <c r="X2043" s="131"/>
    </row>
    <row r="2044" spans="9:24" x14ac:dyDescent="0.25">
      <c r="I2044" s="131"/>
      <c r="J2044" s="131"/>
      <c r="K2044" s="131"/>
      <c r="L2044" s="131"/>
      <c r="U2044" s="131"/>
      <c r="V2044" s="131"/>
      <c r="W2044" s="131"/>
      <c r="X2044" s="131"/>
    </row>
    <row r="2045" spans="9:24" x14ac:dyDescent="0.25">
      <c r="I2045" s="131"/>
      <c r="J2045" s="131"/>
      <c r="K2045" s="131"/>
      <c r="L2045" s="131"/>
      <c r="U2045" s="131"/>
      <c r="V2045" s="131"/>
      <c r="W2045" s="131"/>
      <c r="X2045" s="131"/>
    </row>
    <row r="2046" spans="9:24" x14ac:dyDescent="0.25">
      <c r="I2046" s="131"/>
      <c r="J2046" s="131"/>
      <c r="K2046" s="131"/>
      <c r="L2046" s="131"/>
      <c r="U2046" s="131"/>
      <c r="V2046" s="131"/>
      <c r="W2046" s="131"/>
      <c r="X2046" s="131"/>
    </row>
    <row r="2047" spans="9:24" x14ac:dyDescent="0.25">
      <c r="I2047" s="131"/>
      <c r="J2047" s="131"/>
      <c r="K2047" s="131"/>
      <c r="L2047" s="131"/>
      <c r="U2047" s="131"/>
      <c r="V2047" s="131"/>
      <c r="W2047" s="131"/>
      <c r="X2047" s="131"/>
    </row>
    <row r="2048" spans="9:24" x14ac:dyDescent="0.25">
      <c r="I2048" s="131"/>
      <c r="J2048" s="131"/>
      <c r="K2048" s="131"/>
      <c r="L2048" s="131"/>
      <c r="U2048" s="131"/>
      <c r="V2048" s="131"/>
      <c r="W2048" s="131"/>
      <c r="X2048" s="131"/>
    </row>
    <row r="2049" spans="9:24" x14ac:dyDescent="0.25">
      <c r="I2049" s="131"/>
      <c r="J2049" s="131"/>
      <c r="K2049" s="131"/>
      <c r="L2049" s="131"/>
      <c r="U2049" s="131"/>
      <c r="V2049" s="131"/>
      <c r="W2049" s="131"/>
      <c r="X2049" s="131"/>
    </row>
    <row r="2050" spans="9:24" x14ac:dyDescent="0.25">
      <c r="I2050" s="131"/>
      <c r="J2050" s="131"/>
      <c r="K2050" s="131"/>
      <c r="L2050" s="131"/>
      <c r="U2050" s="131"/>
      <c r="V2050" s="131"/>
      <c r="W2050" s="131"/>
      <c r="X2050" s="131"/>
    </row>
    <row r="2051" spans="9:24" x14ac:dyDescent="0.25">
      <c r="I2051" s="131"/>
      <c r="J2051" s="131"/>
      <c r="K2051" s="131"/>
      <c r="L2051" s="131"/>
      <c r="U2051" s="131"/>
      <c r="V2051" s="131"/>
      <c r="W2051" s="131"/>
      <c r="X2051" s="131"/>
    </row>
    <row r="2052" spans="9:24" x14ac:dyDescent="0.25">
      <c r="I2052" s="131"/>
      <c r="J2052" s="131"/>
      <c r="K2052" s="131"/>
      <c r="L2052" s="131"/>
      <c r="U2052" s="131"/>
      <c r="V2052" s="131"/>
      <c r="W2052" s="131"/>
      <c r="X2052" s="131"/>
    </row>
    <row r="2053" spans="9:24" x14ac:dyDescent="0.25">
      <c r="I2053" s="131"/>
      <c r="J2053" s="131"/>
      <c r="K2053" s="131"/>
      <c r="L2053" s="131"/>
      <c r="U2053" s="131"/>
      <c r="V2053" s="131"/>
      <c r="W2053" s="131"/>
      <c r="X2053" s="131"/>
    </row>
    <row r="2054" spans="9:24" x14ac:dyDescent="0.25">
      <c r="I2054" s="131"/>
      <c r="J2054" s="131"/>
      <c r="K2054" s="131"/>
      <c r="L2054" s="131"/>
      <c r="U2054" s="131"/>
      <c r="V2054" s="131"/>
      <c r="W2054" s="131"/>
      <c r="X2054" s="131"/>
    </row>
    <row r="2055" spans="9:24" x14ac:dyDescent="0.25">
      <c r="I2055" s="131"/>
      <c r="J2055" s="131"/>
      <c r="K2055" s="131"/>
      <c r="L2055" s="131"/>
      <c r="U2055" s="131"/>
      <c r="V2055" s="131"/>
      <c r="W2055" s="131"/>
      <c r="X2055" s="131"/>
    </row>
    <row r="2056" spans="9:24" x14ac:dyDescent="0.25">
      <c r="I2056" s="131"/>
      <c r="J2056" s="131"/>
      <c r="K2056" s="131"/>
      <c r="L2056" s="131"/>
      <c r="U2056" s="131"/>
      <c r="V2056" s="131"/>
      <c r="W2056" s="131"/>
      <c r="X2056" s="131"/>
    </row>
    <row r="2057" spans="9:24" x14ac:dyDescent="0.25">
      <c r="I2057" s="131"/>
      <c r="J2057" s="131"/>
      <c r="K2057" s="131"/>
      <c r="L2057" s="131"/>
      <c r="U2057" s="131"/>
      <c r="V2057" s="131"/>
      <c r="W2057" s="131"/>
      <c r="X2057" s="131"/>
    </row>
    <row r="2058" spans="9:24" x14ac:dyDescent="0.25">
      <c r="I2058" s="131"/>
      <c r="J2058" s="131"/>
      <c r="K2058" s="131"/>
      <c r="L2058" s="131"/>
      <c r="U2058" s="131"/>
      <c r="V2058" s="131"/>
      <c r="W2058" s="131"/>
      <c r="X2058" s="131"/>
    </row>
    <row r="2059" spans="9:24" x14ac:dyDescent="0.25">
      <c r="I2059" s="131"/>
      <c r="J2059" s="131"/>
      <c r="K2059" s="131"/>
      <c r="L2059" s="131"/>
      <c r="U2059" s="131"/>
      <c r="V2059" s="131"/>
      <c r="W2059" s="131"/>
      <c r="X2059" s="131"/>
    </row>
    <row r="2060" spans="9:24" x14ac:dyDescent="0.25">
      <c r="I2060" s="131"/>
      <c r="J2060" s="131"/>
      <c r="K2060" s="131"/>
      <c r="L2060" s="131"/>
      <c r="U2060" s="131"/>
      <c r="V2060" s="131"/>
      <c r="W2060" s="131"/>
      <c r="X2060" s="131"/>
    </row>
    <row r="2061" spans="9:24" x14ac:dyDescent="0.25">
      <c r="I2061" s="131"/>
      <c r="J2061" s="131"/>
      <c r="K2061" s="131"/>
      <c r="L2061" s="131"/>
      <c r="U2061" s="131"/>
      <c r="V2061" s="131"/>
      <c r="W2061" s="131"/>
      <c r="X2061" s="131"/>
    </row>
    <row r="2062" spans="9:24" x14ac:dyDescent="0.25">
      <c r="I2062" s="131"/>
      <c r="J2062" s="131"/>
      <c r="K2062" s="131"/>
      <c r="L2062" s="131"/>
      <c r="U2062" s="131"/>
      <c r="V2062" s="131"/>
      <c r="W2062" s="131"/>
      <c r="X2062" s="131"/>
    </row>
    <row r="2063" spans="9:24" x14ac:dyDescent="0.25">
      <c r="I2063" s="131"/>
      <c r="J2063" s="131"/>
      <c r="K2063" s="131"/>
      <c r="L2063" s="131"/>
      <c r="U2063" s="131"/>
      <c r="V2063" s="131"/>
      <c r="W2063" s="131"/>
      <c r="X2063" s="131"/>
    </row>
    <row r="2064" spans="9:24" x14ac:dyDescent="0.25">
      <c r="I2064" s="131"/>
      <c r="J2064" s="131"/>
      <c r="K2064" s="131"/>
      <c r="L2064" s="131"/>
      <c r="U2064" s="131"/>
      <c r="V2064" s="131"/>
      <c r="W2064" s="131"/>
      <c r="X2064" s="131"/>
    </row>
    <row r="2065" spans="9:24" x14ac:dyDescent="0.25">
      <c r="I2065" s="131"/>
      <c r="J2065" s="131"/>
      <c r="K2065" s="131"/>
      <c r="L2065" s="131"/>
      <c r="U2065" s="131"/>
      <c r="V2065" s="131"/>
      <c r="W2065" s="131"/>
      <c r="X2065" s="131"/>
    </row>
    <row r="2066" spans="9:24" x14ac:dyDescent="0.25">
      <c r="I2066" s="131"/>
      <c r="J2066" s="131"/>
      <c r="K2066" s="131"/>
      <c r="L2066" s="131"/>
      <c r="U2066" s="131"/>
      <c r="V2066" s="131"/>
      <c r="W2066" s="131"/>
      <c r="X2066" s="131"/>
    </row>
    <row r="2067" spans="9:24" x14ac:dyDescent="0.25">
      <c r="I2067" s="131"/>
      <c r="J2067" s="131"/>
      <c r="K2067" s="131"/>
      <c r="L2067" s="131"/>
      <c r="U2067" s="131"/>
      <c r="V2067" s="131"/>
      <c r="W2067" s="131"/>
      <c r="X2067" s="131"/>
    </row>
    <row r="2068" spans="9:24" x14ac:dyDescent="0.25">
      <c r="I2068" s="131"/>
      <c r="J2068" s="131"/>
      <c r="K2068" s="131"/>
      <c r="L2068" s="131"/>
      <c r="U2068" s="131"/>
      <c r="V2068" s="131"/>
      <c r="W2068" s="131"/>
      <c r="X2068" s="131"/>
    </row>
    <row r="2069" spans="9:24" x14ac:dyDescent="0.25">
      <c r="I2069" s="131"/>
      <c r="J2069" s="131"/>
      <c r="K2069" s="131"/>
      <c r="L2069" s="131"/>
      <c r="U2069" s="131"/>
      <c r="V2069" s="131"/>
      <c r="W2069" s="131"/>
      <c r="X2069" s="131"/>
    </row>
    <row r="2070" spans="9:24" x14ac:dyDescent="0.25">
      <c r="I2070" s="131"/>
      <c r="J2070" s="131"/>
      <c r="K2070" s="131"/>
      <c r="L2070" s="131"/>
      <c r="U2070" s="131"/>
      <c r="V2070" s="131"/>
      <c r="W2070" s="131"/>
      <c r="X2070" s="131"/>
    </row>
    <row r="2071" spans="9:24" x14ac:dyDescent="0.25">
      <c r="I2071" s="131"/>
      <c r="J2071" s="131"/>
      <c r="K2071" s="131"/>
      <c r="L2071" s="131"/>
      <c r="U2071" s="131"/>
      <c r="V2071" s="131"/>
      <c r="W2071" s="131"/>
      <c r="X2071" s="131"/>
    </row>
    <row r="2072" spans="9:24" x14ac:dyDescent="0.25">
      <c r="I2072" s="131"/>
      <c r="J2072" s="131"/>
      <c r="K2072" s="131"/>
      <c r="L2072" s="131"/>
      <c r="U2072" s="131"/>
      <c r="V2072" s="131"/>
      <c r="W2072" s="131"/>
      <c r="X2072" s="131"/>
    </row>
    <row r="2073" spans="9:24" x14ac:dyDescent="0.25">
      <c r="I2073" s="131"/>
      <c r="J2073" s="131"/>
      <c r="K2073" s="131"/>
      <c r="L2073" s="131"/>
      <c r="U2073" s="131"/>
      <c r="V2073" s="131"/>
      <c r="W2073" s="131"/>
      <c r="X2073" s="131"/>
    </row>
    <row r="2074" spans="9:24" x14ac:dyDescent="0.25">
      <c r="I2074" s="131"/>
      <c r="J2074" s="131"/>
      <c r="K2074" s="131"/>
      <c r="L2074" s="131"/>
      <c r="U2074" s="131"/>
      <c r="V2074" s="131"/>
      <c r="W2074" s="131"/>
      <c r="X2074" s="131"/>
    </row>
    <row r="2075" spans="9:24" x14ac:dyDescent="0.25">
      <c r="I2075" s="131"/>
      <c r="J2075" s="131"/>
      <c r="K2075" s="131"/>
      <c r="L2075" s="131"/>
      <c r="U2075" s="131"/>
      <c r="V2075" s="131"/>
      <c r="W2075" s="131"/>
      <c r="X2075" s="131"/>
    </row>
    <row r="2076" spans="9:24" x14ac:dyDescent="0.25">
      <c r="I2076" s="131"/>
      <c r="J2076" s="131"/>
      <c r="K2076" s="131"/>
      <c r="L2076" s="131"/>
      <c r="U2076" s="131"/>
      <c r="V2076" s="131"/>
      <c r="W2076" s="131"/>
      <c r="X2076" s="131"/>
    </row>
    <row r="2077" spans="9:24" x14ac:dyDescent="0.25">
      <c r="I2077" s="131"/>
      <c r="J2077" s="131"/>
      <c r="K2077" s="131"/>
      <c r="L2077" s="131"/>
      <c r="U2077" s="131"/>
      <c r="V2077" s="131"/>
      <c r="W2077" s="131"/>
      <c r="X2077" s="131"/>
    </row>
    <row r="2078" spans="9:24" x14ac:dyDescent="0.25">
      <c r="I2078" s="131"/>
      <c r="J2078" s="131"/>
      <c r="K2078" s="131"/>
      <c r="L2078" s="131"/>
      <c r="U2078" s="131"/>
      <c r="V2078" s="131"/>
      <c r="W2078" s="131"/>
      <c r="X2078" s="131"/>
    </row>
    <row r="2079" spans="9:24" x14ac:dyDescent="0.25">
      <c r="I2079" s="131"/>
      <c r="J2079" s="131"/>
      <c r="K2079" s="131"/>
      <c r="L2079" s="131"/>
      <c r="U2079" s="131"/>
      <c r="V2079" s="131"/>
      <c r="W2079" s="131"/>
      <c r="X2079" s="131"/>
    </row>
    <row r="2080" spans="9:24" x14ac:dyDescent="0.25">
      <c r="I2080" s="131"/>
      <c r="J2080" s="131"/>
      <c r="K2080" s="131"/>
      <c r="L2080" s="131"/>
      <c r="U2080" s="131"/>
      <c r="V2080" s="131"/>
      <c r="W2080" s="131"/>
      <c r="X2080" s="131"/>
    </row>
    <row r="2081" spans="9:24" x14ac:dyDescent="0.25">
      <c r="I2081" s="131"/>
      <c r="J2081" s="131"/>
      <c r="K2081" s="131"/>
      <c r="L2081" s="131"/>
      <c r="U2081" s="131"/>
      <c r="V2081" s="131"/>
      <c r="W2081" s="131"/>
      <c r="X2081" s="131"/>
    </row>
    <row r="2082" spans="9:24" x14ac:dyDescent="0.25">
      <c r="I2082" s="131"/>
      <c r="J2082" s="131"/>
      <c r="K2082" s="131"/>
      <c r="L2082" s="131"/>
      <c r="U2082" s="131"/>
      <c r="V2082" s="131"/>
      <c r="W2082" s="131"/>
      <c r="X2082" s="131"/>
    </row>
    <row r="2083" spans="9:24" x14ac:dyDescent="0.25">
      <c r="I2083" s="131"/>
      <c r="J2083" s="131"/>
      <c r="K2083" s="131"/>
      <c r="L2083" s="131"/>
      <c r="U2083" s="131"/>
      <c r="V2083" s="131"/>
      <c r="W2083" s="131"/>
      <c r="X2083" s="131"/>
    </row>
    <row r="2084" spans="9:24" x14ac:dyDescent="0.25">
      <c r="I2084" s="131"/>
      <c r="J2084" s="131"/>
      <c r="K2084" s="131"/>
      <c r="L2084" s="131"/>
      <c r="U2084" s="131"/>
      <c r="V2084" s="131"/>
      <c r="W2084" s="131"/>
      <c r="X2084" s="131"/>
    </row>
    <row r="2085" spans="9:24" x14ac:dyDescent="0.25">
      <c r="I2085" s="131"/>
      <c r="J2085" s="131"/>
      <c r="K2085" s="131"/>
      <c r="L2085" s="131"/>
      <c r="U2085" s="131"/>
      <c r="V2085" s="131"/>
      <c r="W2085" s="131"/>
      <c r="X2085" s="131"/>
    </row>
    <row r="2086" spans="9:24" x14ac:dyDescent="0.25">
      <c r="I2086" s="131"/>
      <c r="J2086" s="131"/>
      <c r="K2086" s="131"/>
      <c r="L2086" s="131"/>
      <c r="U2086" s="131"/>
      <c r="V2086" s="131"/>
      <c r="W2086" s="131"/>
      <c r="X2086" s="131"/>
    </row>
    <row r="2087" spans="9:24" x14ac:dyDescent="0.25">
      <c r="I2087" s="131"/>
      <c r="J2087" s="131"/>
      <c r="K2087" s="131"/>
      <c r="L2087" s="131"/>
      <c r="U2087" s="131"/>
      <c r="V2087" s="131"/>
      <c r="W2087" s="131"/>
      <c r="X2087" s="131"/>
    </row>
    <row r="2088" spans="9:24" x14ac:dyDescent="0.25">
      <c r="I2088" s="131"/>
      <c r="J2088" s="131"/>
      <c r="K2088" s="131"/>
      <c r="L2088" s="131"/>
      <c r="U2088" s="131"/>
      <c r="V2088" s="131"/>
      <c r="W2088" s="131"/>
      <c r="X2088" s="131"/>
    </row>
    <row r="2089" spans="9:24" x14ac:dyDescent="0.25">
      <c r="I2089" s="131"/>
      <c r="J2089" s="131"/>
      <c r="K2089" s="131"/>
      <c r="L2089" s="131"/>
      <c r="U2089" s="131"/>
      <c r="V2089" s="131"/>
      <c r="W2089" s="131"/>
      <c r="X2089" s="131"/>
    </row>
    <row r="2090" spans="9:24" x14ac:dyDescent="0.25">
      <c r="I2090" s="131"/>
      <c r="J2090" s="131"/>
      <c r="K2090" s="131"/>
      <c r="L2090" s="131"/>
      <c r="U2090" s="131"/>
      <c r="V2090" s="131"/>
      <c r="W2090" s="131"/>
      <c r="X2090" s="131"/>
    </row>
    <row r="2091" spans="9:24" x14ac:dyDescent="0.25">
      <c r="I2091" s="131"/>
      <c r="J2091" s="131"/>
      <c r="K2091" s="131"/>
      <c r="L2091" s="131"/>
      <c r="U2091" s="131"/>
      <c r="V2091" s="131"/>
      <c r="W2091" s="131"/>
      <c r="X2091" s="131"/>
    </row>
    <row r="2092" spans="9:24" x14ac:dyDescent="0.25">
      <c r="I2092" s="131"/>
      <c r="J2092" s="131"/>
      <c r="K2092" s="131"/>
      <c r="L2092" s="131"/>
      <c r="U2092" s="131"/>
      <c r="V2092" s="131"/>
      <c r="W2092" s="131"/>
      <c r="X2092" s="131"/>
    </row>
    <row r="2093" spans="9:24" x14ac:dyDescent="0.25">
      <c r="I2093" s="131"/>
      <c r="J2093" s="131"/>
      <c r="K2093" s="131"/>
      <c r="L2093" s="131"/>
      <c r="U2093" s="131"/>
      <c r="V2093" s="131"/>
      <c r="W2093" s="131"/>
      <c r="X2093" s="131"/>
    </row>
    <row r="2094" spans="9:24" x14ac:dyDescent="0.25">
      <c r="I2094" s="131"/>
      <c r="J2094" s="131"/>
      <c r="K2094" s="131"/>
      <c r="L2094" s="131"/>
      <c r="U2094" s="131"/>
      <c r="V2094" s="131"/>
      <c r="W2094" s="131"/>
      <c r="X2094" s="131"/>
    </row>
    <row r="2095" spans="9:24" x14ac:dyDescent="0.25">
      <c r="I2095" s="131"/>
      <c r="J2095" s="131"/>
      <c r="K2095" s="131"/>
      <c r="L2095" s="131"/>
      <c r="U2095" s="131"/>
      <c r="V2095" s="131"/>
      <c r="W2095" s="131"/>
      <c r="X2095" s="131"/>
    </row>
    <row r="2096" spans="9:24" x14ac:dyDescent="0.25">
      <c r="I2096" s="131"/>
      <c r="J2096" s="131"/>
      <c r="K2096" s="131"/>
      <c r="L2096" s="131"/>
      <c r="U2096" s="131"/>
      <c r="V2096" s="131"/>
      <c r="W2096" s="131"/>
      <c r="X2096" s="131"/>
    </row>
    <row r="2097" spans="9:24" x14ac:dyDescent="0.25">
      <c r="I2097" s="131"/>
      <c r="J2097" s="131"/>
      <c r="K2097" s="131"/>
      <c r="L2097" s="131"/>
      <c r="U2097" s="131"/>
      <c r="V2097" s="131"/>
      <c r="W2097" s="131"/>
      <c r="X2097" s="131"/>
    </row>
    <row r="2098" spans="9:24" x14ac:dyDescent="0.25">
      <c r="I2098" s="131"/>
      <c r="J2098" s="131"/>
      <c r="K2098" s="131"/>
      <c r="L2098" s="131"/>
      <c r="U2098" s="131"/>
      <c r="V2098" s="131"/>
      <c r="W2098" s="131"/>
      <c r="X2098" s="131"/>
    </row>
    <row r="2099" spans="9:24" x14ac:dyDescent="0.25">
      <c r="I2099" s="131"/>
      <c r="J2099" s="131"/>
      <c r="K2099" s="131"/>
      <c r="L2099" s="131"/>
      <c r="U2099" s="131"/>
      <c r="V2099" s="131"/>
      <c r="W2099" s="131"/>
      <c r="X2099" s="131"/>
    </row>
    <row r="2100" spans="9:24" x14ac:dyDescent="0.25">
      <c r="I2100" s="131"/>
      <c r="J2100" s="131"/>
      <c r="K2100" s="131"/>
      <c r="L2100" s="131"/>
      <c r="U2100" s="131"/>
      <c r="V2100" s="131"/>
      <c r="W2100" s="131"/>
      <c r="X2100" s="131"/>
    </row>
    <row r="2101" spans="9:24" x14ac:dyDescent="0.25">
      <c r="I2101" s="131"/>
      <c r="J2101" s="131"/>
      <c r="K2101" s="131"/>
      <c r="L2101" s="131"/>
      <c r="U2101" s="131"/>
      <c r="V2101" s="131"/>
      <c r="W2101" s="131"/>
      <c r="X2101" s="131"/>
    </row>
    <row r="2102" spans="9:24" x14ac:dyDescent="0.25">
      <c r="I2102" s="131"/>
      <c r="J2102" s="131"/>
      <c r="K2102" s="131"/>
      <c r="L2102" s="131"/>
      <c r="U2102" s="131"/>
      <c r="V2102" s="131"/>
      <c r="W2102" s="131"/>
      <c r="X2102" s="131"/>
    </row>
    <row r="2103" spans="9:24" x14ac:dyDescent="0.25">
      <c r="I2103" s="131"/>
      <c r="J2103" s="131"/>
      <c r="K2103" s="131"/>
      <c r="L2103" s="131"/>
      <c r="U2103" s="131"/>
      <c r="V2103" s="131"/>
      <c r="W2103" s="131"/>
      <c r="X2103" s="131"/>
    </row>
    <row r="2104" spans="9:24" x14ac:dyDescent="0.25">
      <c r="I2104" s="131"/>
      <c r="J2104" s="131"/>
      <c r="K2104" s="131"/>
      <c r="L2104" s="131"/>
      <c r="U2104" s="131"/>
      <c r="V2104" s="131"/>
      <c r="W2104" s="131"/>
      <c r="X2104" s="131"/>
    </row>
    <row r="2105" spans="9:24" x14ac:dyDescent="0.25">
      <c r="I2105" s="131"/>
      <c r="J2105" s="131"/>
      <c r="K2105" s="131"/>
      <c r="L2105" s="131"/>
      <c r="U2105" s="131"/>
      <c r="V2105" s="131"/>
      <c r="W2105" s="131"/>
      <c r="X2105" s="131"/>
    </row>
    <row r="2106" spans="9:24" x14ac:dyDescent="0.25">
      <c r="I2106" s="131"/>
      <c r="J2106" s="131"/>
      <c r="K2106" s="131"/>
      <c r="L2106" s="131"/>
      <c r="U2106" s="131"/>
      <c r="V2106" s="131"/>
      <c r="W2106" s="131"/>
      <c r="X2106" s="131"/>
    </row>
    <row r="2107" spans="9:24" x14ac:dyDescent="0.25">
      <c r="I2107" s="131"/>
      <c r="J2107" s="131"/>
      <c r="K2107" s="131"/>
      <c r="L2107" s="131"/>
      <c r="U2107" s="131"/>
      <c r="V2107" s="131"/>
      <c r="W2107" s="131"/>
      <c r="X2107" s="131"/>
    </row>
    <row r="2108" spans="9:24" x14ac:dyDescent="0.25">
      <c r="I2108" s="131"/>
      <c r="J2108" s="131"/>
      <c r="K2108" s="131"/>
      <c r="L2108" s="131"/>
      <c r="U2108" s="131"/>
      <c r="V2108" s="131"/>
      <c r="W2108" s="131"/>
      <c r="X2108" s="131"/>
    </row>
    <row r="2109" spans="9:24" x14ac:dyDescent="0.25">
      <c r="I2109" s="131"/>
      <c r="J2109" s="131"/>
      <c r="K2109" s="131"/>
      <c r="L2109" s="131"/>
      <c r="U2109" s="131"/>
      <c r="V2109" s="131"/>
      <c r="W2109" s="131"/>
      <c r="X2109" s="131"/>
    </row>
    <row r="2110" spans="9:24" x14ac:dyDescent="0.25">
      <c r="I2110" s="131"/>
      <c r="J2110" s="131"/>
      <c r="K2110" s="131"/>
      <c r="L2110" s="131"/>
      <c r="U2110" s="131"/>
      <c r="V2110" s="131"/>
      <c r="W2110" s="131"/>
      <c r="X2110" s="131"/>
    </row>
    <row r="2111" spans="9:24" x14ac:dyDescent="0.25">
      <c r="I2111" s="131"/>
      <c r="J2111" s="131"/>
      <c r="K2111" s="131"/>
      <c r="L2111" s="131"/>
      <c r="U2111" s="131"/>
      <c r="V2111" s="131"/>
      <c r="W2111" s="131"/>
      <c r="X2111" s="131"/>
    </row>
    <row r="2112" spans="9:24" x14ac:dyDescent="0.25">
      <c r="I2112" s="131"/>
      <c r="J2112" s="131"/>
      <c r="K2112" s="131"/>
      <c r="L2112" s="131"/>
      <c r="U2112" s="131"/>
      <c r="V2112" s="131"/>
      <c r="W2112" s="131"/>
      <c r="X2112" s="131"/>
    </row>
    <row r="2113" spans="9:24" x14ac:dyDescent="0.25">
      <c r="I2113" s="131"/>
      <c r="J2113" s="131"/>
      <c r="K2113" s="131"/>
      <c r="L2113" s="131"/>
      <c r="U2113" s="131"/>
      <c r="V2113" s="131"/>
      <c r="W2113" s="131"/>
      <c r="X2113" s="131"/>
    </row>
    <row r="2114" spans="9:24" x14ac:dyDescent="0.25">
      <c r="I2114" s="131"/>
      <c r="J2114" s="131"/>
      <c r="K2114" s="131"/>
      <c r="L2114" s="131"/>
      <c r="U2114" s="131"/>
      <c r="V2114" s="131"/>
      <c r="W2114" s="131"/>
      <c r="X2114" s="131"/>
    </row>
    <row r="2115" spans="9:24" x14ac:dyDescent="0.25">
      <c r="I2115" s="131"/>
      <c r="J2115" s="131"/>
      <c r="K2115" s="131"/>
      <c r="L2115" s="131"/>
      <c r="U2115" s="131"/>
      <c r="V2115" s="131"/>
      <c r="W2115" s="131"/>
      <c r="X2115" s="131"/>
    </row>
    <row r="2116" spans="9:24" x14ac:dyDescent="0.25">
      <c r="I2116" s="131"/>
      <c r="J2116" s="131"/>
      <c r="K2116" s="131"/>
      <c r="L2116" s="131"/>
      <c r="U2116" s="131"/>
      <c r="V2116" s="131"/>
      <c r="W2116" s="131"/>
      <c r="X2116" s="131"/>
    </row>
    <row r="2117" spans="9:24" x14ac:dyDescent="0.25">
      <c r="I2117" s="131"/>
      <c r="J2117" s="131"/>
      <c r="K2117" s="131"/>
      <c r="L2117" s="131"/>
      <c r="U2117" s="131"/>
      <c r="V2117" s="131"/>
      <c r="W2117" s="131"/>
      <c r="X2117" s="131"/>
    </row>
    <row r="2118" spans="9:24" x14ac:dyDescent="0.25">
      <c r="I2118" s="131"/>
      <c r="J2118" s="131"/>
      <c r="K2118" s="131"/>
      <c r="L2118" s="131"/>
      <c r="U2118" s="131"/>
      <c r="V2118" s="131"/>
      <c r="W2118" s="131"/>
      <c r="X2118" s="131"/>
    </row>
    <row r="2119" spans="9:24" x14ac:dyDescent="0.25">
      <c r="I2119" s="131"/>
      <c r="J2119" s="131"/>
      <c r="K2119" s="131"/>
      <c r="L2119" s="131"/>
      <c r="U2119" s="131"/>
      <c r="V2119" s="131"/>
      <c r="W2119" s="131"/>
      <c r="X2119" s="131"/>
    </row>
    <row r="2120" spans="9:24" x14ac:dyDescent="0.25">
      <c r="I2120" s="131"/>
      <c r="J2120" s="131"/>
      <c r="K2120" s="131"/>
      <c r="L2120" s="131"/>
      <c r="U2120" s="131"/>
      <c r="V2120" s="131"/>
      <c r="W2120" s="131"/>
      <c r="X2120" s="131"/>
    </row>
    <row r="2121" spans="9:24" x14ac:dyDescent="0.25">
      <c r="I2121" s="131"/>
      <c r="J2121" s="131"/>
      <c r="K2121" s="131"/>
      <c r="L2121" s="131"/>
      <c r="U2121" s="131"/>
      <c r="V2121" s="131"/>
      <c r="W2121" s="131"/>
      <c r="X2121" s="131"/>
    </row>
    <row r="2122" spans="9:24" x14ac:dyDescent="0.25">
      <c r="I2122" s="131"/>
      <c r="J2122" s="131"/>
      <c r="K2122" s="131"/>
      <c r="L2122" s="131"/>
      <c r="U2122" s="131"/>
      <c r="V2122" s="131"/>
      <c r="W2122" s="131"/>
      <c r="X2122" s="131"/>
    </row>
    <row r="2123" spans="9:24" x14ac:dyDescent="0.25">
      <c r="I2123" s="131"/>
      <c r="J2123" s="131"/>
      <c r="K2123" s="131"/>
      <c r="L2123" s="131"/>
      <c r="U2123" s="131"/>
      <c r="V2123" s="131"/>
      <c r="W2123" s="131"/>
      <c r="X2123" s="131"/>
    </row>
    <row r="2124" spans="9:24" x14ac:dyDescent="0.25">
      <c r="I2124" s="131"/>
      <c r="J2124" s="131"/>
      <c r="K2124" s="131"/>
      <c r="L2124" s="131"/>
      <c r="U2124" s="131"/>
      <c r="V2124" s="131"/>
      <c r="W2124" s="131"/>
      <c r="X2124" s="131"/>
    </row>
    <row r="2125" spans="9:24" x14ac:dyDescent="0.25">
      <c r="I2125" s="131"/>
      <c r="J2125" s="131"/>
      <c r="K2125" s="131"/>
      <c r="L2125" s="131"/>
      <c r="U2125" s="131"/>
      <c r="V2125" s="131"/>
      <c r="W2125" s="131"/>
      <c r="X2125" s="131"/>
    </row>
    <row r="2126" spans="9:24" x14ac:dyDescent="0.25">
      <c r="I2126" s="131"/>
      <c r="J2126" s="131"/>
      <c r="K2126" s="131"/>
      <c r="L2126" s="131"/>
      <c r="U2126" s="131"/>
      <c r="V2126" s="131"/>
      <c r="W2126" s="131"/>
      <c r="X2126" s="131"/>
    </row>
    <row r="2127" spans="9:24" x14ac:dyDescent="0.25">
      <c r="I2127" s="131"/>
      <c r="J2127" s="131"/>
      <c r="K2127" s="131"/>
      <c r="L2127" s="131"/>
      <c r="U2127" s="131"/>
      <c r="V2127" s="131"/>
      <c r="W2127" s="131"/>
      <c r="X2127" s="131"/>
    </row>
    <row r="2128" spans="9:24" x14ac:dyDescent="0.25">
      <c r="I2128" s="131"/>
      <c r="J2128" s="131"/>
      <c r="K2128" s="131"/>
      <c r="L2128" s="131"/>
      <c r="U2128" s="131"/>
      <c r="V2128" s="131"/>
      <c r="W2128" s="131"/>
      <c r="X2128" s="131"/>
    </row>
    <row r="2129" spans="9:24" x14ac:dyDescent="0.25">
      <c r="I2129" s="131"/>
      <c r="J2129" s="131"/>
      <c r="K2129" s="131"/>
      <c r="L2129" s="131"/>
      <c r="U2129" s="131"/>
      <c r="V2129" s="131"/>
      <c r="W2129" s="131"/>
      <c r="X2129" s="131"/>
    </row>
    <row r="2130" spans="9:24" x14ac:dyDescent="0.25">
      <c r="I2130" s="131"/>
      <c r="J2130" s="131"/>
      <c r="K2130" s="131"/>
      <c r="L2130" s="131"/>
      <c r="U2130" s="131"/>
      <c r="V2130" s="131"/>
      <c r="W2130" s="131"/>
      <c r="X2130" s="131"/>
    </row>
    <row r="2131" spans="9:24" x14ac:dyDescent="0.25">
      <c r="I2131" s="131"/>
      <c r="J2131" s="131"/>
      <c r="K2131" s="131"/>
      <c r="L2131" s="131"/>
      <c r="U2131" s="131"/>
      <c r="V2131" s="131"/>
      <c r="W2131" s="131"/>
      <c r="X2131" s="131"/>
    </row>
    <row r="2132" spans="9:24" x14ac:dyDescent="0.25">
      <c r="I2132" s="131"/>
      <c r="J2132" s="131"/>
      <c r="K2132" s="131"/>
      <c r="L2132" s="131"/>
      <c r="U2132" s="131"/>
      <c r="V2132" s="131"/>
      <c r="W2132" s="131"/>
      <c r="X2132" s="131"/>
    </row>
    <row r="2133" spans="9:24" x14ac:dyDescent="0.25">
      <c r="I2133" s="131"/>
      <c r="J2133" s="131"/>
      <c r="K2133" s="131"/>
      <c r="L2133" s="131"/>
      <c r="U2133" s="131"/>
      <c r="V2133" s="131"/>
      <c r="W2133" s="131"/>
      <c r="X2133" s="131"/>
    </row>
    <row r="2134" spans="9:24" x14ac:dyDescent="0.25">
      <c r="I2134" s="131"/>
      <c r="J2134" s="131"/>
      <c r="K2134" s="131"/>
      <c r="L2134" s="131"/>
      <c r="U2134" s="131"/>
      <c r="V2134" s="131"/>
      <c r="W2134" s="131"/>
      <c r="X2134" s="131"/>
    </row>
    <row r="2135" spans="9:24" x14ac:dyDescent="0.25">
      <c r="I2135" s="131"/>
      <c r="J2135" s="131"/>
      <c r="K2135" s="131"/>
      <c r="L2135" s="131"/>
      <c r="U2135" s="131"/>
      <c r="V2135" s="131"/>
      <c r="W2135" s="131"/>
      <c r="X2135" s="131"/>
    </row>
    <row r="2136" spans="9:24" x14ac:dyDescent="0.25">
      <c r="I2136" s="131"/>
      <c r="J2136" s="131"/>
      <c r="K2136" s="131"/>
      <c r="L2136" s="131"/>
      <c r="U2136" s="131"/>
      <c r="V2136" s="131"/>
      <c r="W2136" s="131"/>
      <c r="X2136" s="131"/>
    </row>
    <row r="2137" spans="9:24" x14ac:dyDescent="0.25">
      <c r="I2137" s="131"/>
      <c r="J2137" s="131"/>
      <c r="K2137" s="131"/>
      <c r="L2137" s="131"/>
      <c r="U2137" s="131"/>
      <c r="V2137" s="131"/>
      <c r="W2137" s="131"/>
      <c r="X2137" s="131"/>
    </row>
    <row r="2138" spans="9:24" x14ac:dyDescent="0.25">
      <c r="I2138" s="131"/>
      <c r="J2138" s="131"/>
      <c r="K2138" s="131"/>
      <c r="L2138" s="131"/>
      <c r="U2138" s="131"/>
      <c r="V2138" s="131"/>
      <c r="W2138" s="131"/>
      <c r="X2138" s="131"/>
    </row>
    <row r="2139" spans="9:24" x14ac:dyDescent="0.25">
      <c r="I2139" s="131"/>
      <c r="J2139" s="131"/>
      <c r="K2139" s="131"/>
      <c r="L2139" s="131"/>
      <c r="U2139" s="131"/>
      <c r="V2139" s="131"/>
      <c r="W2139" s="131"/>
      <c r="X2139" s="131"/>
    </row>
    <row r="2140" spans="9:24" x14ac:dyDescent="0.25">
      <c r="I2140" s="131"/>
      <c r="J2140" s="131"/>
      <c r="K2140" s="131"/>
      <c r="L2140" s="131"/>
      <c r="U2140" s="131"/>
      <c r="V2140" s="131"/>
      <c r="W2140" s="131"/>
      <c r="X2140" s="131"/>
    </row>
    <row r="2141" spans="9:24" x14ac:dyDescent="0.25">
      <c r="I2141" s="131"/>
      <c r="J2141" s="131"/>
      <c r="K2141" s="131"/>
      <c r="L2141" s="131"/>
      <c r="U2141" s="131"/>
      <c r="V2141" s="131"/>
      <c r="W2141" s="131"/>
      <c r="X2141" s="131"/>
    </row>
    <row r="2142" spans="9:24" x14ac:dyDescent="0.25">
      <c r="I2142" s="131"/>
      <c r="J2142" s="131"/>
      <c r="K2142" s="131"/>
      <c r="L2142" s="131"/>
      <c r="U2142" s="131"/>
      <c r="V2142" s="131"/>
      <c r="W2142" s="131"/>
      <c r="X2142" s="131"/>
    </row>
    <row r="2143" spans="9:24" x14ac:dyDescent="0.25">
      <c r="I2143" s="131"/>
      <c r="J2143" s="131"/>
      <c r="K2143" s="131"/>
      <c r="L2143" s="131"/>
      <c r="U2143" s="131"/>
      <c r="V2143" s="131"/>
      <c r="W2143" s="131"/>
      <c r="X2143" s="131"/>
    </row>
    <row r="2144" spans="9:24" x14ac:dyDescent="0.25">
      <c r="I2144" s="131"/>
      <c r="J2144" s="131"/>
      <c r="K2144" s="131"/>
      <c r="L2144" s="131"/>
      <c r="U2144" s="131"/>
      <c r="V2144" s="131"/>
      <c r="W2144" s="131"/>
      <c r="X2144" s="131"/>
    </row>
    <row r="2145" spans="9:24" x14ac:dyDescent="0.25">
      <c r="I2145" s="131"/>
      <c r="J2145" s="131"/>
      <c r="K2145" s="131"/>
      <c r="L2145" s="131"/>
      <c r="U2145" s="131"/>
      <c r="V2145" s="131"/>
      <c r="W2145" s="131"/>
      <c r="X2145" s="131"/>
    </row>
    <row r="2146" spans="9:24" x14ac:dyDescent="0.25">
      <c r="I2146" s="131"/>
      <c r="J2146" s="131"/>
      <c r="K2146" s="131"/>
      <c r="L2146" s="131"/>
      <c r="U2146" s="131"/>
      <c r="V2146" s="131"/>
      <c r="W2146" s="131"/>
      <c r="X2146" s="131"/>
    </row>
    <row r="2147" spans="9:24" x14ac:dyDescent="0.25">
      <c r="I2147" s="131"/>
      <c r="J2147" s="131"/>
      <c r="K2147" s="131"/>
      <c r="L2147" s="131"/>
      <c r="U2147" s="131"/>
      <c r="V2147" s="131"/>
      <c r="W2147" s="131"/>
      <c r="X2147" s="131"/>
    </row>
    <row r="2148" spans="9:24" x14ac:dyDescent="0.25">
      <c r="I2148" s="131"/>
      <c r="J2148" s="131"/>
      <c r="K2148" s="131"/>
      <c r="L2148" s="131"/>
      <c r="U2148" s="131"/>
      <c r="V2148" s="131"/>
      <c r="W2148" s="131"/>
      <c r="X2148" s="131"/>
    </row>
    <row r="2149" spans="9:24" x14ac:dyDescent="0.25">
      <c r="I2149" s="131"/>
      <c r="J2149" s="131"/>
      <c r="K2149" s="131"/>
      <c r="L2149" s="131"/>
      <c r="U2149" s="131"/>
      <c r="V2149" s="131"/>
      <c r="W2149" s="131"/>
      <c r="X2149" s="131"/>
    </row>
    <row r="2150" spans="9:24" x14ac:dyDescent="0.25">
      <c r="I2150" s="131"/>
      <c r="J2150" s="131"/>
      <c r="K2150" s="131"/>
      <c r="L2150" s="131"/>
      <c r="U2150" s="131"/>
      <c r="V2150" s="131"/>
      <c r="W2150" s="131"/>
      <c r="X2150" s="131"/>
    </row>
    <row r="2151" spans="9:24" x14ac:dyDescent="0.25">
      <c r="I2151" s="131"/>
      <c r="J2151" s="131"/>
      <c r="K2151" s="131"/>
      <c r="L2151" s="131"/>
      <c r="U2151" s="131"/>
      <c r="V2151" s="131"/>
      <c r="W2151" s="131"/>
      <c r="X2151" s="131"/>
    </row>
    <row r="2152" spans="9:24" x14ac:dyDescent="0.25">
      <c r="I2152" s="131"/>
      <c r="J2152" s="131"/>
      <c r="K2152" s="131"/>
      <c r="L2152" s="131"/>
      <c r="U2152" s="131"/>
      <c r="V2152" s="131"/>
      <c r="W2152" s="131"/>
      <c r="X2152" s="131"/>
    </row>
    <row r="2153" spans="9:24" x14ac:dyDescent="0.25">
      <c r="I2153" s="131"/>
      <c r="J2153" s="131"/>
      <c r="K2153" s="131"/>
      <c r="L2153" s="131"/>
      <c r="U2153" s="131"/>
      <c r="V2153" s="131"/>
      <c r="W2153" s="131"/>
      <c r="X2153" s="131"/>
    </row>
    <row r="2154" spans="9:24" x14ac:dyDescent="0.25">
      <c r="I2154" s="131"/>
      <c r="J2154" s="131"/>
      <c r="K2154" s="131"/>
      <c r="L2154" s="131"/>
      <c r="U2154" s="131"/>
      <c r="V2154" s="131"/>
      <c r="W2154" s="131"/>
      <c r="X2154" s="131"/>
    </row>
    <row r="2155" spans="9:24" x14ac:dyDescent="0.25">
      <c r="I2155" s="131"/>
      <c r="J2155" s="131"/>
      <c r="K2155" s="131"/>
      <c r="L2155" s="131"/>
      <c r="U2155" s="131"/>
      <c r="V2155" s="131"/>
      <c r="W2155" s="131"/>
      <c r="X2155" s="131"/>
    </row>
    <row r="2156" spans="9:24" x14ac:dyDescent="0.25">
      <c r="I2156" s="131"/>
      <c r="J2156" s="131"/>
      <c r="K2156" s="131"/>
      <c r="L2156" s="131"/>
      <c r="U2156" s="131"/>
      <c r="V2156" s="131"/>
      <c r="W2156" s="131"/>
      <c r="X2156" s="131"/>
    </row>
    <row r="2157" spans="9:24" x14ac:dyDescent="0.25">
      <c r="I2157" s="131"/>
      <c r="J2157" s="131"/>
      <c r="K2157" s="131"/>
      <c r="L2157" s="131"/>
      <c r="U2157" s="131"/>
      <c r="V2157" s="131"/>
      <c r="W2157" s="131"/>
      <c r="X2157" s="131"/>
    </row>
    <row r="2158" spans="9:24" x14ac:dyDescent="0.25">
      <c r="I2158" s="131"/>
      <c r="J2158" s="131"/>
      <c r="K2158" s="131"/>
      <c r="L2158" s="131"/>
      <c r="U2158" s="131"/>
      <c r="V2158" s="131"/>
      <c r="W2158" s="131"/>
      <c r="X2158" s="131"/>
    </row>
    <row r="2159" spans="9:24" x14ac:dyDescent="0.25">
      <c r="I2159" s="131"/>
      <c r="J2159" s="131"/>
      <c r="K2159" s="131"/>
      <c r="L2159" s="131"/>
      <c r="U2159" s="131"/>
      <c r="V2159" s="131"/>
      <c r="W2159" s="131"/>
      <c r="X2159" s="131"/>
    </row>
    <row r="2160" spans="9:24" x14ac:dyDescent="0.25">
      <c r="I2160" s="131"/>
      <c r="J2160" s="131"/>
      <c r="K2160" s="131"/>
      <c r="L2160" s="131"/>
      <c r="U2160" s="131"/>
      <c r="V2160" s="131"/>
      <c r="W2160" s="131"/>
      <c r="X2160" s="131"/>
    </row>
    <row r="2161" spans="9:24" x14ac:dyDescent="0.25">
      <c r="I2161" s="131"/>
      <c r="J2161" s="131"/>
      <c r="K2161" s="131"/>
      <c r="L2161" s="131"/>
      <c r="U2161" s="131"/>
      <c r="V2161" s="131"/>
      <c r="W2161" s="131"/>
      <c r="X2161" s="131"/>
    </row>
    <row r="2162" spans="9:24" x14ac:dyDescent="0.25">
      <c r="I2162" s="131"/>
      <c r="J2162" s="131"/>
      <c r="K2162" s="131"/>
      <c r="L2162" s="131"/>
      <c r="U2162" s="131"/>
      <c r="V2162" s="131"/>
      <c r="W2162" s="131"/>
      <c r="X2162" s="131"/>
    </row>
    <row r="2163" spans="9:24" x14ac:dyDescent="0.25">
      <c r="I2163" s="131"/>
      <c r="J2163" s="131"/>
      <c r="K2163" s="131"/>
      <c r="L2163" s="131"/>
      <c r="U2163" s="131"/>
      <c r="V2163" s="131"/>
      <c r="W2163" s="131"/>
      <c r="X2163" s="131"/>
    </row>
    <row r="2164" spans="9:24" x14ac:dyDescent="0.25">
      <c r="I2164" s="131"/>
      <c r="J2164" s="131"/>
      <c r="K2164" s="131"/>
      <c r="L2164" s="131"/>
      <c r="U2164" s="131"/>
      <c r="V2164" s="131"/>
      <c r="W2164" s="131"/>
      <c r="X2164" s="131"/>
    </row>
    <row r="2165" spans="9:24" x14ac:dyDescent="0.25">
      <c r="I2165" s="131"/>
      <c r="J2165" s="131"/>
      <c r="K2165" s="131"/>
      <c r="L2165" s="131"/>
      <c r="U2165" s="131"/>
      <c r="V2165" s="131"/>
      <c r="W2165" s="131"/>
      <c r="X2165" s="131"/>
    </row>
    <row r="2166" spans="9:24" x14ac:dyDescent="0.25">
      <c r="I2166" s="131"/>
      <c r="J2166" s="131"/>
      <c r="K2166" s="131"/>
      <c r="L2166" s="131"/>
      <c r="U2166" s="131"/>
      <c r="V2166" s="131"/>
      <c r="W2166" s="131"/>
      <c r="X2166" s="131"/>
    </row>
    <row r="2167" spans="9:24" x14ac:dyDescent="0.25">
      <c r="I2167" s="131"/>
      <c r="J2167" s="131"/>
      <c r="K2167" s="131"/>
      <c r="L2167" s="131"/>
      <c r="U2167" s="131"/>
      <c r="V2167" s="131"/>
      <c r="W2167" s="131"/>
      <c r="X2167" s="131"/>
    </row>
    <row r="2168" spans="9:24" x14ac:dyDescent="0.25">
      <c r="I2168" s="131"/>
      <c r="J2168" s="131"/>
      <c r="K2168" s="131"/>
      <c r="L2168" s="131"/>
      <c r="U2168" s="131"/>
      <c r="V2168" s="131"/>
      <c r="W2168" s="131"/>
      <c r="X2168" s="131"/>
    </row>
    <row r="2169" spans="9:24" x14ac:dyDescent="0.25">
      <c r="I2169" s="131"/>
      <c r="J2169" s="131"/>
      <c r="K2169" s="131"/>
      <c r="L2169" s="131"/>
      <c r="U2169" s="131"/>
      <c r="V2169" s="131"/>
      <c r="W2169" s="131"/>
      <c r="X2169" s="131"/>
    </row>
    <row r="2170" spans="9:24" x14ac:dyDescent="0.25">
      <c r="I2170" s="131"/>
      <c r="J2170" s="131"/>
      <c r="K2170" s="131"/>
      <c r="L2170" s="131"/>
      <c r="U2170" s="131"/>
      <c r="V2170" s="131"/>
      <c r="W2170" s="131"/>
      <c r="X2170" s="131"/>
    </row>
    <row r="2171" spans="9:24" x14ac:dyDescent="0.25">
      <c r="I2171" s="131"/>
      <c r="J2171" s="131"/>
      <c r="K2171" s="131"/>
      <c r="L2171" s="131"/>
      <c r="U2171" s="131"/>
      <c r="V2171" s="131"/>
      <c r="W2171" s="131"/>
      <c r="X2171" s="131"/>
    </row>
    <row r="2172" spans="9:24" x14ac:dyDescent="0.25">
      <c r="I2172" s="131"/>
      <c r="J2172" s="131"/>
      <c r="K2172" s="131"/>
      <c r="L2172" s="131"/>
      <c r="U2172" s="131"/>
      <c r="V2172" s="131"/>
      <c r="W2172" s="131"/>
      <c r="X2172" s="131"/>
    </row>
    <row r="2173" spans="9:24" x14ac:dyDescent="0.25">
      <c r="I2173" s="131"/>
      <c r="J2173" s="131"/>
      <c r="K2173" s="131"/>
      <c r="L2173" s="131"/>
      <c r="U2173" s="131"/>
      <c r="V2173" s="131"/>
      <c r="W2173" s="131"/>
      <c r="X2173" s="131"/>
    </row>
    <row r="2174" spans="9:24" x14ac:dyDescent="0.25">
      <c r="I2174" s="131"/>
      <c r="J2174" s="131"/>
      <c r="K2174" s="131"/>
      <c r="L2174" s="131"/>
      <c r="U2174" s="131"/>
      <c r="V2174" s="131"/>
      <c r="W2174" s="131"/>
      <c r="X2174" s="131"/>
    </row>
    <row r="2175" spans="9:24" x14ac:dyDescent="0.25">
      <c r="I2175" s="131"/>
      <c r="J2175" s="131"/>
      <c r="K2175" s="131"/>
      <c r="L2175" s="131"/>
      <c r="U2175" s="131"/>
      <c r="V2175" s="131"/>
      <c r="W2175" s="131"/>
      <c r="X2175" s="131"/>
    </row>
    <row r="2176" spans="9:24" x14ac:dyDescent="0.25">
      <c r="I2176" s="131"/>
      <c r="J2176" s="131"/>
      <c r="K2176" s="131"/>
      <c r="L2176" s="131"/>
      <c r="U2176" s="131"/>
      <c r="V2176" s="131"/>
      <c r="W2176" s="131"/>
      <c r="X2176" s="131"/>
    </row>
    <row r="2177" spans="9:24" x14ac:dyDescent="0.25">
      <c r="I2177" s="131"/>
      <c r="J2177" s="131"/>
      <c r="K2177" s="131"/>
      <c r="L2177" s="131"/>
      <c r="U2177" s="131"/>
      <c r="V2177" s="131"/>
      <c r="W2177" s="131"/>
      <c r="X2177" s="131"/>
    </row>
    <row r="2178" spans="9:24" x14ac:dyDescent="0.25">
      <c r="I2178" s="131"/>
      <c r="J2178" s="131"/>
      <c r="K2178" s="131"/>
      <c r="L2178" s="131"/>
      <c r="U2178" s="131"/>
      <c r="V2178" s="131"/>
      <c r="W2178" s="131"/>
      <c r="X2178" s="131"/>
    </row>
    <row r="2179" spans="9:24" x14ac:dyDescent="0.25">
      <c r="I2179" s="131"/>
      <c r="J2179" s="131"/>
      <c r="K2179" s="131"/>
      <c r="L2179" s="131"/>
      <c r="U2179" s="131"/>
      <c r="V2179" s="131"/>
      <c r="W2179" s="131"/>
      <c r="X2179" s="131"/>
    </row>
    <row r="2180" spans="9:24" x14ac:dyDescent="0.25">
      <c r="I2180" s="131"/>
      <c r="J2180" s="131"/>
      <c r="K2180" s="131"/>
      <c r="L2180" s="131"/>
      <c r="U2180" s="131"/>
      <c r="V2180" s="131"/>
      <c r="W2180" s="131"/>
      <c r="X2180" s="131"/>
    </row>
    <row r="2181" spans="9:24" x14ac:dyDescent="0.25">
      <c r="I2181" s="131"/>
      <c r="J2181" s="131"/>
      <c r="K2181" s="131"/>
      <c r="L2181" s="131"/>
      <c r="U2181" s="131"/>
      <c r="V2181" s="131"/>
      <c r="W2181" s="131"/>
      <c r="X2181" s="131"/>
    </row>
    <row r="2182" spans="9:24" x14ac:dyDescent="0.25">
      <c r="I2182" s="131"/>
      <c r="J2182" s="131"/>
      <c r="K2182" s="131"/>
      <c r="L2182" s="131"/>
      <c r="U2182" s="131"/>
      <c r="V2182" s="131"/>
      <c r="W2182" s="131"/>
      <c r="X2182" s="131"/>
    </row>
    <row r="2183" spans="9:24" x14ac:dyDescent="0.25">
      <c r="I2183" s="131"/>
      <c r="J2183" s="131"/>
      <c r="K2183" s="131"/>
      <c r="L2183" s="131"/>
      <c r="U2183" s="131"/>
      <c r="V2183" s="131"/>
      <c r="W2183" s="131"/>
      <c r="X2183" s="131"/>
    </row>
    <row r="2184" spans="9:24" x14ac:dyDescent="0.25">
      <c r="I2184" s="131"/>
      <c r="J2184" s="131"/>
      <c r="K2184" s="131"/>
      <c r="L2184" s="131"/>
      <c r="U2184" s="131"/>
      <c r="V2184" s="131"/>
      <c r="W2184" s="131"/>
      <c r="X2184" s="131"/>
    </row>
    <row r="2185" spans="9:24" x14ac:dyDescent="0.25">
      <c r="I2185" s="131"/>
      <c r="J2185" s="131"/>
      <c r="K2185" s="131"/>
      <c r="L2185" s="131"/>
      <c r="U2185" s="131"/>
      <c r="V2185" s="131"/>
      <c r="W2185" s="131"/>
      <c r="X2185" s="131"/>
    </row>
    <row r="2186" spans="9:24" x14ac:dyDescent="0.25">
      <c r="I2186" s="131"/>
      <c r="J2186" s="131"/>
      <c r="K2186" s="131"/>
      <c r="L2186" s="131"/>
      <c r="U2186" s="131"/>
      <c r="V2186" s="131"/>
      <c r="W2186" s="131"/>
      <c r="X2186" s="131"/>
    </row>
    <row r="2187" spans="9:24" x14ac:dyDescent="0.25">
      <c r="I2187" s="131"/>
      <c r="J2187" s="131"/>
      <c r="K2187" s="131"/>
      <c r="L2187" s="131"/>
      <c r="U2187" s="131"/>
      <c r="V2187" s="131"/>
      <c r="W2187" s="131"/>
      <c r="X2187" s="131"/>
    </row>
    <row r="2188" spans="9:24" x14ac:dyDescent="0.25">
      <c r="I2188" s="131"/>
      <c r="J2188" s="131"/>
      <c r="K2188" s="131"/>
      <c r="L2188" s="131"/>
      <c r="U2188" s="131"/>
      <c r="V2188" s="131"/>
      <c r="W2188" s="131"/>
      <c r="X2188" s="131"/>
    </row>
    <row r="2189" spans="9:24" x14ac:dyDescent="0.25">
      <c r="I2189" s="131"/>
      <c r="J2189" s="131"/>
      <c r="K2189" s="131"/>
      <c r="L2189" s="131"/>
      <c r="U2189" s="131"/>
      <c r="V2189" s="131"/>
      <c r="W2189" s="131"/>
      <c r="X2189" s="131"/>
    </row>
    <row r="2190" spans="9:24" x14ac:dyDescent="0.25">
      <c r="I2190" s="131"/>
      <c r="J2190" s="131"/>
      <c r="K2190" s="131"/>
      <c r="L2190" s="131"/>
      <c r="U2190" s="131"/>
      <c r="V2190" s="131"/>
      <c r="W2190" s="131"/>
      <c r="X2190" s="131"/>
    </row>
    <row r="2191" spans="9:24" x14ac:dyDescent="0.25">
      <c r="I2191" s="131"/>
      <c r="J2191" s="131"/>
      <c r="K2191" s="131"/>
      <c r="L2191" s="131"/>
      <c r="U2191" s="131"/>
      <c r="V2191" s="131"/>
      <c r="W2191" s="131"/>
      <c r="X2191" s="131"/>
    </row>
    <row r="2192" spans="9:24" x14ac:dyDescent="0.25">
      <c r="I2192" s="131"/>
      <c r="J2192" s="131"/>
      <c r="K2192" s="131"/>
      <c r="L2192" s="131"/>
      <c r="U2192" s="131"/>
      <c r="V2192" s="131"/>
      <c r="W2192" s="131"/>
      <c r="X2192" s="131"/>
    </row>
    <row r="2193" spans="9:24" x14ac:dyDescent="0.25">
      <c r="I2193" s="131"/>
      <c r="J2193" s="131"/>
      <c r="K2193" s="131"/>
      <c r="L2193" s="131"/>
      <c r="U2193" s="131"/>
      <c r="V2193" s="131"/>
      <c r="W2193" s="131"/>
      <c r="X2193" s="131"/>
    </row>
    <row r="2194" spans="9:24" x14ac:dyDescent="0.25">
      <c r="I2194" s="131"/>
      <c r="J2194" s="131"/>
      <c r="K2194" s="131"/>
      <c r="L2194" s="131"/>
      <c r="U2194" s="131"/>
      <c r="V2194" s="131"/>
      <c r="W2194" s="131"/>
      <c r="X2194" s="131"/>
    </row>
    <row r="2195" spans="9:24" x14ac:dyDescent="0.25">
      <c r="I2195" s="131"/>
      <c r="J2195" s="131"/>
      <c r="K2195" s="131"/>
      <c r="L2195" s="131"/>
      <c r="U2195" s="131"/>
      <c r="V2195" s="131"/>
      <c r="W2195" s="131"/>
      <c r="X2195" s="131"/>
    </row>
    <row r="2196" spans="9:24" x14ac:dyDescent="0.25">
      <c r="I2196" s="131"/>
      <c r="J2196" s="131"/>
      <c r="K2196" s="131"/>
      <c r="L2196" s="131"/>
      <c r="U2196" s="131"/>
      <c r="V2196" s="131"/>
      <c r="W2196" s="131"/>
      <c r="X2196" s="131"/>
    </row>
    <row r="2197" spans="9:24" x14ac:dyDescent="0.25">
      <c r="I2197" s="131"/>
      <c r="J2197" s="131"/>
      <c r="K2197" s="131"/>
      <c r="L2197" s="131"/>
      <c r="U2197" s="131"/>
      <c r="V2197" s="131"/>
      <c r="W2197" s="131"/>
      <c r="X2197" s="131"/>
    </row>
    <row r="2198" spans="9:24" x14ac:dyDescent="0.25">
      <c r="I2198" s="131"/>
      <c r="J2198" s="131"/>
      <c r="K2198" s="131"/>
      <c r="L2198" s="131"/>
      <c r="U2198" s="131"/>
      <c r="V2198" s="131"/>
      <c r="W2198" s="131"/>
      <c r="X2198" s="131"/>
    </row>
    <row r="2199" spans="9:24" x14ac:dyDescent="0.25">
      <c r="I2199" s="131"/>
      <c r="J2199" s="131"/>
      <c r="K2199" s="131"/>
      <c r="L2199" s="131"/>
      <c r="U2199" s="131"/>
      <c r="V2199" s="131"/>
      <c r="W2199" s="131"/>
      <c r="X2199" s="131"/>
    </row>
    <row r="2200" spans="9:24" x14ac:dyDescent="0.25">
      <c r="I2200" s="131"/>
      <c r="J2200" s="131"/>
      <c r="K2200" s="131"/>
      <c r="L2200" s="131"/>
      <c r="U2200" s="131"/>
      <c r="V2200" s="131"/>
      <c r="W2200" s="131"/>
      <c r="X2200" s="131"/>
    </row>
    <row r="2201" spans="9:24" x14ac:dyDescent="0.25">
      <c r="I2201" s="131"/>
      <c r="J2201" s="131"/>
      <c r="K2201" s="131"/>
      <c r="L2201" s="131"/>
      <c r="U2201" s="131"/>
      <c r="V2201" s="131"/>
      <c r="W2201" s="131"/>
      <c r="X2201" s="131"/>
    </row>
    <row r="2202" spans="9:24" x14ac:dyDescent="0.25">
      <c r="I2202" s="131"/>
      <c r="J2202" s="131"/>
      <c r="K2202" s="131"/>
      <c r="L2202" s="131"/>
      <c r="U2202" s="131"/>
      <c r="V2202" s="131"/>
      <c r="W2202" s="131"/>
      <c r="X2202" s="131"/>
    </row>
    <row r="2203" spans="9:24" x14ac:dyDescent="0.25">
      <c r="I2203" s="131"/>
      <c r="J2203" s="131"/>
      <c r="K2203" s="131"/>
      <c r="L2203" s="131"/>
      <c r="U2203" s="131"/>
      <c r="V2203" s="131"/>
      <c r="W2203" s="131"/>
      <c r="X2203" s="131"/>
    </row>
    <row r="2204" spans="9:24" x14ac:dyDescent="0.25">
      <c r="I2204" s="131"/>
      <c r="J2204" s="131"/>
      <c r="K2204" s="131"/>
      <c r="L2204" s="131"/>
      <c r="U2204" s="131"/>
      <c r="V2204" s="131"/>
      <c r="W2204" s="131"/>
      <c r="X2204" s="131"/>
    </row>
    <row r="2205" spans="9:24" x14ac:dyDescent="0.25">
      <c r="I2205" s="131"/>
      <c r="J2205" s="131"/>
      <c r="K2205" s="131"/>
      <c r="L2205" s="131"/>
      <c r="U2205" s="131"/>
      <c r="V2205" s="131"/>
      <c r="W2205" s="131"/>
      <c r="X2205" s="131"/>
    </row>
    <row r="2206" spans="9:24" x14ac:dyDescent="0.25">
      <c r="I2206" s="131"/>
      <c r="J2206" s="131"/>
      <c r="K2206" s="131"/>
      <c r="L2206" s="131"/>
      <c r="U2206" s="131"/>
      <c r="V2206" s="131"/>
      <c r="W2206" s="131"/>
      <c r="X2206" s="131"/>
    </row>
    <row r="2207" spans="9:24" x14ac:dyDescent="0.25">
      <c r="I2207" s="131"/>
      <c r="J2207" s="131"/>
      <c r="K2207" s="131"/>
      <c r="L2207" s="131"/>
      <c r="U2207" s="131"/>
      <c r="V2207" s="131"/>
      <c r="W2207" s="131"/>
      <c r="X2207" s="131"/>
    </row>
    <row r="2208" spans="9:24" x14ac:dyDescent="0.25">
      <c r="I2208" s="131"/>
      <c r="J2208" s="131"/>
      <c r="K2208" s="131"/>
      <c r="L2208" s="131"/>
      <c r="U2208" s="131"/>
      <c r="V2208" s="131"/>
      <c r="W2208" s="131"/>
      <c r="X2208" s="131"/>
    </row>
    <row r="2209" spans="9:24" x14ac:dyDescent="0.25">
      <c r="I2209" s="131"/>
      <c r="J2209" s="131"/>
      <c r="K2209" s="131"/>
      <c r="L2209" s="131"/>
      <c r="U2209" s="131"/>
      <c r="V2209" s="131"/>
      <c r="W2209" s="131"/>
      <c r="X2209" s="131"/>
    </row>
    <row r="2210" spans="9:24" x14ac:dyDescent="0.25">
      <c r="I2210" s="131"/>
      <c r="J2210" s="131"/>
      <c r="K2210" s="131"/>
      <c r="L2210" s="131"/>
      <c r="U2210" s="131"/>
      <c r="V2210" s="131"/>
      <c r="W2210" s="131"/>
      <c r="X2210" s="131"/>
    </row>
    <row r="2211" spans="9:24" x14ac:dyDescent="0.25">
      <c r="I2211" s="131"/>
      <c r="J2211" s="131"/>
      <c r="K2211" s="131"/>
      <c r="L2211" s="131"/>
      <c r="U2211" s="131"/>
      <c r="V2211" s="131"/>
      <c r="W2211" s="131"/>
      <c r="X2211" s="131"/>
    </row>
    <row r="2212" spans="9:24" x14ac:dyDescent="0.25">
      <c r="I2212" s="131"/>
      <c r="J2212" s="131"/>
      <c r="K2212" s="131"/>
      <c r="L2212" s="131"/>
      <c r="U2212" s="131"/>
      <c r="V2212" s="131"/>
      <c r="W2212" s="131"/>
      <c r="X2212" s="131"/>
    </row>
    <row r="2213" spans="9:24" x14ac:dyDescent="0.25">
      <c r="I2213" s="131"/>
      <c r="J2213" s="131"/>
      <c r="K2213" s="131"/>
      <c r="L2213" s="131"/>
      <c r="U2213" s="131"/>
      <c r="V2213" s="131"/>
      <c r="W2213" s="131"/>
      <c r="X2213" s="131"/>
    </row>
    <row r="2214" spans="9:24" x14ac:dyDescent="0.25">
      <c r="I2214" s="131"/>
      <c r="J2214" s="131"/>
      <c r="K2214" s="131"/>
      <c r="L2214" s="131"/>
      <c r="U2214" s="131"/>
      <c r="V2214" s="131"/>
      <c r="W2214" s="131"/>
      <c r="X2214" s="131"/>
    </row>
    <row r="2215" spans="9:24" x14ac:dyDescent="0.25">
      <c r="I2215" s="131"/>
      <c r="J2215" s="131"/>
      <c r="K2215" s="131"/>
      <c r="L2215" s="131"/>
      <c r="U2215" s="131"/>
      <c r="V2215" s="131"/>
      <c r="W2215" s="131"/>
      <c r="X2215" s="131"/>
    </row>
    <row r="2216" spans="9:24" x14ac:dyDescent="0.25">
      <c r="I2216" s="131"/>
      <c r="J2216" s="131"/>
      <c r="K2216" s="131"/>
      <c r="L2216" s="131"/>
      <c r="U2216" s="131"/>
      <c r="V2216" s="131"/>
      <c r="W2216" s="131"/>
      <c r="X2216" s="131"/>
    </row>
    <row r="2217" spans="9:24" x14ac:dyDescent="0.25">
      <c r="I2217" s="131"/>
      <c r="J2217" s="131"/>
      <c r="K2217" s="131"/>
      <c r="L2217" s="131"/>
      <c r="U2217" s="131"/>
      <c r="V2217" s="131"/>
      <c r="W2217" s="131"/>
      <c r="X2217" s="131"/>
    </row>
    <row r="2218" spans="9:24" x14ac:dyDescent="0.25">
      <c r="I2218" s="131"/>
      <c r="J2218" s="131"/>
      <c r="K2218" s="131"/>
      <c r="L2218" s="131"/>
      <c r="U2218" s="131"/>
      <c r="V2218" s="131"/>
      <c r="W2218" s="131"/>
      <c r="X2218" s="131"/>
    </row>
    <row r="2219" spans="9:24" x14ac:dyDescent="0.25">
      <c r="I2219" s="131"/>
      <c r="J2219" s="131"/>
      <c r="K2219" s="131"/>
      <c r="L2219" s="131"/>
      <c r="U2219" s="131"/>
      <c r="V2219" s="131"/>
      <c r="W2219" s="131"/>
      <c r="X2219" s="131"/>
    </row>
    <row r="2220" spans="9:24" x14ac:dyDescent="0.25">
      <c r="I2220" s="131"/>
      <c r="J2220" s="131"/>
      <c r="K2220" s="131"/>
      <c r="L2220" s="131"/>
      <c r="U2220" s="131"/>
      <c r="V2220" s="131"/>
      <c r="W2220" s="131"/>
      <c r="X2220" s="131"/>
    </row>
    <row r="2221" spans="9:24" x14ac:dyDescent="0.25">
      <c r="I2221" s="131"/>
      <c r="J2221" s="131"/>
      <c r="K2221" s="131"/>
      <c r="L2221" s="131"/>
      <c r="U2221" s="131"/>
      <c r="V2221" s="131"/>
      <c r="W2221" s="131"/>
      <c r="X2221" s="131"/>
    </row>
    <row r="2222" spans="9:24" x14ac:dyDescent="0.25">
      <c r="I2222" s="131"/>
      <c r="J2222" s="131"/>
      <c r="K2222" s="131"/>
      <c r="L2222" s="131"/>
      <c r="U2222" s="131"/>
      <c r="V2222" s="131"/>
      <c r="W2222" s="131"/>
      <c r="X2222" s="131"/>
    </row>
    <row r="2223" spans="9:24" x14ac:dyDescent="0.25">
      <c r="I2223" s="131"/>
      <c r="J2223" s="131"/>
      <c r="K2223" s="131"/>
      <c r="L2223" s="131"/>
      <c r="U2223" s="131"/>
      <c r="V2223" s="131"/>
      <c r="W2223" s="131"/>
      <c r="X2223" s="131"/>
    </row>
    <row r="2224" spans="9:24" x14ac:dyDescent="0.25">
      <c r="I2224" s="131"/>
      <c r="J2224" s="131"/>
      <c r="K2224" s="131"/>
      <c r="L2224" s="131"/>
      <c r="U2224" s="131"/>
      <c r="V2224" s="131"/>
      <c r="W2224" s="131"/>
      <c r="X2224" s="131"/>
    </row>
    <row r="2225" spans="9:24" x14ac:dyDescent="0.25">
      <c r="I2225" s="131"/>
      <c r="J2225" s="131"/>
      <c r="K2225" s="131"/>
      <c r="L2225" s="131"/>
      <c r="U2225" s="131"/>
      <c r="V2225" s="131"/>
      <c r="W2225" s="131"/>
      <c r="X2225" s="131"/>
    </row>
    <row r="2226" spans="9:24" x14ac:dyDescent="0.25">
      <c r="I2226" s="131"/>
      <c r="J2226" s="131"/>
      <c r="K2226" s="131"/>
      <c r="L2226" s="131"/>
      <c r="U2226" s="131"/>
      <c r="V2226" s="131"/>
      <c r="W2226" s="131"/>
      <c r="X2226" s="131"/>
    </row>
    <row r="2227" spans="9:24" x14ac:dyDescent="0.25">
      <c r="I2227" s="131"/>
      <c r="J2227" s="131"/>
      <c r="K2227" s="131"/>
      <c r="L2227" s="131"/>
      <c r="U2227" s="131"/>
      <c r="V2227" s="131"/>
      <c r="W2227" s="131"/>
      <c r="X2227" s="131"/>
    </row>
    <row r="2228" spans="9:24" x14ac:dyDescent="0.25">
      <c r="I2228" s="131"/>
      <c r="J2228" s="131"/>
      <c r="K2228" s="131"/>
      <c r="L2228" s="131"/>
      <c r="U2228" s="131"/>
      <c r="V2228" s="131"/>
      <c r="W2228" s="131"/>
      <c r="X2228" s="131"/>
    </row>
    <row r="2229" spans="9:24" x14ac:dyDescent="0.25">
      <c r="I2229" s="131"/>
      <c r="J2229" s="131"/>
      <c r="K2229" s="131"/>
      <c r="L2229" s="131"/>
      <c r="U2229" s="131"/>
      <c r="V2229" s="131"/>
      <c r="W2229" s="131"/>
      <c r="X2229" s="131"/>
    </row>
    <row r="2230" spans="9:24" x14ac:dyDescent="0.25">
      <c r="I2230" s="131"/>
      <c r="J2230" s="131"/>
      <c r="K2230" s="131"/>
      <c r="L2230" s="131"/>
      <c r="U2230" s="131"/>
      <c r="V2230" s="131"/>
      <c r="W2230" s="131"/>
      <c r="X2230" s="131"/>
    </row>
    <row r="2231" spans="9:24" x14ac:dyDescent="0.25">
      <c r="I2231" s="131"/>
      <c r="J2231" s="131"/>
      <c r="K2231" s="131"/>
      <c r="L2231" s="131"/>
      <c r="U2231" s="131"/>
      <c r="V2231" s="131"/>
      <c r="W2231" s="131"/>
      <c r="X2231" s="131"/>
    </row>
    <row r="2232" spans="9:24" x14ac:dyDescent="0.25">
      <c r="I2232" s="131"/>
      <c r="J2232" s="131"/>
      <c r="K2232" s="131"/>
      <c r="L2232" s="131"/>
      <c r="U2232" s="131"/>
      <c r="V2232" s="131"/>
      <c r="W2232" s="131"/>
      <c r="X2232" s="131"/>
    </row>
    <row r="2233" spans="9:24" x14ac:dyDescent="0.25">
      <c r="I2233" s="131"/>
      <c r="J2233" s="131"/>
      <c r="K2233" s="131"/>
      <c r="L2233" s="131"/>
      <c r="U2233" s="131"/>
      <c r="V2233" s="131"/>
      <c r="W2233" s="131"/>
      <c r="X2233" s="131"/>
    </row>
    <row r="2234" spans="9:24" x14ac:dyDescent="0.25">
      <c r="I2234" s="131"/>
      <c r="J2234" s="131"/>
      <c r="K2234" s="131"/>
      <c r="L2234" s="131"/>
      <c r="U2234" s="131"/>
      <c r="V2234" s="131"/>
      <c r="W2234" s="131"/>
      <c r="X2234" s="131"/>
    </row>
    <row r="2235" spans="9:24" x14ac:dyDescent="0.25">
      <c r="I2235" s="131"/>
      <c r="J2235" s="131"/>
      <c r="K2235" s="131"/>
      <c r="L2235" s="131"/>
      <c r="U2235" s="131"/>
      <c r="V2235" s="131"/>
      <c r="W2235" s="131"/>
      <c r="X2235" s="131"/>
    </row>
    <row r="2236" spans="9:24" x14ac:dyDescent="0.25">
      <c r="I2236" s="131"/>
      <c r="J2236" s="131"/>
      <c r="K2236" s="131"/>
      <c r="L2236" s="131"/>
      <c r="U2236" s="131"/>
      <c r="V2236" s="131"/>
      <c r="W2236" s="131"/>
      <c r="X2236" s="131"/>
    </row>
    <row r="2237" spans="9:24" x14ac:dyDescent="0.25">
      <c r="I2237" s="131"/>
      <c r="J2237" s="131"/>
      <c r="K2237" s="131"/>
      <c r="L2237" s="131"/>
      <c r="U2237" s="131"/>
      <c r="V2237" s="131"/>
      <c r="W2237" s="131"/>
      <c r="X2237" s="131"/>
    </row>
    <row r="2238" spans="9:24" x14ac:dyDescent="0.25">
      <c r="I2238" s="131"/>
      <c r="J2238" s="131"/>
      <c r="K2238" s="131"/>
      <c r="L2238" s="131"/>
      <c r="U2238" s="131"/>
      <c r="V2238" s="131"/>
      <c r="W2238" s="131"/>
      <c r="X2238" s="131"/>
    </row>
    <row r="2239" spans="9:24" x14ac:dyDescent="0.25">
      <c r="I2239" s="131"/>
      <c r="J2239" s="131"/>
      <c r="K2239" s="131"/>
      <c r="L2239" s="131"/>
      <c r="U2239" s="131"/>
      <c r="V2239" s="131"/>
      <c r="W2239" s="131"/>
      <c r="X2239" s="131"/>
    </row>
    <row r="2240" spans="9:24" x14ac:dyDescent="0.25">
      <c r="I2240" s="131"/>
      <c r="J2240" s="131"/>
      <c r="K2240" s="131"/>
      <c r="L2240" s="131"/>
      <c r="U2240" s="131"/>
      <c r="V2240" s="131"/>
      <c r="W2240" s="131"/>
      <c r="X2240" s="131"/>
    </row>
    <row r="2241" spans="9:24" x14ac:dyDescent="0.25">
      <c r="I2241" s="131"/>
      <c r="J2241" s="131"/>
      <c r="K2241" s="131"/>
      <c r="L2241" s="131"/>
      <c r="U2241" s="131"/>
      <c r="V2241" s="131"/>
      <c r="W2241" s="131"/>
      <c r="X2241" s="131"/>
    </row>
    <row r="2242" spans="9:24" x14ac:dyDescent="0.25">
      <c r="I2242" s="131"/>
      <c r="J2242" s="131"/>
      <c r="K2242" s="131"/>
      <c r="L2242" s="131"/>
      <c r="U2242" s="131"/>
      <c r="V2242" s="131"/>
      <c r="W2242" s="131"/>
      <c r="X2242" s="131"/>
    </row>
    <row r="2243" spans="9:24" x14ac:dyDescent="0.25">
      <c r="I2243" s="131"/>
      <c r="J2243" s="131"/>
      <c r="K2243" s="131"/>
      <c r="L2243" s="131"/>
      <c r="U2243" s="131"/>
      <c r="V2243" s="131"/>
      <c r="W2243" s="131"/>
      <c r="X2243" s="131"/>
    </row>
    <row r="2244" spans="9:24" x14ac:dyDescent="0.25">
      <c r="I2244" s="131"/>
      <c r="J2244" s="131"/>
      <c r="K2244" s="131"/>
      <c r="L2244" s="131"/>
      <c r="U2244" s="131"/>
      <c r="V2244" s="131"/>
      <c r="W2244" s="131"/>
      <c r="X2244" s="131"/>
    </row>
    <row r="2245" spans="9:24" x14ac:dyDescent="0.25">
      <c r="I2245" s="131"/>
      <c r="J2245" s="131"/>
      <c r="K2245" s="131"/>
      <c r="L2245" s="131"/>
      <c r="U2245" s="131"/>
      <c r="V2245" s="131"/>
      <c r="W2245" s="131"/>
      <c r="X2245" s="131"/>
    </row>
    <row r="2246" spans="9:24" x14ac:dyDescent="0.25">
      <c r="I2246" s="131"/>
      <c r="J2246" s="131"/>
      <c r="K2246" s="131"/>
      <c r="L2246" s="131"/>
      <c r="U2246" s="131"/>
      <c r="V2246" s="131"/>
      <c r="W2246" s="131"/>
      <c r="X2246" s="131"/>
    </row>
    <row r="2247" spans="9:24" x14ac:dyDescent="0.25">
      <c r="I2247" s="131"/>
      <c r="J2247" s="131"/>
      <c r="K2247" s="131"/>
      <c r="L2247" s="131"/>
      <c r="U2247" s="131"/>
      <c r="V2247" s="131"/>
      <c r="W2247" s="131"/>
      <c r="X2247" s="131"/>
    </row>
    <row r="2248" spans="9:24" x14ac:dyDescent="0.25">
      <c r="I2248" s="131"/>
      <c r="J2248" s="131"/>
      <c r="K2248" s="131"/>
      <c r="L2248" s="131"/>
      <c r="U2248" s="131"/>
      <c r="V2248" s="131"/>
      <c r="W2248" s="131"/>
      <c r="X2248" s="131"/>
    </row>
    <row r="2249" spans="9:24" x14ac:dyDescent="0.25">
      <c r="I2249" s="131"/>
      <c r="J2249" s="131"/>
      <c r="K2249" s="131"/>
      <c r="L2249" s="131"/>
      <c r="U2249" s="131"/>
      <c r="V2249" s="131"/>
      <c r="W2249" s="131"/>
      <c r="X2249" s="131"/>
    </row>
    <row r="2250" spans="9:24" x14ac:dyDescent="0.25">
      <c r="I2250" s="131"/>
      <c r="J2250" s="131"/>
      <c r="K2250" s="131"/>
      <c r="L2250" s="131"/>
      <c r="U2250" s="131"/>
      <c r="V2250" s="131"/>
      <c r="W2250" s="131"/>
      <c r="X2250" s="131"/>
    </row>
    <row r="2251" spans="9:24" x14ac:dyDescent="0.25">
      <c r="I2251" s="131"/>
      <c r="J2251" s="131"/>
      <c r="K2251" s="131"/>
      <c r="L2251" s="131"/>
      <c r="U2251" s="131"/>
      <c r="V2251" s="131"/>
      <c r="W2251" s="131"/>
      <c r="X2251" s="131"/>
    </row>
    <row r="2252" spans="9:24" x14ac:dyDescent="0.25">
      <c r="I2252" s="131"/>
      <c r="J2252" s="131"/>
      <c r="K2252" s="131"/>
      <c r="L2252" s="131"/>
      <c r="U2252" s="131"/>
      <c r="V2252" s="131"/>
      <c r="W2252" s="131"/>
      <c r="X2252" s="131"/>
    </row>
    <row r="2253" spans="9:24" x14ac:dyDescent="0.25">
      <c r="I2253" s="131"/>
      <c r="J2253" s="131"/>
      <c r="K2253" s="131"/>
      <c r="L2253" s="131"/>
      <c r="U2253" s="131"/>
      <c r="V2253" s="131"/>
      <c r="W2253" s="131"/>
      <c r="X2253" s="131"/>
    </row>
    <row r="2254" spans="9:24" x14ac:dyDescent="0.25">
      <c r="I2254" s="131"/>
      <c r="J2254" s="131"/>
      <c r="K2254" s="131"/>
      <c r="L2254" s="131"/>
      <c r="U2254" s="131"/>
      <c r="V2254" s="131"/>
      <c r="W2254" s="131"/>
      <c r="X2254" s="131"/>
    </row>
    <row r="2255" spans="9:24" x14ac:dyDescent="0.25">
      <c r="I2255" s="131"/>
      <c r="J2255" s="131"/>
      <c r="K2255" s="131"/>
      <c r="L2255" s="131"/>
      <c r="U2255" s="131"/>
      <c r="V2255" s="131"/>
      <c r="W2255" s="131"/>
      <c r="X2255" s="131"/>
    </row>
    <row r="2256" spans="9:24" x14ac:dyDescent="0.25">
      <c r="I2256" s="131"/>
      <c r="J2256" s="131"/>
      <c r="K2256" s="131"/>
      <c r="L2256" s="131"/>
      <c r="U2256" s="131"/>
      <c r="V2256" s="131"/>
      <c r="W2256" s="131"/>
      <c r="X2256" s="131"/>
    </row>
    <row r="2257" spans="9:24" x14ac:dyDescent="0.25">
      <c r="I2257" s="131"/>
      <c r="J2257" s="131"/>
      <c r="K2257" s="131"/>
      <c r="L2257" s="131"/>
      <c r="U2257" s="131"/>
      <c r="V2257" s="131"/>
      <c r="W2257" s="131"/>
      <c r="X2257" s="131"/>
    </row>
    <row r="2258" spans="9:24" x14ac:dyDescent="0.25">
      <c r="I2258" s="131"/>
      <c r="J2258" s="131"/>
      <c r="K2258" s="131"/>
      <c r="L2258" s="131"/>
      <c r="U2258" s="131"/>
      <c r="V2258" s="131"/>
      <c r="W2258" s="131"/>
      <c r="X2258" s="131"/>
    </row>
    <row r="2259" spans="9:24" x14ac:dyDescent="0.25">
      <c r="I2259" s="131"/>
      <c r="J2259" s="131"/>
      <c r="K2259" s="131"/>
      <c r="L2259" s="131"/>
      <c r="U2259" s="131"/>
      <c r="V2259" s="131"/>
      <c r="W2259" s="131"/>
      <c r="X2259" s="131"/>
    </row>
    <row r="2260" spans="9:24" x14ac:dyDescent="0.25">
      <c r="I2260" s="131"/>
      <c r="J2260" s="131"/>
      <c r="K2260" s="131"/>
      <c r="L2260" s="131"/>
      <c r="U2260" s="131"/>
      <c r="V2260" s="131"/>
      <c r="W2260" s="131"/>
      <c r="X2260" s="131"/>
    </row>
    <row r="2261" spans="9:24" x14ac:dyDescent="0.25">
      <c r="I2261" s="131"/>
      <c r="J2261" s="131"/>
      <c r="K2261" s="131"/>
      <c r="L2261" s="131"/>
      <c r="U2261" s="131"/>
      <c r="V2261" s="131"/>
      <c r="W2261" s="131"/>
      <c r="X2261" s="131"/>
    </row>
    <row r="2262" spans="9:24" x14ac:dyDescent="0.25">
      <c r="I2262" s="131"/>
      <c r="J2262" s="131"/>
      <c r="K2262" s="131"/>
      <c r="L2262" s="131"/>
      <c r="U2262" s="131"/>
      <c r="V2262" s="131"/>
      <c r="W2262" s="131"/>
      <c r="X2262" s="131"/>
    </row>
    <row r="2263" spans="9:24" x14ac:dyDescent="0.25">
      <c r="I2263" s="131"/>
      <c r="J2263" s="131"/>
      <c r="K2263" s="131"/>
      <c r="L2263" s="131"/>
      <c r="U2263" s="131"/>
      <c r="V2263" s="131"/>
      <c r="W2263" s="131"/>
      <c r="X2263" s="131"/>
    </row>
    <row r="2264" spans="9:24" x14ac:dyDescent="0.25">
      <c r="I2264" s="131"/>
      <c r="J2264" s="131"/>
      <c r="K2264" s="131"/>
      <c r="L2264" s="131"/>
      <c r="U2264" s="131"/>
      <c r="V2264" s="131"/>
      <c r="W2264" s="131"/>
      <c r="X2264" s="131"/>
    </row>
    <row r="2265" spans="9:24" x14ac:dyDescent="0.25">
      <c r="I2265" s="131"/>
      <c r="J2265" s="131"/>
      <c r="K2265" s="131"/>
      <c r="L2265" s="131"/>
      <c r="U2265" s="131"/>
      <c r="V2265" s="131"/>
      <c r="W2265" s="131"/>
      <c r="X2265" s="131"/>
    </row>
    <row r="2266" spans="9:24" x14ac:dyDescent="0.25">
      <c r="I2266" s="131"/>
      <c r="J2266" s="131"/>
      <c r="K2266" s="131"/>
      <c r="L2266" s="131"/>
      <c r="U2266" s="131"/>
      <c r="V2266" s="131"/>
      <c r="W2266" s="131"/>
      <c r="X2266" s="131"/>
    </row>
    <row r="2267" spans="9:24" x14ac:dyDescent="0.25">
      <c r="I2267" s="131"/>
      <c r="J2267" s="131"/>
      <c r="K2267" s="131"/>
      <c r="L2267" s="131"/>
      <c r="U2267" s="131"/>
      <c r="V2267" s="131"/>
      <c r="W2267" s="131"/>
      <c r="X2267" s="131"/>
    </row>
    <row r="2268" spans="9:24" x14ac:dyDescent="0.25">
      <c r="I2268" s="131"/>
      <c r="J2268" s="131"/>
      <c r="K2268" s="131"/>
      <c r="L2268" s="131"/>
      <c r="U2268" s="131"/>
      <c r="V2268" s="131"/>
      <c r="W2268" s="131"/>
      <c r="X2268" s="131"/>
    </row>
    <row r="2269" spans="9:24" x14ac:dyDescent="0.25">
      <c r="I2269" s="131"/>
      <c r="J2269" s="131"/>
      <c r="K2269" s="131"/>
      <c r="L2269" s="131"/>
      <c r="U2269" s="131"/>
      <c r="V2269" s="131"/>
      <c r="W2269" s="131"/>
      <c r="X2269" s="131"/>
    </row>
    <row r="2270" spans="9:24" x14ac:dyDescent="0.25">
      <c r="I2270" s="131"/>
      <c r="J2270" s="131"/>
      <c r="K2270" s="131"/>
      <c r="L2270" s="131"/>
      <c r="U2270" s="131"/>
      <c r="V2270" s="131"/>
      <c r="W2270" s="131"/>
      <c r="X2270" s="131"/>
    </row>
    <row r="2271" spans="9:24" x14ac:dyDescent="0.25">
      <c r="I2271" s="131"/>
      <c r="J2271" s="131"/>
      <c r="K2271" s="131"/>
      <c r="L2271" s="131"/>
      <c r="U2271" s="131"/>
      <c r="V2271" s="131"/>
      <c r="W2271" s="131"/>
      <c r="X2271" s="131"/>
    </row>
    <row r="2272" spans="9:24" x14ac:dyDescent="0.25">
      <c r="I2272" s="131"/>
      <c r="J2272" s="131"/>
      <c r="K2272" s="131"/>
      <c r="L2272" s="131"/>
      <c r="U2272" s="131"/>
      <c r="V2272" s="131"/>
      <c r="W2272" s="131"/>
      <c r="X2272" s="131"/>
    </row>
    <row r="2273" spans="9:24" x14ac:dyDescent="0.25">
      <c r="I2273" s="131"/>
      <c r="J2273" s="131"/>
      <c r="K2273" s="131"/>
      <c r="L2273" s="131"/>
      <c r="U2273" s="131"/>
      <c r="V2273" s="131"/>
      <c r="W2273" s="131"/>
      <c r="X2273" s="131"/>
    </row>
    <row r="2274" spans="9:24" x14ac:dyDescent="0.25">
      <c r="I2274" s="131"/>
      <c r="J2274" s="131"/>
      <c r="K2274" s="131"/>
      <c r="L2274" s="131"/>
      <c r="U2274" s="131"/>
      <c r="V2274" s="131"/>
      <c r="W2274" s="131"/>
      <c r="X2274" s="131"/>
    </row>
    <row r="2275" spans="9:24" x14ac:dyDescent="0.25">
      <c r="I2275" s="131"/>
      <c r="J2275" s="131"/>
      <c r="K2275" s="131"/>
      <c r="L2275" s="131"/>
      <c r="U2275" s="131"/>
      <c r="V2275" s="131"/>
      <c r="W2275" s="131"/>
      <c r="X2275" s="131"/>
    </row>
    <row r="2276" spans="9:24" x14ac:dyDescent="0.25">
      <c r="I2276" s="131"/>
      <c r="J2276" s="131"/>
      <c r="K2276" s="131"/>
      <c r="L2276" s="131"/>
      <c r="U2276" s="131"/>
      <c r="V2276" s="131"/>
      <c r="W2276" s="131"/>
      <c r="X2276" s="131"/>
    </row>
    <row r="2277" spans="9:24" x14ac:dyDescent="0.25">
      <c r="I2277" s="131"/>
      <c r="J2277" s="131"/>
      <c r="K2277" s="131"/>
      <c r="L2277" s="131"/>
      <c r="U2277" s="131"/>
      <c r="V2277" s="131"/>
      <c r="W2277" s="131"/>
      <c r="X2277" s="131"/>
    </row>
    <row r="2278" spans="9:24" x14ac:dyDescent="0.25">
      <c r="I2278" s="131"/>
      <c r="J2278" s="131"/>
      <c r="K2278" s="131"/>
      <c r="L2278" s="131"/>
      <c r="U2278" s="131"/>
      <c r="V2278" s="131"/>
      <c r="W2278" s="131"/>
      <c r="X2278" s="131"/>
    </row>
    <row r="2279" spans="9:24" x14ac:dyDescent="0.25">
      <c r="I2279" s="131"/>
      <c r="J2279" s="131"/>
      <c r="K2279" s="131"/>
      <c r="L2279" s="131"/>
      <c r="U2279" s="131"/>
      <c r="V2279" s="131"/>
      <c r="W2279" s="131"/>
      <c r="X2279" s="131"/>
    </row>
    <row r="2280" spans="9:24" x14ac:dyDescent="0.25">
      <c r="I2280" s="131"/>
      <c r="J2280" s="131"/>
      <c r="K2280" s="131"/>
      <c r="L2280" s="131"/>
      <c r="U2280" s="131"/>
      <c r="V2280" s="131"/>
      <c r="W2280" s="131"/>
      <c r="X2280" s="131"/>
    </row>
    <row r="2281" spans="9:24" x14ac:dyDescent="0.25">
      <c r="I2281" s="131"/>
      <c r="J2281" s="131"/>
      <c r="K2281" s="131"/>
      <c r="L2281" s="131"/>
      <c r="U2281" s="131"/>
      <c r="V2281" s="131"/>
      <c r="W2281" s="131"/>
      <c r="X2281" s="131"/>
    </row>
    <row r="2282" spans="9:24" x14ac:dyDescent="0.25">
      <c r="I2282" s="131"/>
      <c r="J2282" s="131"/>
      <c r="K2282" s="131"/>
      <c r="L2282" s="131"/>
      <c r="U2282" s="131"/>
      <c r="V2282" s="131"/>
      <c r="W2282" s="131"/>
      <c r="X2282" s="131"/>
    </row>
    <row r="2283" spans="9:24" x14ac:dyDescent="0.25">
      <c r="I2283" s="131"/>
      <c r="J2283" s="131"/>
      <c r="K2283" s="131"/>
      <c r="L2283" s="131"/>
      <c r="U2283" s="131"/>
      <c r="V2283" s="131"/>
      <c r="W2283" s="131"/>
      <c r="X2283" s="131"/>
    </row>
    <row r="2284" spans="9:24" x14ac:dyDescent="0.25">
      <c r="I2284" s="131"/>
      <c r="J2284" s="131"/>
      <c r="K2284" s="131"/>
      <c r="L2284" s="131"/>
      <c r="U2284" s="131"/>
      <c r="V2284" s="131"/>
      <c r="W2284" s="131"/>
      <c r="X2284" s="131"/>
    </row>
    <row r="2285" spans="9:24" x14ac:dyDescent="0.25">
      <c r="I2285" s="131"/>
      <c r="J2285" s="131"/>
      <c r="K2285" s="131"/>
      <c r="L2285" s="131"/>
      <c r="U2285" s="131"/>
      <c r="V2285" s="131"/>
      <c r="W2285" s="131"/>
      <c r="X2285" s="131"/>
    </row>
    <row r="2286" spans="9:24" x14ac:dyDescent="0.25">
      <c r="I2286" s="131"/>
      <c r="J2286" s="131"/>
      <c r="K2286" s="131"/>
      <c r="L2286" s="131"/>
      <c r="U2286" s="131"/>
      <c r="V2286" s="131"/>
      <c r="W2286" s="131"/>
      <c r="X2286" s="131"/>
    </row>
    <row r="2287" spans="9:24" x14ac:dyDescent="0.25">
      <c r="I2287" s="131"/>
      <c r="J2287" s="131"/>
      <c r="K2287" s="131"/>
      <c r="L2287" s="131"/>
      <c r="U2287" s="131"/>
      <c r="V2287" s="131"/>
      <c r="W2287" s="131"/>
      <c r="X2287" s="131"/>
    </row>
    <row r="2288" spans="9:24" x14ac:dyDescent="0.25">
      <c r="I2288" s="131"/>
      <c r="J2288" s="131"/>
      <c r="K2288" s="131"/>
      <c r="L2288" s="131"/>
      <c r="U2288" s="131"/>
      <c r="V2288" s="131"/>
      <c r="W2288" s="131"/>
      <c r="X2288" s="131"/>
    </row>
    <row r="2289" spans="9:24" x14ac:dyDescent="0.25">
      <c r="I2289" s="131"/>
      <c r="J2289" s="131"/>
      <c r="K2289" s="131"/>
      <c r="L2289" s="131"/>
      <c r="U2289" s="131"/>
      <c r="V2289" s="131"/>
      <c r="W2289" s="131"/>
      <c r="X2289" s="131"/>
    </row>
    <row r="2290" spans="9:24" x14ac:dyDescent="0.25">
      <c r="I2290" s="131"/>
      <c r="J2290" s="131"/>
      <c r="K2290" s="131"/>
      <c r="L2290" s="131"/>
      <c r="U2290" s="131"/>
      <c r="V2290" s="131"/>
      <c r="W2290" s="131"/>
      <c r="X2290" s="131"/>
    </row>
    <row r="2291" spans="9:24" x14ac:dyDescent="0.25">
      <c r="I2291" s="131"/>
      <c r="J2291" s="131"/>
      <c r="K2291" s="131"/>
      <c r="L2291" s="131"/>
      <c r="U2291" s="131"/>
      <c r="V2291" s="131"/>
      <c r="W2291" s="131"/>
      <c r="X2291" s="131"/>
    </row>
    <row r="2292" spans="9:24" x14ac:dyDescent="0.25">
      <c r="I2292" s="131"/>
      <c r="J2292" s="131"/>
      <c r="K2292" s="131"/>
      <c r="L2292" s="131"/>
      <c r="U2292" s="131"/>
      <c r="V2292" s="131"/>
      <c r="W2292" s="131"/>
      <c r="X2292" s="131"/>
    </row>
    <row r="2293" spans="9:24" x14ac:dyDescent="0.25">
      <c r="I2293" s="131"/>
      <c r="J2293" s="131"/>
      <c r="K2293" s="131"/>
      <c r="L2293" s="131"/>
      <c r="U2293" s="131"/>
      <c r="V2293" s="131"/>
      <c r="W2293" s="131"/>
      <c r="X2293" s="131"/>
    </row>
    <row r="2294" spans="9:24" x14ac:dyDescent="0.25">
      <c r="I2294" s="131"/>
      <c r="J2294" s="131"/>
      <c r="K2294" s="131"/>
      <c r="L2294" s="131"/>
      <c r="U2294" s="131"/>
      <c r="V2294" s="131"/>
      <c r="W2294" s="131"/>
      <c r="X2294" s="131"/>
    </row>
    <row r="2295" spans="9:24" x14ac:dyDescent="0.25">
      <c r="I2295" s="131"/>
      <c r="J2295" s="131"/>
      <c r="K2295" s="131"/>
      <c r="L2295" s="131"/>
      <c r="U2295" s="131"/>
      <c r="V2295" s="131"/>
      <c r="W2295" s="131"/>
      <c r="X2295" s="131"/>
    </row>
    <row r="2296" spans="9:24" x14ac:dyDescent="0.25">
      <c r="I2296" s="131"/>
      <c r="J2296" s="131"/>
      <c r="K2296" s="131"/>
      <c r="L2296" s="131"/>
      <c r="U2296" s="131"/>
      <c r="V2296" s="131"/>
      <c r="W2296" s="131"/>
      <c r="X2296" s="131"/>
    </row>
    <row r="2297" spans="9:24" x14ac:dyDescent="0.25">
      <c r="I2297" s="131"/>
      <c r="J2297" s="131"/>
      <c r="K2297" s="131"/>
      <c r="L2297" s="131"/>
      <c r="U2297" s="131"/>
      <c r="V2297" s="131"/>
      <c r="W2297" s="131"/>
      <c r="X2297" s="131"/>
    </row>
    <row r="2298" spans="9:24" x14ac:dyDescent="0.25">
      <c r="I2298" s="131"/>
      <c r="J2298" s="131"/>
      <c r="K2298" s="131"/>
      <c r="L2298" s="131"/>
      <c r="U2298" s="131"/>
      <c r="V2298" s="131"/>
      <c r="W2298" s="131"/>
      <c r="X2298" s="131"/>
    </row>
    <row r="2299" spans="9:24" x14ac:dyDescent="0.25">
      <c r="I2299" s="131"/>
      <c r="J2299" s="131"/>
      <c r="K2299" s="131"/>
      <c r="L2299" s="131"/>
      <c r="U2299" s="131"/>
      <c r="V2299" s="131"/>
      <c r="W2299" s="131"/>
      <c r="X2299" s="131"/>
    </row>
    <row r="2300" spans="9:24" x14ac:dyDescent="0.25">
      <c r="I2300" s="131"/>
      <c r="J2300" s="131"/>
      <c r="K2300" s="131"/>
      <c r="L2300" s="131"/>
      <c r="U2300" s="131"/>
      <c r="V2300" s="131"/>
      <c r="W2300" s="131"/>
      <c r="X2300" s="131"/>
    </row>
    <row r="2301" spans="9:24" x14ac:dyDescent="0.25">
      <c r="I2301" s="131"/>
      <c r="J2301" s="131"/>
      <c r="K2301" s="131"/>
      <c r="L2301" s="131"/>
      <c r="U2301" s="131"/>
      <c r="V2301" s="131"/>
      <c r="W2301" s="131"/>
      <c r="X2301" s="131"/>
    </row>
    <row r="2302" spans="9:24" x14ac:dyDescent="0.25">
      <c r="I2302" s="131"/>
      <c r="J2302" s="131"/>
      <c r="K2302" s="131"/>
      <c r="L2302" s="131"/>
      <c r="U2302" s="131"/>
      <c r="V2302" s="131"/>
      <c r="W2302" s="131"/>
      <c r="X2302" s="131"/>
    </row>
    <row r="2303" spans="9:24" x14ac:dyDescent="0.25">
      <c r="I2303" s="131"/>
      <c r="J2303" s="131"/>
      <c r="K2303" s="131"/>
      <c r="L2303" s="131"/>
      <c r="U2303" s="131"/>
      <c r="V2303" s="131"/>
      <c r="W2303" s="131"/>
      <c r="X2303" s="131"/>
    </row>
    <row r="2304" spans="9:24" x14ac:dyDescent="0.25">
      <c r="I2304" s="131"/>
      <c r="J2304" s="131"/>
      <c r="K2304" s="131"/>
      <c r="L2304" s="131"/>
      <c r="U2304" s="131"/>
      <c r="V2304" s="131"/>
      <c r="W2304" s="131"/>
      <c r="X2304" s="131"/>
    </row>
    <row r="2305" spans="9:24" x14ac:dyDescent="0.25">
      <c r="I2305" s="131"/>
      <c r="J2305" s="131"/>
      <c r="K2305" s="131"/>
      <c r="L2305" s="131"/>
      <c r="U2305" s="131"/>
      <c r="V2305" s="131"/>
      <c r="W2305" s="131"/>
      <c r="X2305" s="131"/>
    </row>
    <row r="2306" spans="9:24" x14ac:dyDescent="0.25">
      <c r="I2306" s="131"/>
      <c r="J2306" s="131"/>
      <c r="K2306" s="131"/>
      <c r="L2306" s="131"/>
      <c r="U2306" s="131"/>
      <c r="V2306" s="131"/>
      <c r="W2306" s="131"/>
      <c r="X2306" s="131"/>
    </row>
    <row r="2307" spans="9:24" x14ac:dyDescent="0.25">
      <c r="I2307" s="131"/>
      <c r="J2307" s="131"/>
      <c r="K2307" s="131"/>
      <c r="L2307" s="131"/>
      <c r="U2307" s="131"/>
      <c r="V2307" s="131"/>
      <c r="W2307" s="131"/>
      <c r="X2307" s="131"/>
    </row>
    <row r="2308" spans="9:24" x14ac:dyDescent="0.25">
      <c r="I2308" s="131"/>
      <c r="J2308" s="131"/>
      <c r="K2308" s="131"/>
      <c r="L2308" s="131"/>
      <c r="U2308" s="131"/>
      <c r="V2308" s="131"/>
      <c r="W2308" s="131"/>
      <c r="X2308" s="131"/>
    </row>
    <row r="2309" spans="9:24" x14ac:dyDescent="0.25">
      <c r="I2309" s="131"/>
      <c r="J2309" s="131"/>
      <c r="K2309" s="131"/>
      <c r="L2309" s="131"/>
      <c r="U2309" s="131"/>
      <c r="V2309" s="131"/>
      <c r="W2309" s="131"/>
      <c r="X2309" s="131"/>
    </row>
    <row r="2310" spans="9:24" x14ac:dyDescent="0.25">
      <c r="I2310" s="131"/>
      <c r="J2310" s="131"/>
      <c r="K2310" s="131"/>
      <c r="L2310" s="131"/>
      <c r="U2310" s="131"/>
      <c r="V2310" s="131"/>
      <c r="W2310" s="131"/>
      <c r="X2310" s="131"/>
    </row>
    <row r="2311" spans="9:24" x14ac:dyDescent="0.25">
      <c r="I2311" s="131"/>
      <c r="J2311" s="131"/>
      <c r="K2311" s="131"/>
      <c r="L2311" s="131"/>
      <c r="U2311" s="131"/>
      <c r="V2311" s="131"/>
      <c r="W2311" s="131"/>
      <c r="X2311" s="131"/>
    </row>
    <row r="2312" spans="9:24" x14ac:dyDescent="0.25">
      <c r="I2312" s="131"/>
      <c r="J2312" s="131"/>
      <c r="K2312" s="131"/>
      <c r="L2312" s="131"/>
      <c r="U2312" s="131"/>
      <c r="V2312" s="131"/>
      <c r="W2312" s="131"/>
      <c r="X2312" s="131"/>
    </row>
    <row r="2313" spans="9:24" x14ac:dyDescent="0.25">
      <c r="I2313" s="131"/>
      <c r="J2313" s="131"/>
      <c r="K2313" s="131"/>
      <c r="L2313" s="131"/>
      <c r="U2313" s="131"/>
      <c r="V2313" s="131"/>
      <c r="W2313" s="131"/>
      <c r="X2313" s="131"/>
    </row>
    <row r="2314" spans="9:24" x14ac:dyDescent="0.25">
      <c r="I2314" s="131"/>
      <c r="J2314" s="131"/>
      <c r="K2314" s="131"/>
      <c r="L2314" s="131"/>
      <c r="U2314" s="131"/>
      <c r="V2314" s="131"/>
      <c r="W2314" s="131"/>
      <c r="X2314" s="131"/>
    </row>
    <row r="2315" spans="9:24" x14ac:dyDescent="0.25">
      <c r="I2315" s="131"/>
      <c r="J2315" s="131"/>
      <c r="K2315" s="131"/>
      <c r="L2315" s="131"/>
      <c r="U2315" s="131"/>
      <c r="V2315" s="131"/>
      <c r="W2315" s="131"/>
      <c r="X2315" s="131"/>
    </row>
    <row r="2316" spans="9:24" x14ac:dyDescent="0.25">
      <c r="I2316" s="131"/>
      <c r="J2316" s="131"/>
      <c r="K2316" s="131"/>
      <c r="L2316" s="131"/>
      <c r="U2316" s="131"/>
      <c r="V2316" s="131"/>
      <c r="W2316" s="131"/>
      <c r="X2316" s="131"/>
    </row>
    <row r="2317" spans="9:24" x14ac:dyDescent="0.25">
      <c r="I2317" s="131"/>
      <c r="J2317" s="131"/>
      <c r="K2317" s="131"/>
      <c r="L2317" s="131"/>
      <c r="U2317" s="131"/>
      <c r="V2317" s="131"/>
      <c r="W2317" s="131"/>
      <c r="X2317" s="131"/>
    </row>
    <row r="2318" spans="9:24" x14ac:dyDescent="0.25">
      <c r="I2318" s="131"/>
      <c r="J2318" s="131"/>
      <c r="K2318" s="131"/>
      <c r="L2318" s="131"/>
      <c r="U2318" s="131"/>
      <c r="V2318" s="131"/>
      <c r="W2318" s="131"/>
      <c r="X2318" s="131"/>
    </row>
    <row r="2319" spans="9:24" x14ac:dyDescent="0.25">
      <c r="I2319" s="131"/>
      <c r="J2319" s="131"/>
      <c r="K2319" s="131"/>
      <c r="L2319" s="131"/>
      <c r="U2319" s="131"/>
      <c r="V2319" s="131"/>
      <c r="W2319" s="131"/>
      <c r="X2319" s="131"/>
    </row>
    <row r="2320" spans="9:24" x14ac:dyDescent="0.25">
      <c r="I2320" s="131"/>
      <c r="J2320" s="131"/>
      <c r="K2320" s="131"/>
      <c r="L2320" s="131"/>
      <c r="U2320" s="131"/>
      <c r="V2320" s="131"/>
      <c r="W2320" s="131"/>
      <c r="X2320" s="131"/>
    </row>
    <row r="2321" spans="9:24" x14ac:dyDescent="0.25">
      <c r="I2321" s="131"/>
      <c r="J2321" s="131"/>
      <c r="K2321" s="131"/>
      <c r="L2321" s="131"/>
      <c r="U2321" s="131"/>
      <c r="V2321" s="131"/>
      <c r="W2321" s="131"/>
      <c r="X2321" s="131"/>
    </row>
    <row r="2322" spans="9:24" x14ac:dyDescent="0.25">
      <c r="I2322" s="131"/>
      <c r="J2322" s="131"/>
      <c r="K2322" s="131"/>
      <c r="L2322" s="131"/>
      <c r="U2322" s="131"/>
      <c r="V2322" s="131"/>
      <c r="W2322" s="131"/>
      <c r="X2322" s="131"/>
    </row>
    <row r="2323" spans="9:24" x14ac:dyDescent="0.25">
      <c r="I2323" s="131"/>
      <c r="J2323" s="131"/>
      <c r="K2323" s="131"/>
      <c r="L2323" s="131"/>
      <c r="U2323" s="131"/>
      <c r="V2323" s="131"/>
      <c r="W2323" s="131"/>
      <c r="X2323" s="131"/>
    </row>
    <row r="2324" spans="9:24" x14ac:dyDescent="0.25">
      <c r="I2324" s="131"/>
      <c r="J2324" s="131"/>
      <c r="K2324" s="131"/>
      <c r="L2324" s="131"/>
      <c r="U2324" s="131"/>
      <c r="V2324" s="131"/>
      <c r="W2324" s="131"/>
      <c r="X2324" s="131"/>
    </row>
    <row r="2325" spans="9:24" x14ac:dyDescent="0.25">
      <c r="I2325" s="131"/>
      <c r="J2325" s="131"/>
      <c r="K2325" s="131"/>
      <c r="L2325" s="131"/>
      <c r="U2325" s="131"/>
      <c r="V2325" s="131"/>
      <c r="W2325" s="131"/>
      <c r="X2325" s="131"/>
    </row>
    <row r="2326" spans="9:24" x14ac:dyDescent="0.25">
      <c r="I2326" s="131"/>
      <c r="J2326" s="131"/>
      <c r="K2326" s="131"/>
      <c r="L2326" s="131"/>
      <c r="U2326" s="131"/>
      <c r="V2326" s="131"/>
      <c r="W2326" s="131"/>
      <c r="X2326" s="131"/>
    </row>
    <row r="2327" spans="9:24" x14ac:dyDescent="0.25">
      <c r="I2327" s="131"/>
      <c r="J2327" s="131"/>
      <c r="K2327" s="131"/>
      <c r="L2327" s="131"/>
      <c r="U2327" s="131"/>
      <c r="V2327" s="131"/>
      <c r="W2327" s="131"/>
      <c r="X2327" s="131"/>
    </row>
    <row r="2328" spans="9:24" x14ac:dyDescent="0.25">
      <c r="I2328" s="131"/>
      <c r="J2328" s="131"/>
      <c r="K2328" s="131"/>
      <c r="L2328" s="131"/>
      <c r="U2328" s="131"/>
      <c r="V2328" s="131"/>
      <c r="W2328" s="131"/>
      <c r="X2328" s="131"/>
    </row>
    <row r="2329" spans="9:24" x14ac:dyDescent="0.25">
      <c r="I2329" s="131"/>
      <c r="J2329" s="131"/>
      <c r="K2329" s="131"/>
      <c r="L2329" s="131"/>
      <c r="U2329" s="131"/>
      <c r="V2329" s="131"/>
      <c r="W2329" s="131"/>
      <c r="X2329" s="131"/>
    </row>
    <row r="2330" spans="9:24" x14ac:dyDescent="0.25">
      <c r="I2330" s="131"/>
      <c r="J2330" s="131"/>
      <c r="K2330" s="131"/>
      <c r="L2330" s="131"/>
      <c r="U2330" s="131"/>
      <c r="V2330" s="131"/>
      <c r="W2330" s="131"/>
      <c r="X2330" s="131"/>
    </row>
    <row r="2331" spans="9:24" x14ac:dyDescent="0.25">
      <c r="I2331" s="131"/>
      <c r="J2331" s="131"/>
      <c r="K2331" s="131"/>
      <c r="L2331" s="131"/>
      <c r="U2331" s="131"/>
      <c r="V2331" s="131"/>
      <c r="W2331" s="131"/>
      <c r="X2331" s="131"/>
    </row>
    <row r="2332" spans="9:24" x14ac:dyDescent="0.25">
      <c r="I2332" s="131"/>
      <c r="J2332" s="131"/>
      <c r="K2332" s="131"/>
      <c r="L2332" s="131"/>
      <c r="U2332" s="131"/>
      <c r="V2332" s="131"/>
      <c r="W2332" s="131"/>
      <c r="X2332" s="131"/>
    </row>
    <row r="2333" spans="9:24" x14ac:dyDescent="0.25">
      <c r="I2333" s="131"/>
      <c r="J2333" s="131"/>
      <c r="K2333" s="131"/>
      <c r="L2333" s="131"/>
      <c r="U2333" s="131"/>
      <c r="V2333" s="131"/>
      <c r="W2333" s="131"/>
      <c r="X2333" s="131"/>
    </row>
    <row r="2334" spans="9:24" x14ac:dyDescent="0.25">
      <c r="I2334" s="131"/>
      <c r="J2334" s="131"/>
      <c r="K2334" s="131"/>
      <c r="L2334" s="131"/>
      <c r="U2334" s="131"/>
      <c r="V2334" s="131"/>
      <c r="W2334" s="131"/>
      <c r="X2334" s="131"/>
    </row>
    <row r="2335" spans="9:24" x14ac:dyDescent="0.25">
      <c r="I2335" s="131"/>
      <c r="J2335" s="131"/>
      <c r="K2335" s="131"/>
      <c r="L2335" s="131"/>
      <c r="U2335" s="131"/>
      <c r="V2335" s="131"/>
      <c r="W2335" s="131"/>
      <c r="X2335" s="131"/>
    </row>
    <row r="2336" spans="9:24" x14ac:dyDescent="0.25">
      <c r="I2336" s="131"/>
      <c r="J2336" s="131"/>
      <c r="K2336" s="131"/>
      <c r="L2336" s="131"/>
      <c r="U2336" s="131"/>
      <c r="V2336" s="131"/>
      <c r="W2336" s="131"/>
      <c r="X2336" s="131"/>
    </row>
    <row r="2337" spans="9:24" x14ac:dyDescent="0.25">
      <c r="I2337" s="131"/>
      <c r="J2337" s="131"/>
      <c r="K2337" s="131"/>
      <c r="L2337" s="131"/>
      <c r="U2337" s="131"/>
      <c r="V2337" s="131"/>
      <c r="W2337" s="131"/>
      <c r="X2337" s="131"/>
    </row>
    <row r="2338" spans="9:24" x14ac:dyDescent="0.25">
      <c r="I2338" s="131"/>
      <c r="J2338" s="131"/>
      <c r="K2338" s="131"/>
      <c r="L2338" s="131"/>
      <c r="U2338" s="131"/>
      <c r="V2338" s="131"/>
      <c r="W2338" s="131"/>
      <c r="X2338" s="131"/>
    </row>
    <row r="2339" spans="9:24" x14ac:dyDescent="0.25">
      <c r="I2339" s="131"/>
      <c r="J2339" s="131"/>
      <c r="K2339" s="131"/>
      <c r="L2339" s="131"/>
      <c r="U2339" s="131"/>
      <c r="V2339" s="131"/>
      <c r="W2339" s="131"/>
      <c r="X2339" s="131"/>
    </row>
    <row r="2340" spans="9:24" x14ac:dyDescent="0.25">
      <c r="I2340" s="131"/>
      <c r="J2340" s="131"/>
      <c r="K2340" s="131"/>
      <c r="L2340" s="131"/>
      <c r="U2340" s="131"/>
      <c r="V2340" s="131"/>
      <c r="W2340" s="131"/>
      <c r="X2340" s="131"/>
    </row>
    <row r="2341" spans="9:24" x14ac:dyDescent="0.25">
      <c r="I2341" s="131"/>
      <c r="J2341" s="131"/>
      <c r="K2341" s="131"/>
      <c r="L2341" s="131"/>
      <c r="U2341" s="131"/>
      <c r="V2341" s="131"/>
      <c r="W2341" s="131"/>
      <c r="X2341" s="131"/>
    </row>
    <row r="2342" spans="9:24" x14ac:dyDescent="0.25">
      <c r="I2342" s="131"/>
      <c r="J2342" s="131"/>
      <c r="K2342" s="131"/>
      <c r="L2342" s="131"/>
      <c r="U2342" s="131"/>
      <c r="V2342" s="131"/>
      <c r="W2342" s="131"/>
      <c r="X2342" s="131"/>
    </row>
    <row r="2343" spans="9:24" x14ac:dyDescent="0.25">
      <c r="I2343" s="131"/>
      <c r="J2343" s="131"/>
      <c r="K2343" s="131"/>
      <c r="L2343" s="131"/>
      <c r="U2343" s="131"/>
      <c r="V2343" s="131"/>
      <c r="W2343" s="131"/>
      <c r="X2343" s="131"/>
    </row>
    <row r="2344" spans="9:24" x14ac:dyDescent="0.25">
      <c r="I2344" s="131"/>
      <c r="J2344" s="131"/>
      <c r="K2344" s="131"/>
      <c r="L2344" s="131"/>
      <c r="U2344" s="131"/>
      <c r="V2344" s="131"/>
      <c r="W2344" s="131"/>
      <c r="X2344" s="131"/>
    </row>
    <row r="2345" spans="9:24" x14ac:dyDescent="0.25">
      <c r="I2345" s="131"/>
      <c r="J2345" s="131"/>
      <c r="K2345" s="131"/>
      <c r="L2345" s="131"/>
      <c r="U2345" s="131"/>
      <c r="V2345" s="131"/>
      <c r="W2345" s="131"/>
      <c r="X2345" s="131"/>
    </row>
    <row r="2346" spans="9:24" x14ac:dyDescent="0.25">
      <c r="I2346" s="131"/>
      <c r="J2346" s="131"/>
      <c r="K2346" s="131"/>
      <c r="L2346" s="131"/>
      <c r="U2346" s="131"/>
      <c r="V2346" s="131"/>
      <c r="W2346" s="131"/>
      <c r="X2346" s="131"/>
    </row>
    <row r="2347" spans="9:24" x14ac:dyDescent="0.25">
      <c r="I2347" s="131"/>
      <c r="J2347" s="131"/>
      <c r="K2347" s="131"/>
      <c r="L2347" s="131"/>
      <c r="U2347" s="131"/>
      <c r="V2347" s="131"/>
      <c r="W2347" s="131"/>
      <c r="X2347" s="131"/>
    </row>
    <row r="2348" spans="9:24" x14ac:dyDescent="0.25">
      <c r="I2348" s="131"/>
      <c r="J2348" s="131"/>
      <c r="K2348" s="131"/>
      <c r="L2348" s="131"/>
      <c r="U2348" s="131"/>
      <c r="V2348" s="131"/>
      <c r="W2348" s="131"/>
      <c r="X2348" s="131"/>
    </row>
    <row r="2349" spans="9:24" x14ac:dyDescent="0.25">
      <c r="I2349" s="131"/>
      <c r="J2349" s="131"/>
      <c r="K2349" s="131"/>
      <c r="L2349" s="131"/>
      <c r="U2349" s="131"/>
      <c r="V2349" s="131"/>
      <c r="W2349" s="131"/>
      <c r="X2349" s="131"/>
    </row>
    <row r="2350" spans="9:24" x14ac:dyDescent="0.25">
      <c r="I2350" s="131"/>
      <c r="J2350" s="131"/>
      <c r="K2350" s="131"/>
      <c r="L2350" s="131"/>
      <c r="U2350" s="131"/>
      <c r="V2350" s="131"/>
      <c r="W2350" s="131"/>
      <c r="X2350" s="131"/>
    </row>
    <row r="2351" spans="9:24" x14ac:dyDescent="0.25">
      <c r="I2351" s="131"/>
      <c r="J2351" s="131"/>
      <c r="K2351" s="131"/>
      <c r="L2351" s="131"/>
      <c r="U2351" s="131"/>
      <c r="V2351" s="131"/>
      <c r="W2351" s="131"/>
      <c r="X2351" s="131"/>
    </row>
    <row r="2352" spans="9:24" x14ac:dyDescent="0.25">
      <c r="I2352" s="131"/>
      <c r="J2352" s="131"/>
      <c r="K2352" s="131"/>
      <c r="L2352" s="131"/>
      <c r="U2352" s="131"/>
      <c r="V2352" s="131"/>
      <c r="W2352" s="131"/>
      <c r="X2352" s="131"/>
    </row>
    <row r="2353" spans="9:24" x14ac:dyDescent="0.25">
      <c r="I2353" s="131"/>
      <c r="J2353" s="131"/>
      <c r="K2353" s="131"/>
      <c r="L2353" s="131"/>
      <c r="U2353" s="131"/>
      <c r="V2353" s="131"/>
      <c r="W2353" s="131"/>
      <c r="X2353" s="131"/>
    </row>
    <row r="2354" spans="9:24" x14ac:dyDescent="0.25">
      <c r="I2354" s="131"/>
      <c r="J2354" s="131"/>
      <c r="K2354" s="131"/>
      <c r="L2354" s="131"/>
      <c r="U2354" s="131"/>
      <c r="V2354" s="131"/>
      <c r="W2354" s="131"/>
      <c r="X2354" s="131"/>
    </row>
    <row r="2355" spans="9:24" x14ac:dyDescent="0.25">
      <c r="I2355" s="131"/>
      <c r="J2355" s="131"/>
      <c r="K2355" s="131"/>
      <c r="L2355" s="131"/>
      <c r="U2355" s="131"/>
      <c r="V2355" s="131"/>
      <c r="W2355" s="131"/>
      <c r="X2355" s="131"/>
    </row>
    <row r="2356" spans="9:24" x14ac:dyDescent="0.25">
      <c r="I2356" s="131"/>
      <c r="J2356" s="131"/>
      <c r="K2356" s="131"/>
      <c r="L2356" s="131"/>
      <c r="U2356" s="131"/>
      <c r="V2356" s="131"/>
      <c r="W2356" s="131"/>
      <c r="X2356" s="131"/>
    </row>
    <row r="2357" spans="9:24" x14ac:dyDescent="0.25">
      <c r="I2357" s="131"/>
      <c r="J2357" s="131"/>
      <c r="K2357" s="131"/>
      <c r="L2357" s="131"/>
      <c r="U2357" s="131"/>
      <c r="V2357" s="131"/>
      <c r="W2357" s="131"/>
      <c r="X2357" s="131"/>
    </row>
    <row r="2358" spans="9:24" x14ac:dyDescent="0.25">
      <c r="I2358" s="131"/>
      <c r="J2358" s="131"/>
      <c r="K2358" s="131"/>
      <c r="L2358" s="131"/>
      <c r="U2358" s="131"/>
      <c r="V2358" s="131"/>
      <c r="W2358" s="131"/>
      <c r="X2358" s="131"/>
    </row>
    <row r="2359" spans="9:24" x14ac:dyDescent="0.25">
      <c r="I2359" s="131"/>
      <c r="J2359" s="131"/>
      <c r="K2359" s="131"/>
      <c r="L2359" s="131"/>
      <c r="U2359" s="131"/>
      <c r="V2359" s="131"/>
      <c r="W2359" s="131"/>
      <c r="X2359" s="131"/>
    </row>
    <row r="2360" spans="9:24" x14ac:dyDescent="0.25">
      <c r="I2360" s="131"/>
      <c r="J2360" s="131"/>
      <c r="K2360" s="131"/>
      <c r="L2360" s="131"/>
      <c r="U2360" s="131"/>
      <c r="V2360" s="131"/>
      <c r="W2360" s="131"/>
      <c r="X2360" s="131"/>
    </row>
    <row r="2361" spans="9:24" x14ac:dyDescent="0.25">
      <c r="I2361" s="131"/>
      <c r="J2361" s="131"/>
      <c r="K2361" s="131"/>
      <c r="L2361" s="131"/>
      <c r="U2361" s="131"/>
      <c r="V2361" s="131"/>
      <c r="W2361" s="131"/>
      <c r="X2361" s="131"/>
    </row>
    <row r="2362" spans="9:24" x14ac:dyDescent="0.25">
      <c r="I2362" s="131"/>
      <c r="J2362" s="131"/>
      <c r="K2362" s="131"/>
      <c r="L2362" s="131"/>
      <c r="U2362" s="131"/>
      <c r="V2362" s="131"/>
      <c r="W2362" s="131"/>
      <c r="X2362" s="131"/>
    </row>
    <row r="2363" spans="9:24" x14ac:dyDescent="0.25">
      <c r="I2363" s="131"/>
      <c r="J2363" s="131"/>
      <c r="K2363" s="131"/>
      <c r="L2363" s="131"/>
      <c r="U2363" s="131"/>
      <c r="V2363" s="131"/>
      <c r="W2363" s="131"/>
      <c r="X2363" s="131"/>
    </row>
    <row r="2364" spans="9:24" x14ac:dyDescent="0.25">
      <c r="I2364" s="131"/>
      <c r="J2364" s="131"/>
      <c r="K2364" s="131"/>
      <c r="L2364" s="131"/>
      <c r="U2364" s="131"/>
      <c r="V2364" s="131"/>
      <c r="W2364" s="131"/>
      <c r="X2364" s="131"/>
    </row>
    <row r="2365" spans="9:24" x14ac:dyDescent="0.25">
      <c r="I2365" s="131"/>
      <c r="J2365" s="131"/>
      <c r="K2365" s="131"/>
      <c r="L2365" s="131"/>
      <c r="U2365" s="131"/>
      <c r="V2365" s="131"/>
      <c r="W2365" s="131"/>
      <c r="X2365" s="131"/>
    </row>
    <row r="2366" spans="9:24" x14ac:dyDescent="0.25">
      <c r="I2366" s="131"/>
      <c r="J2366" s="131"/>
      <c r="K2366" s="131"/>
      <c r="L2366" s="131"/>
      <c r="U2366" s="131"/>
      <c r="V2366" s="131"/>
      <c r="W2366" s="131"/>
      <c r="X2366" s="131"/>
    </row>
    <row r="2367" spans="9:24" x14ac:dyDescent="0.25">
      <c r="I2367" s="131"/>
      <c r="J2367" s="131"/>
      <c r="K2367" s="131"/>
      <c r="L2367" s="131"/>
      <c r="U2367" s="131"/>
      <c r="V2367" s="131"/>
      <c r="W2367" s="131"/>
      <c r="X2367" s="131"/>
    </row>
    <row r="2368" spans="9:24" x14ac:dyDescent="0.25">
      <c r="I2368" s="131"/>
      <c r="J2368" s="131"/>
      <c r="K2368" s="131"/>
      <c r="L2368" s="131"/>
      <c r="U2368" s="131"/>
      <c r="V2368" s="131"/>
      <c r="W2368" s="131"/>
      <c r="X2368" s="131"/>
    </row>
    <row r="2369" spans="9:24" x14ac:dyDescent="0.25">
      <c r="I2369" s="131"/>
      <c r="J2369" s="131"/>
      <c r="K2369" s="131"/>
      <c r="L2369" s="131"/>
      <c r="U2369" s="131"/>
      <c r="V2369" s="131"/>
      <c r="W2369" s="131"/>
      <c r="X2369" s="131"/>
    </row>
    <row r="2370" spans="9:24" x14ac:dyDescent="0.25">
      <c r="I2370" s="131"/>
      <c r="J2370" s="131"/>
      <c r="K2370" s="131"/>
      <c r="L2370" s="131"/>
      <c r="U2370" s="131"/>
      <c r="V2370" s="131"/>
      <c r="W2370" s="131"/>
      <c r="X2370" s="131"/>
    </row>
    <row r="2371" spans="9:24" x14ac:dyDescent="0.25">
      <c r="I2371" s="131"/>
      <c r="J2371" s="131"/>
      <c r="K2371" s="131"/>
      <c r="L2371" s="131"/>
      <c r="U2371" s="131"/>
      <c r="V2371" s="131"/>
      <c r="W2371" s="131"/>
      <c r="X2371" s="131"/>
    </row>
    <row r="2372" spans="9:24" x14ac:dyDescent="0.25">
      <c r="I2372" s="131"/>
      <c r="J2372" s="131"/>
      <c r="K2372" s="131"/>
      <c r="L2372" s="131"/>
      <c r="U2372" s="131"/>
      <c r="V2372" s="131"/>
      <c r="W2372" s="131"/>
      <c r="X2372" s="131"/>
    </row>
    <row r="2373" spans="9:24" x14ac:dyDescent="0.25">
      <c r="I2373" s="131"/>
      <c r="J2373" s="131"/>
      <c r="K2373" s="131"/>
      <c r="L2373" s="131"/>
      <c r="U2373" s="131"/>
      <c r="V2373" s="131"/>
      <c r="W2373" s="131"/>
      <c r="X2373" s="131"/>
    </row>
    <row r="2374" spans="9:24" x14ac:dyDescent="0.25">
      <c r="I2374" s="131"/>
      <c r="J2374" s="131"/>
      <c r="K2374" s="131"/>
      <c r="L2374" s="131"/>
      <c r="U2374" s="131"/>
      <c r="V2374" s="131"/>
      <c r="W2374" s="131"/>
      <c r="X2374" s="131"/>
    </row>
    <row r="2375" spans="9:24" x14ac:dyDescent="0.25">
      <c r="I2375" s="131"/>
      <c r="J2375" s="131"/>
      <c r="K2375" s="131"/>
      <c r="L2375" s="131"/>
      <c r="U2375" s="131"/>
      <c r="V2375" s="131"/>
      <c r="W2375" s="131"/>
      <c r="X2375" s="131"/>
    </row>
    <row r="2376" spans="9:24" x14ac:dyDescent="0.25">
      <c r="I2376" s="131"/>
      <c r="J2376" s="131"/>
      <c r="K2376" s="131"/>
      <c r="L2376" s="131"/>
      <c r="U2376" s="131"/>
      <c r="V2376" s="131"/>
      <c r="W2376" s="131"/>
      <c r="X2376" s="131"/>
    </row>
    <row r="2377" spans="9:24" x14ac:dyDescent="0.25">
      <c r="I2377" s="131"/>
      <c r="J2377" s="131"/>
      <c r="K2377" s="131"/>
      <c r="L2377" s="131"/>
      <c r="U2377" s="131"/>
      <c r="V2377" s="131"/>
      <c r="W2377" s="131"/>
      <c r="X2377" s="131"/>
    </row>
    <row r="2378" spans="9:24" x14ac:dyDescent="0.25">
      <c r="I2378" s="131"/>
      <c r="J2378" s="131"/>
      <c r="K2378" s="131"/>
      <c r="L2378" s="131"/>
      <c r="U2378" s="131"/>
      <c r="V2378" s="131"/>
      <c r="W2378" s="131"/>
      <c r="X2378" s="131"/>
    </row>
    <row r="2379" spans="9:24" x14ac:dyDescent="0.25">
      <c r="I2379" s="131"/>
      <c r="J2379" s="131"/>
      <c r="K2379" s="131"/>
      <c r="L2379" s="131"/>
      <c r="U2379" s="131"/>
      <c r="V2379" s="131"/>
      <c r="W2379" s="131"/>
      <c r="X2379" s="131"/>
    </row>
    <row r="2380" spans="9:24" x14ac:dyDescent="0.25">
      <c r="I2380" s="131"/>
      <c r="J2380" s="131"/>
      <c r="K2380" s="131"/>
      <c r="L2380" s="131"/>
      <c r="U2380" s="131"/>
      <c r="V2380" s="131"/>
      <c r="W2380" s="131"/>
      <c r="X2380" s="131"/>
    </row>
    <row r="2381" spans="9:24" x14ac:dyDescent="0.25">
      <c r="I2381" s="131"/>
      <c r="J2381" s="131"/>
      <c r="K2381" s="131"/>
      <c r="L2381" s="131"/>
      <c r="U2381" s="131"/>
      <c r="V2381" s="131"/>
      <c r="W2381" s="131"/>
      <c r="X2381" s="131"/>
    </row>
    <row r="2382" spans="9:24" x14ac:dyDescent="0.25">
      <c r="I2382" s="131"/>
      <c r="J2382" s="131"/>
      <c r="K2382" s="131"/>
      <c r="L2382" s="131"/>
      <c r="U2382" s="131"/>
      <c r="V2382" s="131"/>
      <c r="W2382" s="131"/>
      <c r="X2382" s="131"/>
    </row>
    <row r="2383" spans="9:24" x14ac:dyDescent="0.25">
      <c r="I2383" s="131"/>
      <c r="J2383" s="131"/>
      <c r="K2383" s="131"/>
      <c r="L2383" s="131"/>
      <c r="U2383" s="131"/>
      <c r="V2383" s="131"/>
      <c r="W2383" s="131"/>
      <c r="X2383" s="131"/>
    </row>
    <row r="2384" spans="9:24" x14ac:dyDescent="0.25">
      <c r="I2384" s="131"/>
      <c r="J2384" s="131"/>
      <c r="K2384" s="131"/>
      <c r="L2384" s="131"/>
      <c r="U2384" s="131"/>
      <c r="V2384" s="131"/>
      <c r="W2384" s="131"/>
      <c r="X2384" s="131"/>
    </row>
    <row r="2385" spans="9:24" x14ac:dyDescent="0.25">
      <c r="I2385" s="131"/>
      <c r="J2385" s="131"/>
      <c r="K2385" s="131"/>
      <c r="L2385" s="131"/>
      <c r="U2385" s="131"/>
      <c r="V2385" s="131"/>
      <c r="W2385" s="131"/>
      <c r="X2385" s="131"/>
    </row>
    <row r="2386" spans="9:24" x14ac:dyDescent="0.25">
      <c r="I2386" s="131"/>
      <c r="J2386" s="131"/>
      <c r="K2386" s="131"/>
      <c r="L2386" s="131"/>
      <c r="U2386" s="131"/>
      <c r="V2386" s="131"/>
      <c r="W2386" s="131"/>
      <c r="X2386" s="131"/>
    </row>
    <row r="2387" spans="9:24" x14ac:dyDescent="0.25">
      <c r="I2387" s="131"/>
      <c r="J2387" s="131"/>
      <c r="K2387" s="131"/>
      <c r="L2387" s="131"/>
      <c r="U2387" s="131"/>
      <c r="V2387" s="131"/>
      <c r="W2387" s="131"/>
      <c r="X2387" s="131"/>
    </row>
    <row r="2388" spans="9:24" x14ac:dyDescent="0.25">
      <c r="I2388" s="131"/>
      <c r="J2388" s="131"/>
      <c r="K2388" s="131"/>
      <c r="L2388" s="131"/>
      <c r="U2388" s="131"/>
      <c r="V2388" s="131"/>
      <c r="W2388" s="131"/>
      <c r="X2388" s="131"/>
    </row>
    <row r="2389" spans="9:24" x14ac:dyDescent="0.25">
      <c r="I2389" s="131"/>
      <c r="J2389" s="131"/>
      <c r="K2389" s="131"/>
      <c r="L2389" s="131"/>
      <c r="U2389" s="131"/>
      <c r="V2389" s="131"/>
      <c r="W2389" s="131"/>
      <c r="X2389" s="131"/>
    </row>
    <row r="2390" spans="9:24" x14ac:dyDescent="0.25">
      <c r="I2390" s="131"/>
      <c r="J2390" s="131"/>
      <c r="K2390" s="131"/>
      <c r="L2390" s="131"/>
      <c r="U2390" s="131"/>
      <c r="V2390" s="131"/>
      <c r="W2390" s="131"/>
      <c r="X2390" s="131"/>
    </row>
    <row r="2391" spans="9:24" x14ac:dyDescent="0.25">
      <c r="I2391" s="131"/>
      <c r="J2391" s="131"/>
      <c r="K2391" s="131"/>
      <c r="L2391" s="131"/>
      <c r="U2391" s="131"/>
      <c r="V2391" s="131"/>
      <c r="W2391" s="131"/>
      <c r="X2391" s="131"/>
    </row>
    <row r="2392" spans="9:24" x14ac:dyDescent="0.25">
      <c r="I2392" s="131"/>
      <c r="J2392" s="131"/>
      <c r="K2392" s="131"/>
      <c r="L2392" s="131"/>
      <c r="U2392" s="131"/>
      <c r="V2392" s="131"/>
      <c r="W2392" s="131"/>
      <c r="X2392" s="131"/>
    </row>
    <row r="2393" spans="9:24" x14ac:dyDescent="0.25">
      <c r="I2393" s="131"/>
      <c r="J2393" s="131"/>
      <c r="K2393" s="131"/>
      <c r="L2393" s="131"/>
      <c r="U2393" s="131"/>
      <c r="V2393" s="131"/>
      <c r="W2393" s="131"/>
      <c r="X2393" s="131"/>
    </row>
    <row r="2394" spans="9:24" x14ac:dyDescent="0.25">
      <c r="I2394" s="131"/>
      <c r="J2394" s="131"/>
      <c r="K2394" s="131"/>
      <c r="L2394" s="131"/>
      <c r="U2394" s="131"/>
      <c r="V2394" s="131"/>
      <c r="W2394" s="131"/>
      <c r="X2394" s="131"/>
    </row>
    <row r="2395" spans="9:24" x14ac:dyDescent="0.25">
      <c r="I2395" s="131"/>
      <c r="J2395" s="131"/>
      <c r="K2395" s="131"/>
      <c r="L2395" s="131"/>
      <c r="U2395" s="131"/>
      <c r="V2395" s="131"/>
      <c r="W2395" s="131"/>
      <c r="X2395" s="131"/>
    </row>
    <row r="2396" spans="9:24" x14ac:dyDescent="0.25">
      <c r="I2396" s="131"/>
      <c r="J2396" s="131"/>
      <c r="K2396" s="131"/>
      <c r="L2396" s="131"/>
      <c r="U2396" s="131"/>
      <c r="V2396" s="131"/>
      <c r="W2396" s="131"/>
      <c r="X2396" s="131"/>
    </row>
    <row r="2397" spans="9:24" x14ac:dyDescent="0.25">
      <c r="I2397" s="131"/>
      <c r="J2397" s="131"/>
      <c r="K2397" s="131"/>
      <c r="L2397" s="131"/>
      <c r="U2397" s="131"/>
      <c r="V2397" s="131"/>
      <c r="W2397" s="131"/>
      <c r="X2397" s="131"/>
    </row>
    <row r="2398" spans="9:24" x14ac:dyDescent="0.25">
      <c r="I2398" s="131"/>
      <c r="J2398" s="131"/>
      <c r="K2398" s="131"/>
      <c r="L2398" s="131"/>
      <c r="U2398" s="131"/>
      <c r="V2398" s="131"/>
      <c r="W2398" s="131"/>
      <c r="X2398" s="131"/>
    </row>
    <row r="2399" spans="9:24" x14ac:dyDescent="0.25">
      <c r="I2399" s="131"/>
      <c r="J2399" s="131"/>
      <c r="K2399" s="131"/>
      <c r="L2399" s="131"/>
      <c r="U2399" s="131"/>
      <c r="V2399" s="131"/>
      <c r="W2399" s="131"/>
      <c r="X2399" s="131"/>
    </row>
    <row r="2400" spans="9:24" x14ac:dyDescent="0.25">
      <c r="I2400" s="131"/>
      <c r="J2400" s="131"/>
      <c r="K2400" s="131"/>
      <c r="L2400" s="131"/>
      <c r="U2400" s="131"/>
      <c r="V2400" s="131"/>
      <c r="W2400" s="131"/>
      <c r="X2400" s="131"/>
    </row>
    <row r="2401" spans="9:24" x14ac:dyDescent="0.25">
      <c r="I2401" s="131"/>
      <c r="J2401" s="131"/>
      <c r="K2401" s="131"/>
      <c r="L2401" s="131"/>
      <c r="U2401" s="131"/>
      <c r="V2401" s="131"/>
      <c r="W2401" s="131"/>
      <c r="X2401" s="131"/>
    </row>
    <row r="2402" spans="9:24" x14ac:dyDescent="0.25">
      <c r="I2402" s="131"/>
      <c r="J2402" s="131"/>
      <c r="K2402" s="131"/>
      <c r="L2402" s="131"/>
      <c r="U2402" s="131"/>
      <c r="V2402" s="131"/>
      <c r="W2402" s="131"/>
      <c r="X2402" s="131"/>
    </row>
    <row r="2403" spans="9:24" x14ac:dyDescent="0.25">
      <c r="I2403" s="131"/>
      <c r="J2403" s="131"/>
      <c r="K2403" s="131"/>
      <c r="L2403" s="131"/>
      <c r="U2403" s="131"/>
      <c r="V2403" s="131"/>
      <c r="W2403" s="131"/>
      <c r="X2403" s="131"/>
    </row>
    <row r="2404" spans="9:24" x14ac:dyDescent="0.25">
      <c r="I2404" s="131"/>
      <c r="J2404" s="131"/>
      <c r="K2404" s="131"/>
      <c r="L2404" s="131"/>
      <c r="U2404" s="131"/>
      <c r="V2404" s="131"/>
      <c r="W2404" s="131"/>
      <c r="X2404" s="131"/>
    </row>
    <row r="2405" spans="9:24" x14ac:dyDescent="0.25">
      <c r="I2405" s="131"/>
      <c r="J2405" s="131"/>
      <c r="K2405" s="131"/>
      <c r="L2405" s="131"/>
      <c r="U2405" s="131"/>
      <c r="V2405" s="131"/>
      <c r="W2405" s="131"/>
      <c r="X2405" s="131"/>
    </row>
    <row r="2406" spans="9:24" x14ac:dyDescent="0.25">
      <c r="I2406" s="131"/>
      <c r="J2406" s="131"/>
      <c r="K2406" s="131"/>
      <c r="L2406" s="131"/>
      <c r="U2406" s="131"/>
      <c r="V2406" s="131"/>
      <c r="W2406" s="131"/>
      <c r="X2406" s="131"/>
    </row>
    <row r="2407" spans="9:24" x14ac:dyDescent="0.25">
      <c r="I2407" s="131"/>
      <c r="J2407" s="131"/>
      <c r="K2407" s="131"/>
      <c r="L2407" s="131"/>
      <c r="U2407" s="131"/>
      <c r="V2407" s="131"/>
      <c r="W2407" s="131"/>
      <c r="X2407" s="131"/>
    </row>
    <row r="2408" spans="9:24" x14ac:dyDescent="0.25">
      <c r="I2408" s="131"/>
      <c r="J2408" s="131"/>
      <c r="K2408" s="131"/>
      <c r="L2408" s="131"/>
      <c r="U2408" s="131"/>
      <c r="V2408" s="131"/>
      <c r="W2408" s="131"/>
      <c r="X2408" s="131"/>
    </row>
    <row r="2409" spans="9:24" x14ac:dyDescent="0.25">
      <c r="I2409" s="131"/>
      <c r="J2409" s="131"/>
      <c r="K2409" s="131"/>
      <c r="L2409" s="131"/>
      <c r="U2409" s="131"/>
      <c r="V2409" s="131"/>
      <c r="W2409" s="131"/>
      <c r="X2409" s="131"/>
    </row>
    <row r="2410" spans="9:24" x14ac:dyDescent="0.25">
      <c r="I2410" s="131"/>
      <c r="J2410" s="131"/>
      <c r="K2410" s="131"/>
      <c r="L2410" s="131"/>
      <c r="U2410" s="131"/>
      <c r="V2410" s="131"/>
      <c r="W2410" s="131"/>
      <c r="X2410" s="131"/>
    </row>
    <row r="2411" spans="9:24" x14ac:dyDescent="0.25">
      <c r="I2411" s="131"/>
      <c r="J2411" s="131"/>
      <c r="K2411" s="131"/>
      <c r="L2411" s="131"/>
      <c r="U2411" s="131"/>
      <c r="V2411" s="131"/>
      <c r="W2411" s="131"/>
      <c r="X2411" s="131"/>
    </row>
    <row r="2412" spans="9:24" x14ac:dyDescent="0.25">
      <c r="I2412" s="131"/>
      <c r="J2412" s="131"/>
      <c r="K2412" s="131"/>
      <c r="L2412" s="131"/>
      <c r="U2412" s="131"/>
      <c r="V2412" s="131"/>
      <c r="W2412" s="131"/>
      <c r="X2412" s="131"/>
    </row>
    <row r="2413" spans="9:24" x14ac:dyDescent="0.25">
      <c r="I2413" s="131"/>
      <c r="J2413" s="131"/>
      <c r="K2413" s="131"/>
      <c r="L2413" s="131"/>
      <c r="U2413" s="131"/>
      <c r="V2413" s="131"/>
      <c r="W2413" s="131"/>
      <c r="X2413" s="131"/>
    </row>
    <row r="2414" spans="9:24" x14ac:dyDescent="0.25">
      <c r="I2414" s="131"/>
      <c r="J2414" s="131"/>
      <c r="K2414" s="131"/>
      <c r="L2414" s="131"/>
      <c r="U2414" s="131"/>
      <c r="V2414" s="131"/>
      <c r="W2414" s="131"/>
      <c r="X2414" s="131"/>
    </row>
    <row r="2415" spans="9:24" x14ac:dyDescent="0.25">
      <c r="I2415" s="131"/>
      <c r="J2415" s="131"/>
      <c r="K2415" s="131"/>
      <c r="L2415" s="131"/>
      <c r="U2415" s="131"/>
      <c r="V2415" s="131"/>
      <c r="W2415" s="131"/>
      <c r="X2415" s="131"/>
    </row>
    <row r="2416" spans="9:24" x14ac:dyDescent="0.25">
      <c r="I2416" s="131"/>
      <c r="J2416" s="131"/>
      <c r="K2416" s="131"/>
      <c r="L2416" s="131"/>
      <c r="U2416" s="131"/>
      <c r="V2416" s="131"/>
      <c r="W2416" s="131"/>
      <c r="X2416" s="131"/>
    </row>
    <row r="2417" spans="9:24" x14ac:dyDescent="0.25">
      <c r="I2417" s="131"/>
      <c r="J2417" s="131"/>
      <c r="K2417" s="131"/>
      <c r="L2417" s="131"/>
      <c r="U2417" s="131"/>
      <c r="V2417" s="131"/>
      <c r="W2417" s="131"/>
      <c r="X2417" s="131"/>
    </row>
    <row r="2418" spans="9:24" x14ac:dyDescent="0.25">
      <c r="I2418" s="131"/>
      <c r="J2418" s="131"/>
      <c r="K2418" s="131"/>
      <c r="L2418" s="131"/>
      <c r="U2418" s="131"/>
      <c r="V2418" s="131"/>
      <c r="W2418" s="131"/>
      <c r="X2418" s="131"/>
    </row>
    <row r="2419" spans="9:24" x14ac:dyDescent="0.25">
      <c r="I2419" s="131"/>
      <c r="J2419" s="131"/>
      <c r="K2419" s="131"/>
      <c r="L2419" s="131"/>
      <c r="U2419" s="131"/>
      <c r="V2419" s="131"/>
      <c r="W2419" s="131"/>
      <c r="X2419" s="131"/>
    </row>
    <row r="2420" spans="9:24" x14ac:dyDescent="0.25">
      <c r="I2420" s="131"/>
      <c r="J2420" s="131"/>
      <c r="K2420" s="131"/>
      <c r="L2420" s="131"/>
      <c r="U2420" s="131"/>
      <c r="V2420" s="131"/>
      <c r="W2420" s="131"/>
      <c r="X2420" s="131"/>
    </row>
    <row r="2421" spans="9:24" x14ac:dyDescent="0.25">
      <c r="I2421" s="131"/>
      <c r="J2421" s="131"/>
      <c r="K2421" s="131"/>
      <c r="L2421" s="131"/>
      <c r="U2421" s="131"/>
      <c r="V2421" s="131"/>
      <c r="W2421" s="131"/>
      <c r="X2421" s="131"/>
    </row>
    <row r="2422" spans="9:24" x14ac:dyDescent="0.25">
      <c r="I2422" s="131"/>
      <c r="J2422" s="131"/>
      <c r="K2422" s="131"/>
      <c r="L2422" s="131"/>
      <c r="U2422" s="131"/>
      <c r="V2422" s="131"/>
      <c r="W2422" s="131"/>
      <c r="X2422" s="131"/>
    </row>
    <row r="2423" spans="9:24" x14ac:dyDescent="0.25">
      <c r="I2423" s="131"/>
      <c r="J2423" s="131"/>
      <c r="K2423" s="131"/>
      <c r="L2423" s="131"/>
      <c r="U2423" s="131"/>
      <c r="V2423" s="131"/>
      <c r="W2423" s="131"/>
      <c r="X2423" s="131"/>
    </row>
    <row r="2424" spans="9:24" x14ac:dyDescent="0.25">
      <c r="I2424" s="131"/>
      <c r="J2424" s="131"/>
      <c r="K2424" s="131"/>
      <c r="L2424" s="131"/>
      <c r="U2424" s="131"/>
      <c r="V2424" s="131"/>
      <c r="W2424" s="131"/>
      <c r="X2424" s="131"/>
    </row>
    <row r="2425" spans="9:24" x14ac:dyDescent="0.25">
      <c r="I2425" s="131"/>
      <c r="J2425" s="131"/>
      <c r="K2425" s="131"/>
      <c r="L2425" s="131"/>
      <c r="U2425" s="131"/>
      <c r="V2425" s="131"/>
      <c r="W2425" s="131"/>
      <c r="X2425" s="131"/>
    </row>
    <row r="2426" spans="9:24" x14ac:dyDescent="0.25">
      <c r="I2426" s="131"/>
      <c r="J2426" s="131"/>
      <c r="K2426" s="131"/>
      <c r="L2426" s="131"/>
      <c r="U2426" s="131"/>
      <c r="V2426" s="131"/>
      <c r="W2426" s="131"/>
      <c r="X2426" s="131"/>
    </row>
    <row r="2427" spans="9:24" x14ac:dyDescent="0.25">
      <c r="I2427" s="131"/>
      <c r="J2427" s="131"/>
      <c r="K2427" s="131"/>
      <c r="L2427" s="131"/>
      <c r="U2427" s="131"/>
      <c r="V2427" s="131"/>
      <c r="W2427" s="131"/>
      <c r="X2427" s="131"/>
    </row>
    <row r="2428" spans="9:24" x14ac:dyDescent="0.25">
      <c r="I2428" s="131"/>
      <c r="J2428" s="131"/>
      <c r="K2428" s="131"/>
      <c r="L2428" s="131"/>
      <c r="U2428" s="131"/>
      <c r="V2428" s="131"/>
      <c r="W2428" s="131"/>
      <c r="X2428" s="131"/>
    </row>
    <row r="2429" spans="9:24" x14ac:dyDescent="0.25">
      <c r="I2429" s="131"/>
      <c r="J2429" s="131"/>
      <c r="K2429" s="131"/>
      <c r="L2429" s="131"/>
      <c r="U2429" s="131"/>
      <c r="V2429" s="131"/>
      <c r="W2429" s="131"/>
      <c r="X2429" s="131"/>
    </row>
    <row r="2430" spans="9:24" x14ac:dyDescent="0.25">
      <c r="I2430" s="131"/>
      <c r="J2430" s="131"/>
      <c r="K2430" s="131"/>
      <c r="L2430" s="131"/>
      <c r="U2430" s="131"/>
      <c r="V2430" s="131"/>
      <c r="W2430" s="131"/>
      <c r="X2430" s="131"/>
    </row>
    <row r="2431" spans="9:24" x14ac:dyDescent="0.25">
      <c r="I2431" s="131"/>
      <c r="J2431" s="131"/>
      <c r="K2431" s="131"/>
      <c r="L2431" s="131"/>
      <c r="U2431" s="131"/>
      <c r="V2431" s="131"/>
      <c r="W2431" s="131"/>
      <c r="X2431" s="131"/>
    </row>
    <row r="2432" spans="9:24" x14ac:dyDescent="0.25">
      <c r="I2432" s="131"/>
      <c r="J2432" s="131"/>
      <c r="K2432" s="131"/>
      <c r="L2432" s="131"/>
      <c r="U2432" s="131"/>
      <c r="V2432" s="131"/>
      <c r="W2432" s="131"/>
      <c r="X2432" s="131"/>
    </row>
    <row r="2433" spans="9:24" x14ac:dyDescent="0.25">
      <c r="I2433" s="131"/>
      <c r="J2433" s="131"/>
      <c r="K2433" s="131"/>
      <c r="L2433" s="131"/>
      <c r="U2433" s="131"/>
      <c r="V2433" s="131"/>
      <c r="W2433" s="131"/>
      <c r="X2433" s="131"/>
    </row>
    <row r="2434" spans="9:24" x14ac:dyDescent="0.25">
      <c r="I2434" s="131"/>
      <c r="J2434" s="131"/>
      <c r="K2434" s="131"/>
      <c r="L2434" s="131"/>
      <c r="U2434" s="131"/>
      <c r="V2434" s="131"/>
      <c r="W2434" s="131"/>
      <c r="X2434" s="131"/>
    </row>
    <row r="2435" spans="9:24" x14ac:dyDescent="0.25">
      <c r="I2435" s="131"/>
      <c r="J2435" s="131"/>
      <c r="K2435" s="131"/>
      <c r="L2435" s="131"/>
      <c r="U2435" s="131"/>
      <c r="V2435" s="131"/>
      <c r="W2435" s="131"/>
      <c r="X2435" s="131"/>
    </row>
    <row r="2436" spans="9:24" x14ac:dyDescent="0.25">
      <c r="I2436" s="131"/>
      <c r="J2436" s="131"/>
      <c r="K2436" s="131"/>
      <c r="L2436" s="131"/>
      <c r="U2436" s="131"/>
      <c r="V2436" s="131"/>
      <c r="W2436" s="131"/>
      <c r="X2436" s="131"/>
    </row>
    <row r="2437" spans="9:24" x14ac:dyDescent="0.25">
      <c r="I2437" s="131"/>
      <c r="J2437" s="131"/>
      <c r="K2437" s="131"/>
      <c r="L2437" s="131"/>
      <c r="U2437" s="131"/>
      <c r="V2437" s="131"/>
      <c r="W2437" s="131"/>
      <c r="X2437" s="131"/>
    </row>
    <row r="2438" spans="9:24" x14ac:dyDescent="0.25">
      <c r="I2438" s="131"/>
      <c r="J2438" s="131"/>
      <c r="K2438" s="131"/>
      <c r="L2438" s="131"/>
      <c r="U2438" s="131"/>
      <c r="V2438" s="131"/>
      <c r="W2438" s="131"/>
      <c r="X2438" s="131"/>
    </row>
    <row r="2439" spans="9:24" x14ac:dyDescent="0.25">
      <c r="I2439" s="131"/>
      <c r="J2439" s="131"/>
      <c r="K2439" s="131"/>
      <c r="L2439" s="131"/>
      <c r="U2439" s="131"/>
      <c r="V2439" s="131"/>
      <c r="W2439" s="131"/>
      <c r="X2439" s="131"/>
    </row>
    <row r="2440" spans="9:24" x14ac:dyDescent="0.25">
      <c r="I2440" s="131"/>
      <c r="J2440" s="131"/>
      <c r="K2440" s="131"/>
      <c r="L2440" s="131"/>
      <c r="U2440" s="131"/>
      <c r="V2440" s="131"/>
      <c r="W2440" s="131"/>
      <c r="X2440" s="131"/>
    </row>
    <row r="2441" spans="9:24" x14ac:dyDescent="0.25">
      <c r="I2441" s="131"/>
      <c r="J2441" s="131"/>
      <c r="K2441" s="131"/>
      <c r="L2441" s="131"/>
      <c r="U2441" s="131"/>
      <c r="V2441" s="131"/>
      <c r="W2441" s="131"/>
      <c r="X2441" s="131"/>
    </row>
    <row r="2442" spans="9:24" x14ac:dyDescent="0.25">
      <c r="I2442" s="131"/>
      <c r="J2442" s="131"/>
      <c r="K2442" s="131"/>
      <c r="L2442" s="131"/>
      <c r="U2442" s="131"/>
      <c r="V2442" s="131"/>
      <c r="W2442" s="131"/>
      <c r="X2442" s="131"/>
    </row>
    <row r="2443" spans="9:24" x14ac:dyDescent="0.25">
      <c r="I2443" s="131"/>
      <c r="J2443" s="131"/>
      <c r="K2443" s="131"/>
      <c r="L2443" s="131"/>
      <c r="U2443" s="131"/>
      <c r="V2443" s="131"/>
      <c r="W2443" s="131"/>
      <c r="X2443" s="131"/>
    </row>
    <row r="2444" spans="9:24" x14ac:dyDescent="0.25">
      <c r="I2444" s="131"/>
      <c r="J2444" s="131"/>
      <c r="K2444" s="131"/>
      <c r="L2444" s="131"/>
      <c r="U2444" s="131"/>
      <c r="V2444" s="131"/>
      <c r="W2444" s="131"/>
      <c r="X2444" s="131"/>
    </row>
    <row r="2445" spans="9:24" x14ac:dyDescent="0.25">
      <c r="I2445" s="131"/>
      <c r="J2445" s="131"/>
      <c r="K2445" s="131"/>
      <c r="L2445" s="131"/>
      <c r="U2445" s="131"/>
      <c r="V2445" s="131"/>
      <c r="W2445" s="131"/>
      <c r="X2445" s="131"/>
    </row>
    <row r="2446" spans="9:24" x14ac:dyDescent="0.25">
      <c r="I2446" s="131"/>
      <c r="J2446" s="131"/>
      <c r="K2446" s="131"/>
      <c r="L2446" s="131"/>
      <c r="U2446" s="131"/>
      <c r="V2446" s="131"/>
      <c r="W2446" s="131"/>
      <c r="X2446" s="131"/>
    </row>
    <row r="2447" spans="9:24" x14ac:dyDescent="0.25">
      <c r="I2447" s="131"/>
      <c r="J2447" s="131"/>
      <c r="K2447" s="131"/>
      <c r="L2447" s="131"/>
      <c r="U2447" s="131"/>
      <c r="V2447" s="131"/>
      <c r="W2447" s="131"/>
      <c r="X2447" s="131"/>
    </row>
    <row r="2448" spans="9:24" x14ac:dyDescent="0.25">
      <c r="I2448" s="131"/>
      <c r="J2448" s="131"/>
      <c r="K2448" s="131"/>
      <c r="L2448" s="131"/>
      <c r="U2448" s="131"/>
      <c r="V2448" s="131"/>
      <c r="W2448" s="131"/>
      <c r="X2448" s="131"/>
    </row>
    <row r="2449" spans="9:24" x14ac:dyDescent="0.25">
      <c r="I2449" s="131"/>
      <c r="J2449" s="131"/>
      <c r="K2449" s="131"/>
      <c r="L2449" s="131"/>
      <c r="U2449" s="131"/>
      <c r="V2449" s="131"/>
      <c r="W2449" s="131"/>
      <c r="X2449" s="131"/>
    </row>
    <row r="2450" spans="9:24" x14ac:dyDescent="0.25">
      <c r="I2450" s="131"/>
      <c r="J2450" s="131"/>
      <c r="K2450" s="131"/>
      <c r="L2450" s="131"/>
      <c r="U2450" s="131"/>
      <c r="V2450" s="131"/>
      <c r="W2450" s="131"/>
      <c r="X2450" s="131"/>
    </row>
    <row r="2451" spans="9:24" x14ac:dyDescent="0.25">
      <c r="I2451" s="131"/>
      <c r="J2451" s="131"/>
      <c r="K2451" s="131"/>
      <c r="L2451" s="131"/>
      <c r="U2451" s="131"/>
      <c r="V2451" s="131"/>
      <c r="W2451" s="131"/>
      <c r="X2451" s="131"/>
    </row>
    <row r="2452" spans="9:24" x14ac:dyDescent="0.25">
      <c r="I2452" s="131"/>
      <c r="J2452" s="131"/>
      <c r="K2452" s="131"/>
      <c r="L2452" s="131"/>
      <c r="U2452" s="131"/>
      <c r="V2452" s="131"/>
      <c r="W2452" s="131"/>
      <c r="X2452" s="131"/>
    </row>
    <row r="2453" spans="9:24" x14ac:dyDescent="0.25">
      <c r="I2453" s="131"/>
      <c r="J2453" s="131"/>
      <c r="K2453" s="131"/>
      <c r="L2453" s="131"/>
      <c r="U2453" s="131"/>
      <c r="V2453" s="131"/>
      <c r="W2453" s="131"/>
      <c r="X2453" s="131"/>
    </row>
    <row r="2454" spans="9:24" x14ac:dyDescent="0.25">
      <c r="I2454" s="131"/>
      <c r="J2454" s="131"/>
      <c r="K2454" s="131"/>
      <c r="L2454" s="131"/>
      <c r="U2454" s="131"/>
      <c r="V2454" s="131"/>
      <c r="W2454" s="131"/>
      <c r="X2454" s="131"/>
    </row>
    <row r="2455" spans="9:24" x14ac:dyDescent="0.25">
      <c r="I2455" s="131"/>
      <c r="J2455" s="131"/>
      <c r="K2455" s="131"/>
      <c r="L2455" s="131"/>
      <c r="U2455" s="131"/>
      <c r="V2455" s="131"/>
      <c r="W2455" s="131"/>
      <c r="X2455" s="131"/>
    </row>
    <row r="2456" spans="9:24" x14ac:dyDescent="0.25">
      <c r="I2456" s="131"/>
      <c r="J2456" s="131"/>
      <c r="K2456" s="131"/>
      <c r="L2456" s="131"/>
      <c r="U2456" s="131"/>
      <c r="V2456" s="131"/>
      <c r="W2456" s="131"/>
      <c r="X2456" s="131"/>
    </row>
    <row r="2457" spans="9:24" x14ac:dyDescent="0.25">
      <c r="I2457" s="131"/>
      <c r="J2457" s="131"/>
      <c r="K2457" s="131"/>
      <c r="L2457" s="131"/>
      <c r="U2457" s="131"/>
      <c r="V2457" s="131"/>
      <c r="W2457" s="131"/>
      <c r="X2457" s="131"/>
    </row>
    <row r="2458" spans="9:24" x14ac:dyDescent="0.25">
      <c r="I2458" s="131"/>
      <c r="J2458" s="131"/>
      <c r="K2458" s="131"/>
      <c r="L2458" s="131"/>
      <c r="U2458" s="131"/>
      <c r="V2458" s="131"/>
      <c r="W2458" s="131"/>
      <c r="X2458" s="131"/>
    </row>
    <row r="2459" spans="9:24" x14ac:dyDescent="0.25">
      <c r="I2459" s="131"/>
      <c r="J2459" s="131"/>
      <c r="K2459" s="131"/>
      <c r="L2459" s="131"/>
      <c r="U2459" s="131"/>
      <c r="V2459" s="131"/>
      <c r="W2459" s="131"/>
      <c r="X2459" s="131"/>
    </row>
    <row r="2460" spans="9:24" x14ac:dyDescent="0.25">
      <c r="I2460" s="131"/>
      <c r="J2460" s="131"/>
      <c r="K2460" s="131"/>
      <c r="L2460" s="131"/>
      <c r="U2460" s="131"/>
      <c r="V2460" s="131"/>
      <c r="W2460" s="131"/>
      <c r="X2460" s="131"/>
    </row>
    <row r="2461" spans="9:24" x14ac:dyDescent="0.25">
      <c r="I2461" s="131"/>
      <c r="J2461" s="131"/>
      <c r="K2461" s="131"/>
      <c r="L2461" s="131"/>
      <c r="U2461" s="131"/>
      <c r="V2461" s="131"/>
      <c r="W2461" s="131"/>
      <c r="X2461" s="131"/>
    </row>
    <row r="2462" spans="9:24" x14ac:dyDescent="0.25">
      <c r="I2462" s="131"/>
      <c r="J2462" s="131"/>
      <c r="K2462" s="131"/>
      <c r="L2462" s="131"/>
      <c r="U2462" s="131"/>
      <c r="V2462" s="131"/>
      <c r="W2462" s="131"/>
      <c r="X2462" s="131"/>
    </row>
    <row r="2463" spans="9:24" x14ac:dyDescent="0.25">
      <c r="I2463" s="131"/>
      <c r="J2463" s="131"/>
      <c r="K2463" s="131"/>
      <c r="L2463" s="131"/>
      <c r="U2463" s="131"/>
      <c r="V2463" s="131"/>
      <c r="W2463" s="131"/>
      <c r="X2463" s="131"/>
    </row>
    <row r="2464" spans="9:24" x14ac:dyDescent="0.25">
      <c r="I2464" s="131"/>
      <c r="J2464" s="131"/>
      <c r="K2464" s="131"/>
      <c r="L2464" s="131"/>
      <c r="U2464" s="131"/>
      <c r="V2464" s="131"/>
      <c r="W2464" s="131"/>
      <c r="X2464" s="131"/>
    </row>
    <row r="2465" spans="9:24" x14ac:dyDescent="0.25">
      <c r="I2465" s="131"/>
      <c r="J2465" s="131"/>
      <c r="K2465" s="131"/>
      <c r="L2465" s="131"/>
      <c r="U2465" s="131"/>
      <c r="V2465" s="131"/>
      <c r="W2465" s="131"/>
      <c r="X2465" s="131"/>
    </row>
    <row r="2466" spans="9:24" x14ac:dyDescent="0.25">
      <c r="I2466" s="131"/>
      <c r="J2466" s="131"/>
      <c r="K2466" s="131"/>
      <c r="L2466" s="131"/>
      <c r="U2466" s="131"/>
      <c r="V2466" s="131"/>
      <c r="W2466" s="131"/>
      <c r="X2466" s="131"/>
    </row>
    <row r="2467" spans="9:24" x14ac:dyDescent="0.25">
      <c r="I2467" s="131"/>
      <c r="J2467" s="131"/>
      <c r="K2467" s="131"/>
      <c r="L2467" s="131"/>
      <c r="U2467" s="131"/>
      <c r="V2467" s="131"/>
      <c r="W2467" s="131"/>
      <c r="X2467" s="131"/>
    </row>
    <row r="2468" spans="9:24" x14ac:dyDescent="0.25">
      <c r="I2468" s="131"/>
      <c r="J2468" s="131"/>
      <c r="K2468" s="131"/>
      <c r="L2468" s="131"/>
      <c r="U2468" s="131"/>
      <c r="V2468" s="131"/>
      <c r="W2468" s="131"/>
      <c r="X2468" s="131"/>
    </row>
    <row r="2469" spans="9:24" x14ac:dyDescent="0.25">
      <c r="I2469" s="131"/>
      <c r="J2469" s="131"/>
      <c r="K2469" s="131"/>
      <c r="L2469" s="131"/>
      <c r="U2469" s="131"/>
      <c r="V2469" s="131"/>
      <c r="W2469" s="131"/>
      <c r="X2469" s="131"/>
    </row>
    <row r="2470" spans="9:24" x14ac:dyDescent="0.25">
      <c r="I2470" s="131"/>
      <c r="J2470" s="131"/>
      <c r="K2470" s="131"/>
      <c r="L2470" s="131"/>
      <c r="U2470" s="131"/>
      <c r="V2470" s="131"/>
      <c r="W2470" s="131"/>
      <c r="X2470" s="131"/>
    </row>
    <row r="2471" spans="9:24" x14ac:dyDescent="0.25">
      <c r="I2471" s="131"/>
      <c r="J2471" s="131"/>
      <c r="K2471" s="131"/>
      <c r="L2471" s="131"/>
      <c r="U2471" s="131"/>
      <c r="V2471" s="131"/>
      <c r="W2471" s="131"/>
      <c r="X2471" s="131"/>
    </row>
    <row r="2472" spans="9:24" x14ac:dyDescent="0.25">
      <c r="I2472" s="131"/>
      <c r="J2472" s="131"/>
      <c r="K2472" s="131"/>
      <c r="L2472" s="131"/>
      <c r="U2472" s="131"/>
      <c r="V2472" s="131"/>
      <c r="W2472" s="131"/>
      <c r="X2472" s="131"/>
    </row>
    <row r="2473" spans="9:24" x14ac:dyDescent="0.25">
      <c r="I2473" s="131"/>
      <c r="J2473" s="131"/>
      <c r="K2473" s="131"/>
      <c r="L2473" s="131"/>
      <c r="U2473" s="131"/>
      <c r="V2473" s="131"/>
      <c r="W2473" s="131"/>
      <c r="X2473" s="131"/>
    </row>
    <row r="2474" spans="9:24" x14ac:dyDescent="0.25">
      <c r="I2474" s="131"/>
      <c r="J2474" s="131"/>
      <c r="K2474" s="131"/>
      <c r="L2474" s="131"/>
      <c r="U2474" s="131"/>
      <c r="V2474" s="131"/>
      <c r="W2474" s="131"/>
      <c r="X2474" s="131"/>
    </row>
    <row r="2475" spans="9:24" x14ac:dyDescent="0.25">
      <c r="I2475" s="131"/>
      <c r="J2475" s="131"/>
      <c r="K2475" s="131"/>
      <c r="L2475" s="131"/>
      <c r="U2475" s="131"/>
      <c r="V2475" s="131"/>
      <c r="W2475" s="131"/>
      <c r="X2475" s="131"/>
    </row>
    <row r="2476" spans="9:24" x14ac:dyDescent="0.25">
      <c r="I2476" s="131"/>
      <c r="J2476" s="131"/>
      <c r="K2476" s="131"/>
      <c r="L2476" s="131"/>
      <c r="U2476" s="131"/>
      <c r="V2476" s="131"/>
      <c r="W2476" s="131"/>
      <c r="X2476" s="131"/>
    </row>
    <row r="2477" spans="9:24" x14ac:dyDescent="0.25">
      <c r="I2477" s="131"/>
      <c r="J2477" s="131"/>
      <c r="K2477" s="131"/>
      <c r="L2477" s="131"/>
      <c r="U2477" s="131"/>
      <c r="V2477" s="131"/>
      <c r="W2477" s="131"/>
      <c r="X2477" s="131"/>
    </row>
    <row r="2478" spans="9:24" x14ac:dyDescent="0.25">
      <c r="I2478" s="131"/>
      <c r="J2478" s="131"/>
      <c r="K2478" s="131"/>
      <c r="L2478" s="131"/>
      <c r="U2478" s="131"/>
      <c r="V2478" s="131"/>
      <c r="W2478" s="131"/>
      <c r="X2478" s="131"/>
    </row>
    <row r="2479" spans="9:24" x14ac:dyDescent="0.25">
      <c r="I2479" s="131"/>
      <c r="J2479" s="131"/>
      <c r="K2479" s="131"/>
      <c r="L2479" s="131"/>
      <c r="U2479" s="131"/>
      <c r="V2479" s="131"/>
      <c r="W2479" s="131"/>
      <c r="X2479" s="131"/>
    </row>
    <row r="2480" spans="9:24" x14ac:dyDescent="0.25">
      <c r="I2480" s="131"/>
      <c r="J2480" s="131"/>
      <c r="K2480" s="131"/>
      <c r="L2480" s="131"/>
      <c r="U2480" s="131"/>
      <c r="V2480" s="131"/>
      <c r="W2480" s="131"/>
      <c r="X2480" s="131"/>
    </row>
    <row r="2481" spans="9:24" x14ac:dyDescent="0.25">
      <c r="I2481" s="131"/>
      <c r="J2481" s="131"/>
      <c r="K2481" s="131"/>
      <c r="L2481" s="131"/>
      <c r="U2481" s="131"/>
      <c r="V2481" s="131"/>
      <c r="W2481" s="131"/>
      <c r="X2481" s="131"/>
    </row>
    <row r="2482" spans="9:24" x14ac:dyDescent="0.25">
      <c r="I2482" s="131"/>
      <c r="J2482" s="131"/>
      <c r="K2482" s="131"/>
      <c r="L2482" s="131"/>
      <c r="U2482" s="131"/>
      <c r="V2482" s="131"/>
      <c r="W2482" s="131"/>
      <c r="X2482" s="131"/>
    </row>
    <row r="2483" spans="9:24" x14ac:dyDescent="0.25">
      <c r="I2483" s="131"/>
      <c r="J2483" s="131"/>
      <c r="K2483" s="131"/>
      <c r="L2483" s="131"/>
      <c r="U2483" s="131"/>
      <c r="V2483" s="131"/>
      <c r="W2483" s="131"/>
      <c r="X2483" s="131"/>
    </row>
    <row r="2484" spans="9:24" x14ac:dyDescent="0.25">
      <c r="I2484" s="131"/>
      <c r="J2484" s="131"/>
      <c r="K2484" s="131"/>
      <c r="L2484" s="131"/>
      <c r="U2484" s="131"/>
      <c r="V2484" s="131"/>
      <c r="W2484" s="131"/>
      <c r="X2484" s="131"/>
    </row>
    <row r="2485" spans="9:24" x14ac:dyDescent="0.25">
      <c r="I2485" s="131"/>
      <c r="J2485" s="131"/>
      <c r="K2485" s="131"/>
      <c r="L2485" s="131"/>
      <c r="U2485" s="131"/>
      <c r="V2485" s="131"/>
      <c r="W2485" s="131"/>
      <c r="X2485" s="131"/>
    </row>
    <row r="2486" spans="9:24" x14ac:dyDescent="0.25">
      <c r="I2486" s="131"/>
      <c r="J2486" s="131"/>
      <c r="K2486" s="131"/>
      <c r="L2486" s="131"/>
      <c r="U2486" s="131"/>
      <c r="V2486" s="131"/>
      <c r="W2486" s="131"/>
      <c r="X2486" s="131"/>
    </row>
    <row r="2487" spans="9:24" x14ac:dyDescent="0.25">
      <c r="I2487" s="131"/>
      <c r="J2487" s="131"/>
      <c r="K2487" s="131"/>
      <c r="L2487" s="131"/>
      <c r="U2487" s="131"/>
      <c r="V2487" s="131"/>
      <c r="W2487" s="131"/>
      <c r="X2487" s="131"/>
    </row>
    <row r="2488" spans="9:24" x14ac:dyDescent="0.25">
      <c r="I2488" s="131"/>
      <c r="J2488" s="131"/>
      <c r="K2488" s="131"/>
      <c r="L2488" s="131"/>
      <c r="U2488" s="131"/>
      <c r="V2488" s="131"/>
      <c r="W2488" s="131"/>
      <c r="X2488" s="131"/>
    </row>
    <row r="2489" spans="9:24" x14ac:dyDescent="0.25">
      <c r="I2489" s="131"/>
      <c r="J2489" s="131"/>
      <c r="K2489" s="131"/>
      <c r="L2489" s="131"/>
      <c r="U2489" s="131"/>
      <c r="V2489" s="131"/>
      <c r="W2489" s="131"/>
      <c r="X2489" s="131"/>
    </row>
    <row r="2490" spans="9:24" x14ac:dyDescent="0.25">
      <c r="I2490" s="131"/>
      <c r="J2490" s="131"/>
      <c r="K2490" s="131"/>
      <c r="L2490" s="131"/>
      <c r="U2490" s="131"/>
      <c r="V2490" s="131"/>
      <c r="W2490" s="131"/>
      <c r="X2490" s="131"/>
    </row>
    <row r="2491" spans="9:24" x14ac:dyDescent="0.25">
      <c r="I2491" s="131"/>
      <c r="J2491" s="131"/>
      <c r="K2491" s="131"/>
      <c r="L2491" s="131"/>
      <c r="U2491" s="131"/>
      <c r="V2491" s="131"/>
      <c r="W2491" s="131"/>
      <c r="X2491" s="131"/>
    </row>
    <row r="2492" spans="9:24" x14ac:dyDescent="0.25">
      <c r="I2492" s="131"/>
      <c r="J2492" s="131"/>
      <c r="K2492" s="131"/>
      <c r="L2492" s="131"/>
      <c r="U2492" s="131"/>
      <c r="V2492" s="131"/>
      <c r="W2492" s="131"/>
      <c r="X2492" s="131"/>
    </row>
    <row r="2493" spans="9:24" x14ac:dyDescent="0.25">
      <c r="I2493" s="131"/>
      <c r="J2493" s="131"/>
      <c r="K2493" s="131"/>
      <c r="L2493" s="131"/>
      <c r="U2493" s="131"/>
      <c r="V2493" s="131"/>
      <c r="W2493" s="131"/>
      <c r="X2493" s="131"/>
    </row>
    <row r="2494" spans="9:24" x14ac:dyDescent="0.25">
      <c r="I2494" s="131"/>
      <c r="J2494" s="131"/>
      <c r="K2494" s="131"/>
      <c r="L2494" s="131"/>
      <c r="U2494" s="131"/>
      <c r="V2494" s="131"/>
      <c r="W2494" s="131"/>
      <c r="X2494" s="131"/>
    </row>
    <row r="2495" spans="9:24" x14ac:dyDescent="0.25">
      <c r="I2495" s="131"/>
      <c r="J2495" s="131"/>
      <c r="K2495" s="131"/>
      <c r="L2495" s="131"/>
      <c r="U2495" s="131"/>
      <c r="V2495" s="131"/>
      <c r="W2495" s="131"/>
      <c r="X2495" s="131"/>
    </row>
    <row r="2496" spans="9:24" x14ac:dyDescent="0.25">
      <c r="I2496" s="131"/>
      <c r="J2496" s="131"/>
      <c r="K2496" s="131"/>
      <c r="L2496" s="131"/>
      <c r="U2496" s="131"/>
      <c r="V2496" s="131"/>
      <c r="W2496" s="131"/>
      <c r="X2496" s="131"/>
    </row>
    <row r="2497" spans="9:24" x14ac:dyDescent="0.25">
      <c r="I2497" s="131"/>
      <c r="J2497" s="131"/>
      <c r="K2497" s="131"/>
      <c r="L2497" s="131"/>
      <c r="U2497" s="131"/>
      <c r="V2497" s="131"/>
      <c r="W2497" s="131"/>
      <c r="X2497" s="131"/>
    </row>
    <row r="2498" spans="9:24" x14ac:dyDescent="0.25">
      <c r="I2498" s="131"/>
      <c r="J2498" s="131"/>
      <c r="K2498" s="131"/>
      <c r="L2498" s="131"/>
      <c r="U2498" s="131"/>
      <c r="V2498" s="131"/>
      <c r="W2498" s="131"/>
      <c r="X2498" s="131"/>
    </row>
    <row r="2499" spans="9:24" x14ac:dyDescent="0.25">
      <c r="I2499" s="131"/>
      <c r="J2499" s="131"/>
      <c r="K2499" s="131"/>
      <c r="L2499" s="131"/>
      <c r="U2499" s="131"/>
      <c r="V2499" s="131"/>
      <c r="W2499" s="131"/>
      <c r="X2499" s="131"/>
    </row>
    <row r="2500" spans="9:24" x14ac:dyDescent="0.25">
      <c r="I2500" s="131"/>
      <c r="J2500" s="131"/>
      <c r="K2500" s="131"/>
      <c r="L2500" s="131"/>
      <c r="U2500" s="131"/>
      <c r="V2500" s="131"/>
      <c r="W2500" s="131"/>
      <c r="X2500" s="131"/>
    </row>
    <row r="2501" spans="9:24" x14ac:dyDescent="0.25">
      <c r="I2501" s="131"/>
      <c r="J2501" s="131"/>
      <c r="K2501" s="131"/>
      <c r="L2501" s="131"/>
      <c r="U2501" s="131"/>
      <c r="V2501" s="131"/>
      <c r="W2501" s="131"/>
      <c r="X2501" s="131"/>
    </row>
    <row r="2502" spans="9:24" x14ac:dyDescent="0.25">
      <c r="I2502" s="131"/>
      <c r="J2502" s="131"/>
      <c r="K2502" s="131"/>
      <c r="L2502" s="131"/>
      <c r="U2502" s="131"/>
      <c r="V2502" s="131"/>
      <c r="W2502" s="131"/>
      <c r="X2502" s="131"/>
    </row>
    <row r="2503" spans="9:24" x14ac:dyDescent="0.25">
      <c r="I2503" s="131"/>
      <c r="J2503" s="131"/>
      <c r="K2503" s="131"/>
      <c r="L2503" s="131"/>
      <c r="U2503" s="131"/>
      <c r="V2503" s="131"/>
      <c r="W2503" s="131"/>
      <c r="X2503" s="131"/>
    </row>
    <row r="2504" spans="9:24" x14ac:dyDescent="0.25">
      <c r="I2504" s="131"/>
      <c r="J2504" s="131"/>
      <c r="K2504" s="131"/>
      <c r="L2504" s="131"/>
      <c r="U2504" s="131"/>
      <c r="V2504" s="131"/>
      <c r="W2504" s="131"/>
      <c r="X2504" s="131"/>
    </row>
    <row r="2505" spans="9:24" x14ac:dyDescent="0.25">
      <c r="I2505" s="131"/>
      <c r="J2505" s="131"/>
      <c r="K2505" s="131"/>
      <c r="L2505" s="131"/>
      <c r="U2505" s="131"/>
      <c r="V2505" s="131"/>
      <c r="W2505" s="131"/>
      <c r="X2505" s="131"/>
    </row>
    <row r="2506" spans="9:24" x14ac:dyDescent="0.25">
      <c r="I2506" s="131"/>
      <c r="J2506" s="131"/>
      <c r="K2506" s="131"/>
      <c r="L2506" s="131"/>
      <c r="U2506" s="131"/>
      <c r="V2506" s="131"/>
      <c r="W2506" s="131"/>
      <c r="X2506" s="131"/>
    </row>
    <row r="2507" spans="9:24" x14ac:dyDescent="0.25">
      <c r="I2507" s="131"/>
      <c r="J2507" s="131"/>
      <c r="K2507" s="131"/>
      <c r="L2507" s="131"/>
      <c r="U2507" s="131"/>
      <c r="V2507" s="131"/>
      <c r="W2507" s="131"/>
      <c r="X2507" s="131"/>
    </row>
    <row r="2508" spans="9:24" x14ac:dyDescent="0.25">
      <c r="I2508" s="131"/>
      <c r="J2508" s="131"/>
      <c r="K2508" s="131"/>
      <c r="L2508" s="131"/>
      <c r="U2508" s="131"/>
      <c r="V2508" s="131"/>
      <c r="W2508" s="131"/>
      <c r="X2508" s="131"/>
    </row>
    <row r="2509" spans="9:24" x14ac:dyDescent="0.25">
      <c r="I2509" s="131"/>
      <c r="J2509" s="131"/>
      <c r="K2509" s="131"/>
      <c r="L2509" s="131"/>
      <c r="U2509" s="131"/>
      <c r="V2509" s="131"/>
      <c r="W2509" s="131"/>
      <c r="X2509" s="131"/>
    </row>
    <row r="2510" spans="9:24" x14ac:dyDescent="0.25">
      <c r="I2510" s="131"/>
      <c r="J2510" s="131"/>
      <c r="K2510" s="131"/>
      <c r="L2510" s="131"/>
      <c r="U2510" s="131"/>
      <c r="V2510" s="131"/>
      <c r="W2510" s="131"/>
      <c r="X2510" s="131"/>
    </row>
    <row r="2511" spans="9:24" x14ac:dyDescent="0.25">
      <c r="I2511" s="131"/>
      <c r="J2511" s="131"/>
      <c r="K2511" s="131"/>
      <c r="L2511" s="131"/>
      <c r="U2511" s="131"/>
      <c r="V2511" s="131"/>
      <c r="W2511" s="131"/>
      <c r="X2511" s="131"/>
    </row>
    <row r="2512" spans="9:24" x14ac:dyDescent="0.25">
      <c r="I2512" s="131"/>
      <c r="J2512" s="131"/>
      <c r="K2512" s="131"/>
      <c r="L2512" s="131"/>
      <c r="U2512" s="131"/>
      <c r="V2512" s="131"/>
      <c r="W2512" s="131"/>
      <c r="X2512" s="131"/>
    </row>
    <row r="2513" spans="9:24" x14ac:dyDescent="0.25">
      <c r="I2513" s="131"/>
      <c r="J2513" s="131"/>
      <c r="K2513" s="131"/>
      <c r="L2513" s="131"/>
      <c r="U2513" s="131"/>
      <c r="V2513" s="131"/>
      <c r="W2513" s="131"/>
      <c r="X2513" s="131"/>
    </row>
    <row r="2514" spans="9:24" x14ac:dyDescent="0.25">
      <c r="I2514" s="131"/>
      <c r="J2514" s="131"/>
      <c r="K2514" s="131"/>
      <c r="L2514" s="131"/>
      <c r="U2514" s="131"/>
      <c r="V2514" s="131"/>
      <c r="W2514" s="131"/>
      <c r="X2514" s="131"/>
    </row>
    <row r="2515" spans="9:24" x14ac:dyDescent="0.25">
      <c r="I2515" s="131"/>
      <c r="J2515" s="131"/>
      <c r="K2515" s="131"/>
      <c r="L2515" s="131"/>
      <c r="U2515" s="131"/>
      <c r="V2515" s="131"/>
      <c r="W2515" s="131"/>
      <c r="X2515" s="131"/>
    </row>
    <row r="2516" spans="9:24" x14ac:dyDescent="0.25">
      <c r="I2516" s="131"/>
      <c r="J2516" s="131"/>
      <c r="K2516" s="131"/>
      <c r="L2516" s="131"/>
      <c r="U2516" s="131"/>
      <c r="V2516" s="131"/>
      <c r="W2516" s="131"/>
      <c r="X2516" s="131"/>
    </row>
    <row r="2517" spans="9:24" x14ac:dyDescent="0.25">
      <c r="I2517" s="131"/>
      <c r="J2517" s="131"/>
      <c r="K2517" s="131"/>
      <c r="L2517" s="131"/>
      <c r="U2517" s="131"/>
      <c r="V2517" s="131"/>
      <c r="W2517" s="131"/>
      <c r="X2517" s="131"/>
    </row>
    <row r="2518" spans="9:24" x14ac:dyDescent="0.25">
      <c r="I2518" s="131"/>
      <c r="J2518" s="131"/>
      <c r="K2518" s="131"/>
      <c r="L2518" s="131"/>
      <c r="U2518" s="131"/>
      <c r="V2518" s="131"/>
      <c r="W2518" s="131"/>
      <c r="X2518" s="131"/>
    </row>
    <row r="2519" spans="9:24" x14ac:dyDescent="0.25">
      <c r="I2519" s="131"/>
      <c r="J2519" s="131"/>
      <c r="K2519" s="131"/>
      <c r="L2519" s="131"/>
      <c r="U2519" s="131"/>
      <c r="V2519" s="131"/>
      <c r="W2519" s="131"/>
      <c r="X2519" s="131"/>
    </row>
    <row r="2520" spans="9:24" x14ac:dyDescent="0.25">
      <c r="I2520" s="131"/>
      <c r="J2520" s="131"/>
      <c r="K2520" s="131"/>
      <c r="L2520" s="131"/>
      <c r="U2520" s="131"/>
      <c r="V2520" s="131"/>
      <c r="W2520" s="131"/>
      <c r="X2520" s="131"/>
    </row>
    <row r="2521" spans="9:24" x14ac:dyDescent="0.25">
      <c r="I2521" s="131"/>
      <c r="J2521" s="131"/>
      <c r="K2521" s="131"/>
      <c r="L2521" s="131"/>
      <c r="U2521" s="131"/>
      <c r="V2521" s="131"/>
      <c r="W2521" s="131"/>
      <c r="X2521" s="131"/>
    </row>
    <row r="2522" spans="9:24" x14ac:dyDescent="0.25">
      <c r="I2522" s="131"/>
      <c r="J2522" s="131"/>
      <c r="K2522" s="131"/>
      <c r="L2522" s="131"/>
      <c r="U2522" s="131"/>
      <c r="V2522" s="131"/>
      <c r="W2522" s="131"/>
      <c r="X2522" s="131"/>
    </row>
    <row r="2523" spans="9:24" x14ac:dyDescent="0.25">
      <c r="I2523" s="131"/>
      <c r="J2523" s="131"/>
      <c r="K2523" s="131"/>
      <c r="L2523" s="131"/>
      <c r="U2523" s="131"/>
      <c r="V2523" s="131"/>
      <c r="W2523" s="131"/>
      <c r="X2523" s="131"/>
    </row>
    <row r="2524" spans="9:24" x14ac:dyDescent="0.25">
      <c r="I2524" s="131"/>
      <c r="J2524" s="131"/>
      <c r="K2524" s="131"/>
      <c r="L2524" s="131"/>
      <c r="U2524" s="131"/>
      <c r="V2524" s="131"/>
      <c r="W2524" s="131"/>
      <c r="X2524" s="131"/>
    </row>
    <row r="2525" spans="9:24" x14ac:dyDescent="0.25">
      <c r="I2525" s="131"/>
      <c r="J2525" s="131"/>
      <c r="K2525" s="131"/>
      <c r="L2525" s="131"/>
      <c r="U2525" s="131"/>
      <c r="V2525" s="131"/>
      <c r="W2525" s="131"/>
      <c r="X2525" s="131"/>
    </row>
    <row r="2526" spans="9:24" x14ac:dyDescent="0.25">
      <c r="I2526" s="131"/>
      <c r="J2526" s="131"/>
      <c r="K2526" s="131"/>
      <c r="L2526" s="131"/>
      <c r="U2526" s="131"/>
      <c r="V2526" s="131"/>
      <c r="W2526" s="131"/>
      <c r="X2526" s="131"/>
    </row>
    <row r="2527" spans="9:24" x14ac:dyDescent="0.25">
      <c r="I2527" s="131"/>
      <c r="J2527" s="131"/>
      <c r="K2527" s="131"/>
      <c r="L2527" s="131"/>
      <c r="U2527" s="131"/>
      <c r="V2527" s="131"/>
      <c r="W2527" s="131"/>
      <c r="X2527" s="131"/>
    </row>
    <row r="2528" spans="9:24" x14ac:dyDescent="0.25">
      <c r="I2528" s="131"/>
      <c r="J2528" s="131"/>
      <c r="K2528" s="131"/>
      <c r="L2528" s="131"/>
      <c r="U2528" s="131"/>
      <c r="V2528" s="131"/>
      <c r="W2528" s="131"/>
      <c r="X2528" s="131"/>
    </row>
    <row r="2529" spans="9:24" x14ac:dyDescent="0.25">
      <c r="I2529" s="131"/>
      <c r="J2529" s="131"/>
      <c r="K2529" s="131"/>
      <c r="L2529" s="131"/>
      <c r="U2529" s="131"/>
      <c r="V2529" s="131"/>
      <c r="W2529" s="131"/>
      <c r="X2529" s="131"/>
    </row>
    <row r="2530" spans="9:24" x14ac:dyDescent="0.25">
      <c r="I2530" s="131"/>
      <c r="J2530" s="131"/>
      <c r="K2530" s="131"/>
      <c r="L2530" s="131"/>
      <c r="U2530" s="131"/>
      <c r="V2530" s="131"/>
      <c r="W2530" s="131"/>
      <c r="X2530" s="131"/>
    </row>
    <row r="2531" spans="9:24" x14ac:dyDescent="0.25">
      <c r="I2531" s="131"/>
      <c r="J2531" s="131"/>
      <c r="K2531" s="131"/>
      <c r="L2531" s="131"/>
      <c r="U2531" s="131"/>
      <c r="V2531" s="131"/>
      <c r="W2531" s="131"/>
      <c r="X2531" s="131"/>
    </row>
    <row r="2532" spans="9:24" x14ac:dyDescent="0.25">
      <c r="I2532" s="131"/>
      <c r="J2532" s="131"/>
      <c r="K2532" s="131"/>
      <c r="L2532" s="131"/>
      <c r="U2532" s="131"/>
      <c r="V2532" s="131"/>
      <c r="W2532" s="131"/>
      <c r="X2532" s="131"/>
    </row>
    <row r="2533" spans="9:24" x14ac:dyDescent="0.25">
      <c r="I2533" s="131"/>
      <c r="J2533" s="131"/>
      <c r="K2533" s="131"/>
      <c r="L2533" s="131"/>
      <c r="U2533" s="131"/>
      <c r="V2533" s="131"/>
      <c r="W2533" s="131"/>
      <c r="X2533" s="131"/>
    </row>
    <row r="2534" spans="9:24" x14ac:dyDescent="0.25">
      <c r="I2534" s="131"/>
      <c r="J2534" s="131"/>
      <c r="K2534" s="131"/>
      <c r="L2534" s="131"/>
      <c r="U2534" s="131"/>
      <c r="V2534" s="131"/>
      <c r="W2534" s="131"/>
      <c r="X2534" s="131"/>
    </row>
    <row r="2535" spans="9:24" x14ac:dyDescent="0.25">
      <c r="I2535" s="131"/>
      <c r="J2535" s="131"/>
      <c r="K2535" s="131"/>
      <c r="L2535" s="131"/>
      <c r="U2535" s="131"/>
      <c r="V2535" s="131"/>
      <c r="W2535" s="131"/>
      <c r="X2535" s="131"/>
    </row>
    <row r="2536" spans="9:24" x14ac:dyDescent="0.25">
      <c r="I2536" s="131"/>
      <c r="J2536" s="131"/>
      <c r="K2536" s="131"/>
      <c r="L2536" s="131"/>
      <c r="U2536" s="131"/>
      <c r="V2536" s="131"/>
      <c r="W2536" s="131"/>
      <c r="X2536" s="131"/>
    </row>
    <row r="2537" spans="9:24" x14ac:dyDescent="0.25">
      <c r="I2537" s="131"/>
      <c r="J2537" s="131"/>
      <c r="K2537" s="131"/>
      <c r="L2537" s="131"/>
      <c r="U2537" s="131"/>
      <c r="V2537" s="131"/>
      <c r="W2537" s="131"/>
      <c r="X2537" s="131"/>
    </row>
    <row r="2538" spans="9:24" x14ac:dyDescent="0.25">
      <c r="I2538" s="131"/>
      <c r="J2538" s="131"/>
      <c r="K2538" s="131"/>
      <c r="L2538" s="131"/>
      <c r="U2538" s="131"/>
      <c r="V2538" s="131"/>
      <c r="W2538" s="131"/>
      <c r="X2538" s="131"/>
    </row>
    <row r="2539" spans="9:24" x14ac:dyDescent="0.25">
      <c r="I2539" s="131"/>
      <c r="J2539" s="131"/>
      <c r="K2539" s="131"/>
      <c r="L2539" s="131"/>
      <c r="U2539" s="131"/>
      <c r="V2539" s="131"/>
      <c r="W2539" s="131"/>
      <c r="X2539" s="131"/>
    </row>
    <row r="2540" spans="9:24" x14ac:dyDescent="0.25">
      <c r="I2540" s="131"/>
      <c r="J2540" s="131"/>
      <c r="K2540" s="131"/>
      <c r="L2540" s="131"/>
      <c r="U2540" s="131"/>
      <c r="V2540" s="131"/>
      <c r="W2540" s="131"/>
      <c r="X2540" s="131"/>
    </row>
    <row r="2541" spans="9:24" x14ac:dyDescent="0.25">
      <c r="I2541" s="131"/>
      <c r="J2541" s="131"/>
      <c r="K2541" s="131"/>
      <c r="L2541" s="131"/>
      <c r="U2541" s="131"/>
      <c r="V2541" s="131"/>
      <c r="W2541" s="131"/>
      <c r="X2541" s="131"/>
    </row>
    <row r="2542" spans="9:24" x14ac:dyDescent="0.25">
      <c r="I2542" s="131"/>
      <c r="J2542" s="131"/>
      <c r="K2542" s="131"/>
      <c r="L2542" s="131"/>
      <c r="U2542" s="131"/>
      <c r="V2542" s="131"/>
      <c r="W2542" s="131"/>
      <c r="X2542" s="131"/>
    </row>
    <row r="2543" spans="9:24" x14ac:dyDescent="0.25">
      <c r="I2543" s="131"/>
      <c r="J2543" s="131"/>
      <c r="K2543" s="131"/>
      <c r="L2543" s="131"/>
      <c r="U2543" s="131"/>
      <c r="V2543" s="131"/>
      <c r="W2543" s="131"/>
      <c r="X2543" s="131"/>
    </row>
    <row r="2544" spans="9:24" x14ac:dyDescent="0.25">
      <c r="I2544" s="131"/>
      <c r="J2544" s="131"/>
      <c r="K2544" s="131"/>
      <c r="L2544" s="131"/>
      <c r="U2544" s="131"/>
      <c r="V2544" s="131"/>
      <c r="W2544" s="131"/>
      <c r="X2544" s="131"/>
    </row>
    <row r="2545" spans="9:24" x14ac:dyDescent="0.25">
      <c r="I2545" s="131"/>
      <c r="J2545" s="131"/>
      <c r="K2545" s="131"/>
      <c r="L2545" s="131"/>
      <c r="U2545" s="131"/>
      <c r="V2545" s="131"/>
      <c r="W2545" s="131"/>
      <c r="X2545" s="131"/>
    </row>
    <row r="2546" spans="9:24" x14ac:dyDescent="0.25">
      <c r="I2546" s="131"/>
      <c r="J2546" s="131"/>
      <c r="K2546" s="131"/>
      <c r="L2546" s="131"/>
      <c r="U2546" s="131"/>
      <c r="V2546" s="131"/>
      <c r="W2546" s="131"/>
      <c r="X2546" s="131"/>
    </row>
    <row r="2547" spans="9:24" x14ac:dyDescent="0.25">
      <c r="I2547" s="131"/>
      <c r="J2547" s="131"/>
      <c r="K2547" s="131"/>
      <c r="L2547" s="131"/>
      <c r="U2547" s="131"/>
      <c r="V2547" s="131"/>
      <c r="W2547" s="131"/>
      <c r="X2547" s="131"/>
    </row>
    <row r="2548" spans="9:24" x14ac:dyDescent="0.25">
      <c r="I2548" s="131"/>
      <c r="J2548" s="131"/>
      <c r="K2548" s="131"/>
      <c r="L2548" s="131"/>
      <c r="U2548" s="131"/>
      <c r="V2548" s="131"/>
      <c r="W2548" s="131"/>
      <c r="X2548" s="131"/>
    </row>
    <row r="2549" spans="9:24" x14ac:dyDescent="0.25">
      <c r="I2549" s="131"/>
      <c r="J2549" s="131"/>
      <c r="K2549" s="131"/>
      <c r="L2549" s="131"/>
      <c r="U2549" s="131"/>
      <c r="V2549" s="131"/>
      <c r="W2549" s="131"/>
      <c r="X2549" s="131"/>
    </row>
    <row r="2550" spans="9:24" x14ac:dyDescent="0.25">
      <c r="I2550" s="131"/>
      <c r="J2550" s="131"/>
      <c r="K2550" s="131"/>
      <c r="L2550" s="131"/>
      <c r="U2550" s="131"/>
      <c r="V2550" s="131"/>
      <c r="W2550" s="131"/>
      <c r="X2550" s="131"/>
    </row>
    <row r="2551" spans="9:24" x14ac:dyDescent="0.25">
      <c r="I2551" s="131"/>
      <c r="J2551" s="131"/>
      <c r="K2551" s="131"/>
      <c r="L2551" s="131"/>
      <c r="U2551" s="131"/>
      <c r="V2551" s="131"/>
      <c r="W2551" s="131"/>
      <c r="X2551" s="131"/>
    </row>
    <row r="2552" spans="9:24" x14ac:dyDescent="0.25">
      <c r="I2552" s="131"/>
      <c r="J2552" s="131"/>
      <c r="K2552" s="131"/>
      <c r="L2552" s="131"/>
      <c r="U2552" s="131"/>
      <c r="V2552" s="131"/>
      <c r="W2552" s="131"/>
      <c r="X2552" s="131"/>
    </row>
    <row r="2553" spans="9:24" x14ac:dyDescent="0.25">
      <c r="I2553" s="131"/>
      <c r="J2553" s="131"/>
      <c r="K2553" s="131"/>
      <c r="L2553" s="131"/>
      <c r="U2553" s="131"/>
      <c r="V2553" s="131"/>
      <c r="W2553" s="131"/>
      <c r="X2553" s="131"/>
    </row>
    <row r="2554" spans="9:24" x14ac:dyDescent="0.25">
      <c r="I2554" s="131"/>
      <c r="J2554" s="131"/>
      <c r="K2554" s="131"/>
      <c r="L2554" s="131"/>
      <c r="U2554" s="131"/>
      <c r="V2554" s="131"/>
      <c r="W2554" s="131"/>
      <c r="X2554" s="131"/>
    </row>
    <row r="2555" spans="9:24" x14ac:dyDescent="0.25">
      <c r="I2555" s="131"/>
      <c r="J2555" s="131"/>
      <c r="K2555" s="131"/>
      <c r="L2555" s="131"/>
      <c r="U2555" s="131"/>
      <c r="V2555" s="131"/>
      <c r="W2555" s="131"/>
      <c r="X2555" s="131"/>
    </row>
    <row r="2556" spans="9:24" x14ac:dyDescent="0.25">
      <c r="I2556" s="131"/>
      <c r="J2556" s="131"/>
      <c r="K2556" s="131"/>
      <c r="L2556" s="131"/>
      <c r="U2556" s="131"/>
      <c r="V2556" s="131"/>
      <c r="W2556" s="131"/>
      <c r="X2556" s="131"/>
    </row>
    <row r="2557" spans="9:24" x14ac:dyDescent="0.25">
      <c r="I2557" s="131"/>
      <c r="J2557" s="131"/>
      <c r="K2557" s="131"/>
      <c r="L2557" s="131"/>
      <c r="U2557" s="131"/>
      <c r="V2557" s="131"/>
      <c r="W2557" s="131"/>
      <c r="X2557" s="131"/>
    </row>
    <row r="2558" spans="9:24" x14ac:dyDescent="0.25">
      <c r="I2558" s="131"/>
      <c r="J2558" s="131"/>
      <c r="K2558" s="131"/>
      <c r="L2558" s="131"/>
      <c r="U2558" s="131"/>
      <c r="V2558" s="131"/>
      <c r="W2558" s="131"/>
      <c r="X2558" s="131"/>
    </row>
    <row r="2559" spans="9:24" x14ac:dyDescent="0.25">
      <c r="I2559" s="131"/>
      <c r="J2559" s="131"/>
      <c r="K2559" s="131"/>
      <c r="L2559" s="131"/>
      <c r="U2559" s="131"/>
      <c r="V2559" s="131"/>
      <c r="W2559" s="131"/>
      <c r="X2559" s="131"/>
    </row>
    <row r="2560" spans="9:24" x14ac:dyDescent="0.25">
      <c r="I2560" s="131"/>
      <c r="J2560" s="131"/>
      <c r="K2560" s="131"/>
      <c r="L2560" s="131"/>
      <c r="U2560" s="131"/>
      <c r="V2560" s="131"/>
      <c r="W2560" s="131"/>
      <c r="X2560" s="131"/>
    </row>
    <row r="2561" spans="9:24" x14ac:dyDescent="0.25">
      <c r="I2561" s="131"/>
      <c r="J2561" s="131"/>
      <c r="K2561" s="131"/>
      <c r="L2561" s="131"/>
      <c r="U2561" s="131"/>
      <c r="V2561" s="131"/>
      <c r="W2561" s="131"/>
      <c r="X2561" s="131"/>
    </row>
    <row r="2562" spans="9:24" x14ac:dyDescent="0.25">
      <c r="I2562" s="131"/>
      <c r="J2562" s="131"/>
      <c r="K2562" s="131"/>
      <c r="L2562" s="131"/>
      <c r="U2562" s="131"/>
      <c r="V2562" s="131"/>
      <c r="W2562" s="131"/>
      <c r="X2562" s="131"/>
    </row>
    <row r="2563" spans="9:24" x14ac:dyDescent="0.25">
      <c r="I2563" s="131"/>
      <c r="J2563" s="131"/>
      <c r="K2563" s="131"/>
      <c r="L2563" s="131"/>
      <c r="U2563" s="131"/>
      <c r="V2563" s="131"/>
      <c r="W2563" s="131"/>
      <c r="X2563" s="131"/>
    </row>
    <row r="2564" spans="9:24" x14ac:dyDescent="0.25">
      <c r="I2564" s="131"/>
      <c r="J2564" s="131"/>
      <c r="K2564" s="131"/>
      <c r="L2564" s="131"/>
      <c r="U2564" s="131"/>
      <c r="V2564" s="131"/>
      <c r="W2564" s="131"/>
      <c r="X2564" s="131"/>
    </row>
    <row r="2565" spans="9:24" x14ac:dyDescent="0.25">
      <c r="I2565" s="131"/>
      <c r="J2565" s="131"/>
      <c r="K2565" s="131"/>
      <c r="L2565" s="131"/>
      <c r="U2565" s="131"/>
      <c r="V2565" s="131"/>
      <c r="W2565" s="131"/>
      <c r="X2565" s="131"/>
    </row>
    <row r="2566" spans="9:24" x14ac:dyDescent="0.25">
      <c r="I2566" s="131"/>
      <c r="J2566" s="131"/>
      <c r="K2566" s="131"/>
      <c r="L2566" s="131"/>
      <c r="U2566" s="131"/>
      <c r="V2566" s="131"/>
      <c r="W2566" s="131"/>
      <c r="X2566" s="131"/>
    </row>
    <row r="2567" spans="9:24" x14ac:dyDescent="0.25">
      <c r="I2567" s="131"/>
      <c r="J2567" s="131"/>
      <c r="K2567" s="131"/>
      <c r="L2567" s="131"/>
      <c r="U2567" s="131"/>
      <c r="V2567" s="131"/>
      <c r="W2567" s="131"/>
      <c r="X2567" s="131"/>
    </row>
    <row r="2568" spans="9:24" x14ac:dyDescent="0.25">
      <c r="I2568" s="131"/>
      <c r="J2568" s="131"/>
      <c r="K2568" s="131"/>
      <c r="L2568" s="131"/>
      <c r="U2568" s="131"/>
      <c r="V2568" s="131"/>
      <c r="W2568" s="131"/>
      <c r="X2568" s="131"/>
    </row>
    <row r="2569" spans="9:24" x14ac:dyDescent="0.25">
      <c r="I2569" s="131"/>
      <c r="J2569" s="131"/>
      <c r="K2569" s="131"/>
      <c r="L2569" s="131"/>
      <c r="U2569" s="131"/>
      <c r="V2569" s="131"/>
      <c r="W2569" s="131"/>
      <c r="X2569" s="131"/>
    </row>
    <row r="2570" spans="9:24" x14ac:dyDescent="0.25">
      <c r="I2570" s="131"/>
      <c r="J2570" s="131"/>
      <c r="K2570" s="131"/>
      <c r="L2570" s="131"/>
      <c r="U2570" s="131"/>
      <c r="V2570" s="131"/>
      <c r="W2570" s="131"/>
      <c r="X2570" s="131"/>
    </row>
    <row r="2571" spans="9:24" x14ac:dyDescent="0.25">
      <c r="I2571" s="131"/>
      <c r="J2571" s="131"/>
      <c r="K2571" s="131"/>
      <c r="L2571" s="131"/>
      <c r="U2571" s="131"/>
      <c r="V2571" s="131"/>
      <c r="W2571" s="131"/>
      <c r="X2571" s="131"/>
    </row>
    <row r="2572" spans="9:24" x14ac:dyDescent="0.25">
      <c r="I2572" s="131"/>
      <c r="J2572" s="131"/>
      <c r="K2572" s="131"/>
      <c r="L2572" s="131"/>
      <c r="U2572" s="131"/>
      <c r="V2572" s="131"/>
      <c r="W2572" s="131"/>
      <c r="X2572" s="131"/>
    </row>
    <row r="2573" spans="9:24" x14ac:dyDescent="0.25">
      <c r="I2573" s="131"/>
      <c r="J2573" s="131"/>
      <c r="K2573" s="131"/>
      <c r="L2573" s="131"/>
      <c r="U2573" s="131"/>
      <c r="V2573" s="131"/>
      <c r="W2573" s="131"/>
      <c r="X2573" s="131"/>
    </row>
    <row r="2574" spans="9:24" x14ac:dyDescent="0.25">
      <c r="I2574" s="131"/>
      <c r="J2574" s="131"/>
      <c r="K2574" s="131"/>
      <c r="L2574" s="131"/>
      <c r="U2574" s="131"/>
      <c r="V2574" s="131"/>
      <c r="W2574" s="131"/>
      <c r="X2574" s="131"/>
    </row>
    <row r="2575" spans="9:24" x14ac:dyDescent="0.25">
      <c r="I2575" s="131"/>
      <c r="J2575" s="131"/>
      <c r="K2575" s="131"/>
      <c r="L2575" s="131"/>
      <c r="U2575" s="131"/>
      <c r="V2575" s="131"/>
      <c r="W2575" s="131"/>
      <c r="X2575" s="131"/>
    </row>
    <row r="2576" spans="9:24" x14ac:dyDescent="0.25">
      <c r="I2576" s="131"/>
      <c r="J2576" s="131"/>
      <c r="K2576" s="131"/>
      <c r="L2576" s="131"/>
      <c r="U2576" s="131"/>
      <c r="V2576" s="131"/>
      <c r="W2576" s="131"/>
      <c r="X2576" s="131"/>
    </row>
    <row r="2577" spans="9:24" x14ac:dyDescent="0.25">
      <c r="I2577" s="131"/>
      <c r="J2577" s="131"/>
      <c r="K2577" s="131"/>
      <c r="L2577" s="131"/>
      <c r="U2577" s="131"/>
      <c r="V2577" s="131"/>
      <c r="W2577" s="131"/>
      <c r="X2577" s="131"/>
    </row>
    <row r="2578" spans="9:24" x14ac:dyDescent="0.25">
      <c r="I2578" s="131"/>
      <c r="J2578" s="131"/>
      <c r="K2578" s="131"/>
      <c r="L2578" s="131"/>
      <c r="U2578" s="131"/>
      <c r="V2578" s="131"/>
      <c r="W2578" s="131"/>
      <c r="X2578" s="131"/>
    </row>
    <row r="2579" spans="9:24" x14ac:dyDescent="0.25">
      <c r="I2579" s="131"/>
      <c r="J2579" s="131"/>
      <c r="K2579" s="131"/>
      <c r="L2579" s="131"/>
      <c r="U2579" s="131"/>
      <c r="V2579" s="131"/>
      <c r="W2579" s="131"/>
      <c r="X2579" s="131"/>
    </row>
    <row r="2580" spans="9:24" x14ac:dyDescent="0.25">
      <c r="I2580" s="131"/>
      <c r="J2580" s="131"/>
      <c r="K2580" s="131"/>
      <c r="L2580" s="131"/>
      <c r="U2580" s="131"/>
      <c r="V2580" s="131"/>
      <c r="W2580" s="131"/>
      <c r="X2580" s="131"/>
    </row>
    <row r="2581" spans="9:24" x14ac:dyDescent="0.25">
      <c r="I2581" s="131"/>
      <c r="J2581" s="131"/>
      <c r="K2581" s="131"/>
      <c r="L2581" s="131"/>
      <c r="U2581" s="131"/>
      <c r="V2581" s="131"/>
      <c r="W2581" s="131"/>
      <c r="X2581" s="131"/>
    </row>
    <row r="2582" spans="9:24" x14ac:dyDescent="0.25">
      <c r="I2582" s="131"/>
      <c r="J2582" s="131"/>
      <c r="K2582" s="131"/>
      <c r="L2582" s="131"/>
      <c r="U2582" s="131"/>
      <c r="V2582" s="131"/>
      <c r="W2582" s="131"/>
      <c r="X2582" s="131"/>
    </row>
    <row r="2583" spans="9:24" x14ac:dyDescent="0.25">
      <c r="I2583" s="131"/>
      <c r="J2583" s="131"/>
      <c r="K2583" s="131"/>
      <c r="L2583" s="131"/>
      <c r="U2583" s="131"/>
      <c r="V2583" s="131"/>
      <c r="W2583" s="131"/>
      <c r="X2583" s="131"/>
    </row>
    <row r="2584" spans="9:24" x14ac:dyDescent="0.25">
      <c r="I2584" s="131"/>
      <c r="J2584" s="131"/>
      <c r="K2584" s="131"/>
      <c r="L2584" s="131"/>
      <c r="U2584" s="131"/>
      <c r="V2584" s="131"/>
      <c r="W2584" s="131"/>
      <c r="X2584" s="131"/>
    </row>
    <row r="2585" spans="9:24" x14ac:dyDescent="0.25">
      <c r="I2585" s="131"/>
      <c r="J2585" s="131"/>
      <c r="K2585" s="131"/>
      <c r="L2585" s="131"/>
      <c r="U2585" s="131"/>
      <c r="V2585" s="131"/>
      <c r="W2585" s="131"/>
      <c r="X2585" s="131"/>
    </row>
    <row r="2586" spans="9:24" x14ac:dyDescent="0.25">
      <c r="I2586" s="131"/>
      <c r="J2586" s="131"/>
      <c r="K2586" s="131"/>
      <c r="L2586" s="131"/>
      <c r="U2586" s="131"/>
      <c r="V2586" s="131"/>
      <c r="W2586" s="131"/>
      <c r="X2586" s="131"/>
    </row>
    <row r="2587" spans="9:24" x14ac:dyDescent="0.25">
      <c r="I2587" s="131"/>
      <c r="J2587" s="131"/>
      <c r="K2587" s="131"/>
      <c r="L2587" s="131"/>
      <c r="U2587" s="131"/>
      <c r="V2587" s="131"/>
      <c r="W2587" s="131"/>
      <c r="X2587" s="131"/>
    </row>
    <row r="2588" spans="9:24" x14ac:dyDescent="0.25">
      <c r="I2588" s="131"/>
      <c r="J2588" s="131"/>
      <c r="K2588" s="131"/>
      <c r="L2588" s="131"/>
      <c r="U2588" s="131"/>
      <c r="V2588" s="131"/>
      <c r="W2588" s="131"/>
      <c r="X2588" s="131"/>
    </row>
    <row r="2589" spans="9:24" x14ac:dyDescent="0.25">
      <c r="I2589" s="131"/>
      <c r="J2589" s="131"/>
      <c r="K2589" s="131"/>
      <c r="L2589" s="131"/>
      <c r="U2589" s="131"/>
      <c r="V2589" s="131"/>
      <c r="W2589" s="131"/>
      <c r="X2589" s="131"/>
    </row>
    <row r="2590" spans="9:24" x14ac:dyDescent="0.25">
      <c r="I2590" s="131"/>
      <c r="J2590" s="131"/>
      <c r="K2590" s="131"/>
      <c r="L2590" s="131"/>
      <c r="U2590" s="131"/>
      <c r="V2590" s="131"/>
      <c r="W2590" s="131"/>
      <c r="X2590" s="131"/>
    </row>
    <row r="2591" spans="9:24" x14ac:dyDescent="0.25">
      <c r="I2591" s="131"/>
      <c r="J2591" s="131"/>
      <c r="K2591" s="131"/>
      <c r="L2591" s="131"/>
      <c r="U2591" s="131"/>
      <c r="V2591" s="131"/>
      <c r="W2591" s="131"/>
      <c r="X2591" s="131"/>
    </row>
    <row r="2592" spans="9:24" x14ac:dyDescent="0.25">
      <c r="I2592" s="131"/>
      <c r="J2592" s="131"/>
      <c r="K2592" s="131"/>
      <c r="L2592" s="131"/>
      <c r="U2592" s="131"/>
      <c r="V2592" s="131"/>
      <c r="W2592" s="131"/>
      <c r="X2592" s="131"/>
    </row>
    <row r="2593" spans="9:24" x14ac:dyDescent="0.25">
      <c r="I2593" s="131"/>
      <c r="J2593" s="131"/>
      <c r="K2593" s="131"/>
      <c r="L2593" s="131"/>
      <c r="U2593" s="131"/>
      <c r="V2593" s="131"/>
      <c r="W2593" s="131"/>
      <c r="X2593" s="131"/>
    </row>
    <row r="2594" spans="9:24" x14ac:dyDescent="0.25">
      <c r="I2594" s="131"/>
      <c r="J2594" s="131"/>
      <c r="K2594" s="131"/>
      <c r="L2594" s="131"/>
      <c r="U2594" s="131"/>
      <c r="V2594" s="131"/>
      <c r="W2594" s="131"/>
      <c r="X2594" s="131"/>
    </row>
    <row r="2595" spans="9:24" x14ac:dyDescent="0.25">
      <c r="I2595" s="131"/>
      <c r="J2595" s="131"/>
      <c r="K2595" s="131"/>
      <c r="L2595" s="131"/>
      <c r="U2595" s="131"/>
      <c r="V2595" s="131"/>
      <c r="W2595" s="131"/>
      <c r="X2595" s="131"/>
    </row>
    <row r="2596" spans="9:24" x14ac:dyDescent="0.25">
      <c r="I2596" s="131"/>
      <c r="J2596" s="131"/>
      <c r="K2596" s="131"/>
      <c r="L2596" s="131"/>
      <c r="U2596" s="131"/>
      <c r="V2596" s="131"/>
      <c r="W2596" s="131"/>
      <c r="X2596" s="131"/>
    </row>
    <row r="2597" spans="9:24" x14ac:dyDescent="0.25">
      <c r="I2597" s="131"/>
      <c r="J2597" s="131"/>
      <c r="K2597" s="131"/>
      <c r="L2597" s="131"/>
      <c r="U2597" s="131"/>
      <c r="V2597" s="131"/>
      <c r="W2597" s="131"/>
      <c r="X2597" s="131"/>
    </row>
    <row r="2598" spans="9:24" x14ac:dyDescent="0.25">
      <c r="I2598" s="131"/>
      <c r="J2598" s="131"/>
      <c r="K2598" s="131"/>
      <c r="L2598" s="131"/>
      <c r="U2598" s="131"/>
      <c r="V2598" s="131"/>
      <c r="W2598" s="131"/>
      <c r="X2598" s="131"/>
    </row>
    <row r="2599" spans="9:24" x14ac:dyDescent="0.25">
      <c r="I2599" s="131"/>
      <c r="J2599" s="131"/>
      <c r="K2599" s="131"/>
      <c r="L2599" s="131"/>
      <c r="U2599" s="131"/>
      <c r="V2599" s="131"/>
      <c r="W2599" s="131"/>
      <c r="X2599" s="131"/>
    </row>
    <row r="2600" spans="9:24" x14ac:dyDescent="0.25">
      <c r="I2600" s="131"/>
      <c r="J2600" s="131"/>
      <c r="K2600" s="131"/>
      <c r="L2600" s="131"/>
      <c r="U2600" s="131"/>
      <c r="V2600" s="131"/>
      <c r="W2600" s="131"/>
      <c r="X2600" s="131"/>
    </row>
    <row r="2601" spans="9:24" x14ac:dyDescent="0.25">
      <c r="I2601" s="131"/>
      <c r="J2601" s="131"/>
      <c r="K2601" s="131"/>
      <c r="L2601" s="131"/>
      <c r="U2601" s="131"/>
      <c r="V2601" s="131"/>
      <c r="W2601" s="131"/>
      <c r="X2601" s="131"/>
    </row>
    <row r="2602" spans="9:24" x14ac:dyDescent="0.25">
      <c r="I2602" s="131"/>
      <c r="J2602" s="131"/>
      <c r="K2602" s="131"/>
      <c r="L2602" s="131"/>
      <c r="U2602" s="131"/>
      <c r="V2602" s="131"/>
      <c r="W2602" s="131"/>
      <c r="X2602" s="131"/>
    </row>
    <row r="2603" spans="9:24" x14ac:dyDescent="0.25">
      <c r="I2603" s="131"/>
      <c r="J2603" s="131"/>
      <c r="K2603" s="131"/>
      <c r="L2603" s="131"/>
      <c r="U2603" s="131"/>
      <c r="V2603" s="131"/>
      <c r="W2603" s="131"/>
      <c r="X2603" s="131"/>
    </row>
    <row r="2604" spans="9:24" x14ac:dyDescent="0.25">
      <c r="I2604" s="131"/>
      <c r="J2604" s="131"/>
      <c r="K2604" s="131"/>
      <c r="L2604" s="131"/>
      <c r="U2604" s="131"/>
      <c r="V2604" s="131"/>
      <c r="W2604" s="131"/>
      <c r="X2604" s="131"/>
    </row>
    <row r="2605" spans="9:24" x14ac:dyDescent="0.25">
      <c r="I2605" s="131"/>
      <c r="J2605" s="131"/>
      <c r="K2605" s="131"/>
      <c r="L2605" s="131"/>
      <c r="U2605" s="131"/>
      <c r="V2605" s="131"/>
      <c r="W2605" s="131"/>
      <c r="X2605" s="131"/>
    </row>
    <row r="2606" spans="9:24" x14ac:dyDescent="0.25">
      <c r="I2606" s="131"/>
      <c r="J2606" s="131"/>
      <c r="K2606" s="131"/>
      <c r="L2606" s="131"/>
      <c r="U2606" s="131"/>
      <c r="V2606" s="131"/>
      <c r="W2606" s="131"/>
      <c r="X2606" s="131"/>
    </row>
    <row r="2607" spans="9:24" x14ac:dyDescent="0.25">
      <c r="I2607" s="131"/>
      <c r="J2607" s="131"/>
      <c r="K2607" s="131"/>
      <c r="L2607" s="131"/>
      <c r="U2607" s="131"/>
      <c r="V2607" s="131"/>
      <c r="W2607" s="131"/>
      <c r="X2607" s="131"/>
    </row>
    <row r="2608" spans="9:24" x14ac:dyDescent="0.25">
      <c r="I2608" s="131"/>
      <c r="J2608" s="131"/>
      <c r="K2608" s="131"/>
      <c r="L2608" s="131"/>
      <c r="U2608" s="131"/>
      <c r="V2608" s="131"/>
      <c r="W2608" s="131"/>
      <c r="X2608" s="131"/>
    </row>
    <row r="2609" spans="9:24" x14ac:dyDescent="0.25">
      <c r="I2609" s="131"/>
      <c r="J2609" s="131"/>
      <c r="K2609" s="131"/>
      <c r="L2609" s="131"/>
      <c r="U2609" s="131"/>
      <c r="V2609" s="131"/>
      <c r="W2609" s="131"/>
      <c r="X2609" s="131"/>
    </row>
    <row r="2610" spans="9:24" x14ac:dyDescent="0.25">
      <c r="I2610" s="131"/>
      <c r="J2610" s="131"/>
      <c r="K2610" s="131"/>
      <c r="L2610" s="131"/>
      <c r="U2610" s="131"/>
      <c r="V2610" s="131"/>
      <c r="W2610" s="131"/>
      <c r="X2610" s="131"/>
    </row>
    <row r="2611" spans="9:24" x14ac:dyDescent="0.25">
      <c r="I2611" s="131"/>
      <c r="J2611" s="131"/>
      <c r="K2611" s="131"/>
      <c r="L2611" s="131"/>
      <c r="U2611" s="131"/>
      <c r="V2611" s="131"/>
      <c r="W2611" s="131"/>
      <c r="X2611" s="131"/>
    </row>
    <row r="2612" spans="9:24" x14ac:dyDescent="0.25">
      <c r="I2612" s="131"/>
      <c r="J2612" s="131"/>
      <c r="K2612" s="131"/>
      <c r="L2612" s="131"/>
      <c r="U2612" s="131"/>
      <c r="V2612" s="131"/>
      <c r="W2612" s="131"/>
      <c r="X2612" s="131"/>
    </row>
    <row r="2613" spans="9:24" x14ac:dyDescent="0.25">
      <c r="I2613" s="131"/>
      <c r="J2613" s="131"/>
      <c r="K2613" s="131"/>
      <c r="L2613" s="131"/>
      <c r="U2613" s="131"/>
      <c r="V2613" s="131"/>
      <c r="W2613" s="131"/>
      <c r="X2613" s="131"/>
    </row>
    <row r="2614" spans="9:24" x14ac:dyDescent="0.25">
      <c r="I2614" s="131"/>
      <c r="J2614" s="131"/>
      <c r="K2614" s="131"/>
      <c r="L2614" s="131"/>
      <c r="U2614" s="131"/>
      <c r="V2614" s="131"/>
      <c r="W2614" s="131"/>
      <c r="X2614" s="131"/>
    </row>
    <row r="2615" spans="9:24" x14ac:dyDescent="0.25">
      <c r="I2615" s="131"/>
      <c r="J2615" s="131"/>
      <c r="K2615" s="131"/>
      <c r="L2615" s="131"/>
      <c r="U2615" s="131"/>
      <c r="V2615" s="131"/>
      <c r="W2615" s="131"/>
      <c r="X2615" s="131"/>
    </row>
    <row r="2616" spans="9:24" x14ac:dyDescent="0.25">
      <c r="I2616" s="131"/>
      <c r="J2616" s="131"/>
      <c r="K2616" s="131"/>
      <c r="L2616" s="131"/>
      <c r="U2616" s="131"/>
      <c r="V2616" s="131"/>
      <c r="W2616" s="131"/>
      <c r="X2616" s="131"/>
    </row>
    <row r="2617" spans="9:24" x14ac:dyDescent="0.25">
      <c r="I2617" s="131"/>
      <c r="J2617" s="131"/>
      <c r="K2617" s="131"/>
      <c r="L2617" s="131"/>
      <c r="U2617" s="131"/>
      <c r="V2617" s="131"/>
      <c r="W2617" s="131"/>
      <c r="X2617" s="131"/>
    </row>
    <row r="2618" spans="9:24" x14ac:dyDescent="0.25">
      <c r="I2618" s="131"/>
      <c r="J2618" s="131"/>
      <c r="K2618" s="131"/>
      <c r="L2618" s="131"/>
      <c r="U2618" s="131"/>
      <c r="V2618" s="131"/>
      <c r="W2618" s="131"/>
      <c r="X2618" s="131"/>
    </row>
    <row r="2619" spans="9:24" x14ac:dyDescent="0.25">
      <c r="I2619" s="131"/>
      <c r="J2619" s="131"/>
      <c r="K2619" s="131"/>
      <c r="L2619" s="131"/>
      <c r="U2619" s="131"/>
      <c r="V2619" s="131"/>
      <c r="W2619" s="131"/>
      <c r="X2619" s="131"/>
    </row>
    <row r="2620" spans="9:24" x14ac:dyDescent="0.25">
      <c r="I2620" s="131"/>
      <c r="J2620" s="131"/>
      <c r="K2620" s="131"/>
      <c r="L2620" s="131"/>
      <c r="U2620" s="131"/>
      <c r="V2620" s="131"/>
      <c r="W2620" s="131"/>
      <c r="X2620" s="131"/>
    </row>
    <row r="2621" spans="9:24" x14ac:dyDescent="0.25">
      <c r="I2621" s="131"/>
      <c r="J2621" s="131"/>
      <c r="K2621" s="131"/>
      <c r="L2621" s="131"/>
      <c r="U2621" s="131"/>
      <c r="V2621" s="131"/>
      <c r="W2621" s="131"/>
      <c r="X2621" s="131"/>
    </row>
    <row r="2622" spans="9:24" x14ac:dyDescent="0.25">
      <c r="I2622" s="131"/>
      <c r="J2622" s="131"/>
      <c r="K2622" s="131"/>
      <c r="L2622" s="131"/>
      <c r="U2622" s="131"/>
      <c r="V2622" s="131"/>
      <c r="W2622" s="131"/>
      <c r="X2622" s="131"/>
    </row>
    <row r="2623" spans="9:24" x14ac:dyDescent="0.25">
      <c r="I2623" s="131"/>
      <c r="J2623" s="131"/>
      <c r="K2623" s="131"/>
      <c r="L2623" s="131"/>
      <c r="U2623" s="131"/>
      <c r="V2623" s="131"/>
      <c r="W2623" s="131"/>
      <c r="X2623" s="131"/>
    </row>
    <row r="2624" spans="9:24" x14ac:dyDescent="0.25">
      <c r="I2624" s="131"/>
      <c r="J2624" s="131"/>
      <c r="K2624" s="131"/>
      <c r="L2624" s="131"/>
      <c r="U2624" s="131"/>
      <c r="V2624" s="131"/>
      <c r="W2624" s="131"/>
      <c r="X2624" s="131"/>
    </row>
    <row r="2625" spans="9:24" x14ac:dyDescent="0.25">
      <c r="I2625" s="131"/>
      <c r="J2625" s="131"/>
      <c r="K2625" s="131"/>
      <c r="L2625" s="131"/>
      <c r="U2625" s="131"/>
      <c r="V2625" s="131"/>
      <c r="W2625" s="131"/>
      <c r="X2625" s="131"/>
    </row>
    <row r="2626" spans="9:24" x14ac:dyDescent="0.25">
      <c r="I2626" s="131"/>
      <c r="J2626" s="131"/>
      <c r="K2626" s="131"/>
      <c r="L2626" s="131"/>
      <c r="U2626" s="131"/>
      <c r="V2626" s="131"/>
      <c r="W2626" s="131"/>
      <c r="X2626" s="131"/>
    </row>
    <row r="2627" spans="9:24" x14ac:dyDescent="0.25">
      <c r="I2627" s="131"/>
      <c r="J2627" s="131"/>
      <c r="K2627" s="131"/>
      <c r="L2627" s="131"/>
      <c r="U2627" s="131"/>
      <c r="V2627" s="131"/>
      <c r="W2627" s="131"/>
      <c r="X2627" s="131"/>
    </row>
    <row r="2628" spans="9:24" x14ac:dyDescent="0.25">
      <c r="I2628" s="131"/>
      <c r="J2628" s="131"/>
      <c r="K2628" s="131"/>
      <c r="L2628" s="131"/>
      <c r="U2628" s="131"/>
      <c r="V2628" s="131"/>
      <c r="W2628" s="131"/>
      <c r="X2628" s="131"/>
    </row>
    <row r="2629" spans="9:24" x14ac:dyDescent="0.25">
      <c r="I2629" s="131"/>
      <c r="J2629" s="131"/>
      <c r="K2629" s="131"/>
      <c r="L2629" s="131"/>
      <c r="U2629" s="131"/>
      <c r="V2629" s="131"/>
      <c r="W2629" s="131"/>
      <c r="X2629" s="131"/>
    </row>
    <row r="2630" spans="9:24" x14ac:dyDescent="0.25">
      <c r="I2630" s="131"/>
      <c r="J2630" s="131"/>
      <c r="K2630" s="131"/>
      <c r="L2630" s="131"/>
      <c r="U2630" s="131"/>
      <c r="V2630" s="131"/>
      <c r="W2630" s="131"/>
      <c r="X2630" s="131"/>
    </row>
    <row r="2631" spans="9:24" x14ac:dyDescent="0.25">
      <c r="I2631" s="131"/>
      <c r="J2631" s="131"/>
      <c r="K2631" s="131"/>
      <c r="L2631" s="131"/>
      <c r="U2631" s="131"/>
      <c r="V2631" s="131"/>
      <c r="W2631" s="131"/>
      <c r="X2631" s="131"/>
    </row>
    <row r="2632" spans="9:24" x14ac:dyDescent="0.25">
      <c r="I2632" s="131"/>
      <c r="J2632" s="131"/>
      <c r="K2632" s="131"/>
      <c r="L2632" s="131"/>
      <c r="U2632" s="131"/>
      <c r="V2632" s="131"/>
      <c r="W2632" s="131"/>
      <c r="X2632" s="131"/>
    </row>
    <row r="2633" spans="9:24" x14ac:dyDescent="0.25">
      <c r="I2633" s="131"/>
      <c r="J2633" s="131"/>
      <c r="K2633" s="131"/>
      <c r="L2633" s="131"/>
      <c r="U2633" s="131"/>
      <c r="V2633" s="131"/>
      <c r="W2633" s="131"/>
      <c r="X2633" s="131"/>
    </row>
    <row r="2634" spans="9:24" x14ac:dyDescent="0.25">
      <c r="I2634" s="131"/>
      <c r="J2634" s="131"/>
      <c r="K2634" s="131"/>
      <c r="L2634" s="131"/>
      <c r="U2634" s="131"/>
      <c r="V2634" s="131"/>
      <c r="W2634" s="131"/>
      <c r="X2634" s="131"/>
    </row>
    <row r="2635" spans="9:24" x14ac:dyDescent="0.25">
      <c r="I2635" s="131"/>
      <c r="J2635" s="131"/>
      <c r="K2635" s="131"/>
      <c r="L2635" s="131"/>
      <c r="U2635" s="131"/>
      <c r="V2635" s="131"/>
      <c r="W2635" s="131"/>
      <c r="X2635" s="131"/>
    </row>
    <row r="2636" spans="9:24" x14ac:dyDescent="0.25">
      <c r="I2636" s="131"/>
      <c r="J2636" s="131"/>
      <c r="K2636" s="131"/>
      <c r="L2636" s="131"/>
      <c r="U2636" s="131"/>
      <c r="V2636" s="131"/>
      <c r="W2636" s="131"/>
      <c r="X2636" s="131"/>
    </row>
    <row r="2637" spans="9:24" x14ac:dyDescent="0.25">
      <c r="I2637" s="131"/>
      <c r="J2637" s="131"/>
      <c r="K2637" s="131"/>
      <c r="L2637" s="131"/>
      <c r="U2637" s="131"/>
      <c r="V2637" s="131"/>
      <c r="W2637" s="131"/>
      <c r="X2637" s="131"/>
    </row>
    <row r="2638" spans="9:24" x14ac:dyDescent="0.25">
      <c r="I2638" s="131"/>
      <c r="J2638" s="131"/>
      <c r="K2638" s="131"/>
      <c r="L2638" s="131"/>
      <c r="U2638" s="131"/>
      <c r="V2638" s="131"/>
      <c r="W2638" s="131"/>
      <c r="X2638" s="131"/>
    </row>
    <row r="2639" spans="9:24" x14ac:dyDescent="0.25">
      <c r="I2639" s="131"/>
      <c r="J2639" s="131"/>
      <c r="K2639" s="131"/>
      <c r="L2639" s="131"/>
      <c r="U2639" s="131"/>
      <c r="V2639" s="131"/>
      <c r="W2639" s="131"/>
      <c r="X2639" s="131"/>
    </row>
    <row r="2640" spans="9:24" x14ac:dyDescent="0.25">
      <c r="I2640" s="131"/>
      <c r="J2640" s="131"/>
      <c r="K2640" s="131"/>
      <c r="L2640" s="131"/>
      <c r="U2640" s="131"/>
      <c r="V2640" s="131"/>
      <c r="W2640" s="131"/>
      <c r="X2640" s="131"/>
    </row>
    <row r="2641" spans="9:24" x14ac:dyDescent="0.25">
      <c r="I2641" s="131"/>
      <c r="J2641" s="131"/>
      <c r="K2641" s="131"/>
      <c r="L2641" s="131"/>
      <c r="U2641" s="131"/>
      <c r="V2641" s="131"/>
      <c r="W2641" s="131"/>
      <c r="X2641" s="131"/>
    </row>
    <row r="2642" spans="9:24" x14ac:dyDescent="0.25">
      <c r="I2642" s="131"/>
      <c r="J2642" s="131"/>
      <c r="K2642" s="131"/>
      <c r="L2642" s="131"/>
      <c r="U2642" s="131"/>
      <c r="V2642" s="131"/>
      <c r="W2642" s="131"/>
      <c r="X2642" s="131"/>
    </row>
    <row r="2643" spans="9:24" x14ac:dyDescent="0.25">
      <c r="I2643" s="131"/>
      <c r="J2643" s="131"/>
      <c r="K2643" s="131"/>
      <c r="L2643" s="131"/>
      <c r="U2643" s="131"/>
      <c r="V2643" s="131"/>
      <c r="W2643" s="131"/>
      <c r="X2643" s="131"/>
    </row>
    <row r="2644" spans="9:24" x14ac:dyDescent="0.25">
      <c r="I2644" s="131"/>
      <c r="J2644" s="131"/>
      <c r="K2644" s="131"/>
      <c r="L2644" s="131"/>
      <c r="U2644" s="131"/>
      <c r="V2644" s="131"/>
      <c r="W2644" s="131"/>
      <c r="X2644" s="131"/>
    </row>
    <row r="2645" spans="9:24" x14ac:dyDescent="0.25">
      <c r="I2645" s="131"/>
      <c r="J2645" s="131"/>
      <c r="K2645" s="131"/>
      <c r="L2645" s="131"/>
      <c r="U2645" s="131"/>
      <c r="V2645" s="131"/>
      <c r="W2645" s="131"/>
      <c r="X2645" s="131"/>
    </row>
    <row r="2646" spans="9:24" x14ac:dyDescent="0.25">
      <c r="I2646" s="131"/>
      <c r="J2646" s="131"/>
      <c r="K2646" s="131"/>
      <c r="L2646" s="131"/>
      <c r="U2646" s="131"/>
      <c r="V2646" s="131"/>
      <c r="W2646" s="131"/>
      <c r="X2646" s="131"/>
    </row>
    <row r="2647" spans="9:24" x14ac:dyDescent="0.25">
      <c r="I2647" s="131"/>
      <c r="J2647" s="131"/>
      <c r="K2647" s="131"/>
      <c r="L2647" s="131"/>
      <c r="U2647" s="131"/>
      <c r="V2647" s="131"/>
      <c r="W2647" s="131"/>
      <c r="X2647" s="131"/>
    </row>
    <row r="2648" spans="9:24" x14ac:dyDescent="0.25">
      <c r="I2648" s="131"/>
      <c r="J2648" s="131"/>
      <c r="K2648" s="131"/>
      <c r="L2648" s="131"/>
      <c r="U2648" s="131"/>
      <c r="V2648" s="131"/>
      <c r="W2648" s="131"/>
      <c r="X2648" s="131"/>
    </row>
    <row r="2649" spans="9:24" x14ac:dyDescent="0.25">
      <c r="I2649" s="131"/>
      <c r="J2649" s="131"/>
      <c r="K2649" s="131"/>
      <c r="L2649" s="131"/>
      <c r="U2649" s="131"/>
      <c r="V2649" s="131"/>
      <c r="W2649" s="131"/>
      <c r="X2649" s="131"/>
    </row>
    <row r="2650" spans="9:24" x14ac:dyDescent="0.25">
      <c r="I2650" s="131"/>
      <c r="J2650" s="131"/>
      <c r="K2650" s="131"/>
      <c r="L2650" s="131"/>
      <c r="U2650" s="131"/>
      <c r="V2650" s="131"/>
      <c r="W2650" s="131"/>
      <c r="X2650" s="131"/>
    </row>
    <row r="2651" spans="9:24" x14ac:dyDescent="0.25">
      <c r="I2651" s="131"/>
      <c r="J2651" s="131"/>
      <c r="K2651" s="131"/>
      <c r="L2651" s="131"/>
      <c r="U2651" s="131"/>
      <c r="V2651" s="131"/>
      <c r="W2651" s="131"/>
      <c r="X2651" s="131"/>
    </row>
    <row r="2652" spans="9:24" x14ac:dyDescent="0.25">
      <c r="I2652" s="131"/>
      <c r="J2652" s="131"/>
      <c r="K2652" s="131"/>
      <c r="L2652" s="131"/>
      <c r="U2652" s="131"/>
      <c r="V2652" s="131"/>
      <c r="W2652" s="131"/>
      <c r="X2652" s="131"/>
    </row>
    <row r="2653" spans="9:24" x14ac:dyDescent="0.25">
      <c r="I2653" s="131"/>
      <c r="J2653" s="131"/>
      <c r="K2653" s="131"/>
      <c r="L2653" s="131"/>
      <c r="U2653" s="131"/>
      <c r="V2653" s="131"/>
      <c r="W2653" s="131"/>
      <c r="X2653" s="131"/>
    </row>
    <row r="2654" spans="9:24" x14ac:dyDescent="0.25">
      <c r="I2654" s="131"/>
      <c r="J2654" s="131"/>
      <c r="K2654" s="131"/>
      <c r="L2654" s="131"/>
      <c r="U2654" s="131"/>
      <c r="V2654" s="131"/>
      <c r="W2654" s="131"/>
      <c r="X2654" s="131"/>
    </row>
    <row r="2655" spans="9:24" x14ac:dyDescent="0.25">
      <c r="I2655" s="131"/>
      <c r="J2655" s="131"/>
      <c r="K2655" s="131"/>
      <c r="L2655" s="131"/>
      <c r="U2655" s="131"/>
      <c r="V2655" s="131"/>
      <c r="W2655" s="131"/>
      <c r="X2655" s="131"/>
    </row>
    <row r="2656" spans="9:24" x14ac:dyDescent="0.25">
      <c r="I2656" s="131"/>
      <c r="J2656" s="131"/>
      <c r="K2656" s="131"/>
      <c r="L2656" s="131"/>
      <c r="U2656" s="131"/>
      <c r="V2656" s="131"/>
      <c r="W2656" s="131"/>
      <c r="X2656" s="131"/>
    </row>
    <row r="2657" spans="9:24" x14ac:dyDescent="0.25">
      <c r="I2657" s="131"/>
      <c r="J2657" s="131"/>
      <c r="K2657" s="131"/>
      <c r="L2657" s="131"/>
      <c r="U2657" s="131"/>
      <c r="V2657" s="131"/>
      <c r="W2657" s="131"/>
      <c r="X2657" s="131"/>
    </row>
    <row r="2658" spans="9:24" x14ac:dyDescent="0.25">
      <c r="I2658" s="131"/>
      <c r="J2658" s="131"/>
      <c r="K2658" s="131"/>
      <c r="L2658" s="131"/>
      <c r="U2658" s="131"/>
      <c r="V2658" s="131"/>
      <c r="W2658" s="131"/>
      <c r="X2658" s="131"/>
    </row>
    <row r="2659" spans="9:24" x14ac:dyDescent="0.25">
      <c r="I2659" s="131"/>
      <c r="J2659" s="131"/>
      <c r="K2659" s="131"/>
      <c r="L2659" s="131"/>
      <c r="U2659" s="131"/>
      <c r="V2659" s="131"/>
      <c r="W2659" s="131"/>
      <c r="X2659" s="131"/>
    </row>
    <row r="2660" spans="9:24" x14ac:dyDescent="0.25">
      <c r="I2660" s="131"/>
      <c r="J2660" s="131"/>
      <c r="K2660" s="131"/>
      <c r="L2660" s="131"/>
      <c r="U2660" s="131"/>
      <c r="V2660" s="131"/>
      <c r="W2660" s="131"/>
      <c r="X2660" s="131"/>
    </row>
    <row r="2661" spans="9:24" x14ac:dyDescent="0.25">
      <c r="I2661" s="131"/>
      <c r="J2661" s="131"/>
      <c r="K2661" s="131"/>
      <c r="L2661" s="131"/>
      <c r="U2661" s="131"/>
      <c r="V2661" s="131"/>
      <c r="W2661" s="131"/>
      <c r="X2661" s="131"/>
    </row>
    <row r="2662" spans="9:24" x14ac:dyDescent="0.25">
      <c r="I2662" s="131"/>
      <c r="J2662" s="131"/>
      <c r="K2662" s="131"/>
      <c r="L2662" s="131"/>
      <c r="U2662" s="131"/>
      <c r="V2662" s="131"/>
      <c r="W2662" s="131"/>
      <c r="X2662" s="131"/>
    </row>
    <row r="2663" spans="9:24" x14ac:dyDescent="0.25">
      <c r="I2663" s="131"/>
      <c r="J2663" s="131"/>
      <c r="K2663" s="131"/>
      <c r="L2663" s="131"/>
      <c r="U2663" s="131"/>
      <c r="V2663" s="131"/>
      <c r="W2663" s="131"/>
      <c r="X2663" s="131"/>
    </row>
    <row r="2664" spans="9:24" x14ac:dyDescent="0.25">
      <c r="I2664" s="131"/>
      <c r="J2664" s="131"/>
      <c r="K2664" s="131"/>
      <c r="L2664" s="131"/>
      <c r="U2664" s="131"/>
      <c r="V2664" s="131"/>
      <c r="W2664" s="131"/>
      <c r="X2664" s="131"/>
    </row>
    <row r="2665" spans="9:24" x14ac:dyDescent="0.25">
      <c r="I2665" s="131"/>
      <c r="J2665" s="131"/>
      <c r="K2665" s="131"/>
      <c r="L2665" s="131"/>
      <c r="U2665" s="131"/>
      <c r="V2665" s="131"/>
      <c r="W2665" s="131"/>
      <c r="X2665" s="131"/>
    </row>
    <row r="2666" spans="9:24" x14ac:dyDescent="0.25">
      <c r="I2666" s="131"/>
      <c r="J2666" s="131"/>
      <c r="K2666" s="131"/>
      <c r="L2666" s="131"/>
      <c r="U2666" s="131"/>
      <c r="V2666" s="131"/>
      <c r="W2666" s="131"/>
      <c r="X2666" s="131"/>
    </row>
    <row r="2667" spans="9:24" x14ac:dyDescent="0.25">
      <c r="I2667" s="131"/>
      <c r="J2667" s="131"/>
      <c r="K2667" s="131"/>
      <c r="L2667" s="131"/>
      <c r="U2667" s="131"/>
      <c r="V2667" s="131"/>
      <c r="W2667" s="131"/>
      <c r="X2667" s="131"/>
    </row>
    <row r="2668" spans="9:24" x14ac:dyDescent="0.25">
      <c r="I2668" s="131"/>
      <c r="J2668" s="131"/>
      <c r="K2668" s="131"/>
      <c r="L2668" s="131"/>
      <c r="U2668" s="131"/>
      <c r="V2668" s="131"/>
      <c r="W2668" s="131"/>
      <c r="X2668" s="131"/>
    </row>
    <row r="2669" spans="9:24" x14ac:dyDescent="0.25">
      <c r="I2669" s="131"/>
      <c r="J2669" s="131"/>
      <c r="K2669" s="131"/>
      <c r="L2669" s="131"/>
      <c r="U2669" s="131"/>
      <c r="V2669" s="131"/>
      <c r="W2669" s="131"/>
      <c r="X2669" s="131"/>
    </row>
    <row r="2670" spans="9:24" x14ac:dyDescent="0.25">
      <c r="I2670" s="131"/>
      <c r="J2670" s="131"/>
      <c r="K2670" s="131"/>
      <c r="L2670" s="131"/>
      <c r="U2670" s="131"/>
      <c r="V2670" s="131"/>
      <c r="W2670" s="131"/>
      <c r="X2670" s="131"/>
    </row>
    <row r="2671" spans="9:24" x14ac:dyDescent="0.25">
      <c r="I2671" s="131"/>
      <c r="J2671" s="131"/>
      <c r="K2671" s="131"/>
      <c r="L2671" s="131"/>
      <c r="U2671" s="131"/>
      <c r="V2671" s="131"/>
      <c r="W2671" s="131"/>
      <c r="X2671" s="131"/>
    </row>
    <row r="2672" spans="9:24" x14ac:dyDescent="0.25">
      <c r="I2672" s="131"/>
      <c r="J2672" s="131"/>
      <c r="K2672" s="131"/>
      <c r="L2672" s="131"/>
      <c r="U2672" s="131"/>
      <c r="V2672" s="131"/>
      <c r="W2672" s="131"/>
      <c r="X2672" s="131"/>
    </row>
    <row r="2673" spans="9:24" x14ac:dyDescent="0.25">
      <c r="I2673" s="131"/>
      <c r="J2673" s="131"/>
      <c r="K2673" s="131"/>
      <c r="L2673" s="131"/>
      <c r="U2673" s="131"/>
      <c r="V2673" s="131"/>
      <c r="W2673" s="131"/>
      <c r="X2673" s="131"/>
    </row>
    <row r="2674" spans="9:24" x14ac:dyDescent="0.25">
      <c r="I2674" s="131"/>
      <c r="J2674" s="131"/>
      <c r="K2674" s="131"/>
      <c r="L2674" s="131"/>
      <c r="U2674" s="131"/>
      <c r="V2674" s="131"/>
      <c r="W2674" s="131"/>
      <c r="X2674" s="131"/>
    </row>
    <row r="2675" spans="9:24" x14ac:dyDescent="0.25">
      <c r="I2675" s="131"/>
      <c r="J2675" s="131"/>
      <c r="K2675" s="131"/>
      <c r="L2675" s="131"/>
      <c r="U2675" s="131"/>
      <c r="V2675" s="131"/>
      <c r="W2675" s="131"/>
      <c r="X2675" s="131"/>
    </row>
    <row r="2676" spans="9:24" x14ac:dyDescent="0.25">
      <c r="I2676" s="131"/>
      <c r="J2676" s="131"/>
      <c r="K2676" s="131"/>
      <c r="L2676" s="131"/>
      <c r="U2676" s="131"/>
      <c r="V2676" s="131"/>
      <c r="W2676" s="131"/>
      <c r="X2676" s="131"/>
    </row>
    <row r="2677" spans="9:24" x14ac:dyDescent="0.25">
      <c r="I2677" s="131"/>
      <c r="J2677" s="131"/>
      <c r="K2677" s="131"/>
      <c r="L2677" s="131"/>
      <c r="U2677" s="131"/>
      <c r="V2677" s="131"/>
      <c r="W2677" s="131"/>
      <c r="X2677" s="131"/>
    </row>
    <row r="2678" spans="9:24" x14ac:dyDescent="0.25">
      <c r="I2678" s="131"/>
      <c r="J2678" s="131"/>
      <c r="K2678" s="131"/>
      <c r="L2678" s="131"/>
      <c r="U2678" s="131"/>
      <c r="V2678" s="131"/>
      <c r="W2678" s="131"/>
      <c r="X2678" s="131"/>
    </row>
    <row r="2679" spans="9:24" x14ac:dyDescent="0.25">
      <c r="I2679" s="131"/>
      <c r="J2679" s="131"/>
      <c r="K2679" s="131"/>
      <c r="L2679" s="131"/>
      <c r="U2679" s="131"/>
      <c r="V2679" s="131"/>
      <c r="W2679" s="131"/>
      <c r="X2679" s="131"/>
    </row>
    <row r="2680" spans="9:24" x14ac:dyDescent="0.25">
      <c r="I2680" s="131"/>
      <c r="J2680" s="131"/>
      <c r="K2680" s="131"/>
      <c r="L2680" s="131"/>
      <c r="U2680" s="131"/>
      <c r="V2680" s="131"/>
      <c r="W2680" s="131"/>
      <c r="X2680" s="131"/>
    </row>
    <row r="2681" spans="9:24" x14ac:dyDescent="0.25">
      <c r="I2681" s="131"/>
      <c r="J2681" s="131"/>
      <c r="K2681" s="131"/>
      <c r="L2681" s="131"/>
      <c r="U2681" s="131"/>
      <c r="V2681" s="131"/>
      <c r="W2681" s="131"/>
      <c r="X2681" s="131"/>
    </row>
    <row r="2682" spans="9:24" x14ac:dyDescent="0.25">
      <c r="I2682" s="131"/>
      <c r="J2682" s="131"/>
      <c r="K2682" s="131"/>
      <c r="L2682" s="131"/>
      <c r="U2682" s="131"/>
      <c r="V2682" s="131"/>
      <c r="W2682" s="131"/>
      <c r="X2682" s="131"/>
    </row>
    <row r="2683" spans="9:24" x14ac:dyDescent="0.25">
      <c r="I2683" s="131"/>
      <c r="J2683" s="131"/>
      <c r="K2683" s="131"/>
      <c r="L2683" s="131"/>
      <c r="U2683" s="131"/>
      <c r="V2683" s="131"/>
      <c r="W2683" s="131"/>
      <c r="X2683" s="131"/>
    </row>
    <row r="2684" spans="9:24" x14ac:dyDescent="0.25">
      <c r="I2684" s="131"/>
      <c r="J2684" s="131"/>
      <c r="K2684" s="131"/>
      <c r="L2684" s="131"/>
      <c r="U2684" s="131"/>
      <c r="V2684" s="131"/>
      <c r="W2684" s="131"/>
      <c r="X2684" s="131"/>
    </row>
    <row r="2685" spans="9:24" x14ac:dyDescent="0.25">
      <c r="I2685" s="131"/>
      <c r="J2685" s="131"/>
      <c r="K2685" s="131"/>
      <c r="L2685" s="131"/>
      <c r="U2685" s="131"/>
      <c r="V2685" s="131"/>
      <c r="W2685" s="131"/>
      <c r="X2685" s="131"/>
    </row>
    <row r="2686" spans="9:24" x14ac:dyDescent="0.25">
      <c r="I2686" s="131"/>
      <c r="J2686" s="131"/>
      <c r="K2686" s="131"/>
      <c r="L2686" s="131"/>
      <c r="U2686" s="131"/>
      <c r="V2686" s="131"/>
      <c r="W2686" s="131"/>
      <c r="X2686" s="131"/>
    </row>
    <row r="2687" spans="9:24" x14ac:dyDescent="0.25">
      <c r="I2687" s="131"/>
      <c r="J2687" s="131"/>
      <c r="K2687" s="131"/>
      <c r="L2687" s="131"/>
      <c r="U2687" s="131"/>
      <c r="V2687" s="131"/>
      <c r="W2687" s="131"/>
      <c r="X2687" s="131"/>
    </row>
    <row r="2688" spans="9:24" x14ac:dyDescent="0.25">
      <c r="I2688" s="131"/>
      <c r="J2688" s="131"/>
      <c r="K2688" s="131"/>
      <c r="L2688" s="131"/>
      <c r="U2688" s="131"/>
      <c r="V2688" s="131"/>
      <c r="W2688" s="131"/>
      <c r="X2688" s="131"/>
    </row>
    <row r="2689" spans="9:24" x14ac:dyDescent="0.25">
      <c r="I2689" s="131"/>
      <c r="J2689" s="131"/>
      <c r="K2689" s="131"/>
      <c r="L2689" s="131"/>
      <c r="U2689" s="131"/>
      <c r="V2689" s="131"/>
      <c r="W2689" s="131"/>
      <c r="X2689" s="131"/>
    </row>
    <row r="2690" spans="9:24" x14ac:dyDescent="0.25">
      <c r="I2690" s="131"/>
      <c r="J2690" s="131"/>
      <c r="K2690" s="131"/>
      <c r="L2690" s="131"/>
      <c r="U2690" s="131"/>
      <c r="V2690" s="131"/>
      <c r="W2690" s="131"/>
      <c r="X2690" s="131"/>
    </row>
    <row r="2691" spans="9:24" x14ac:dyDescent="0.25">
      <c r="I2691" s="131"/>
      <c r="J2691" s="131"/>
      <c r="K2691" s="131"/>
      <c r="L2691" s="131"/>
      <c r="U2691" s="131"/>
      <c r="V2691" s="131"/>
      <c r="W2691" s="131"/>
      <c r="X2691" s="131"/>
    </row>
    <row r="2692" spans="9:24" x14ac:dyDescent="0.25">
      <c r="I2692" s="131"/>
      <c r="J2692" s="131"/>
      <c r="K2692" s="131"/>
      <c r="L2692" s="131"/>
      <c r="U2692" s="131"/>
      <c r="V2692" s="131"/>
      <c r="W2692" s="131"/>
      <c r="X2692" s="131"/>
    </row>
    <row r="2693" spans="9:24" x14ac:dyDescent="0.25">
      <c r="I2693" s="131"/>
      <c r="J2693" s="131"/>
      <c r="K2693" s="131"/>
      <c r="L2693" s="131"/>
      <c r="U2693" s="131"/>
      <c r="V2693" s="131"/>
      <c r="W2693" s="131"/>
      <c r="X2693" s="131"/>
    </row>
    <row r="2694" spans="9:24" x14ac:dyDescent="0.25">
      <c r="I2694" s="131"/>
      <c r="J2694" s="131"/>
      <c r="K2694" s="131"/>
      <c r="L2694" s="131"/>
      <c r="U2694" s="131"/>
      <c r="V2694" s="131"/>
      <c r="W2694" s="131"/>
      <c r="X2694" s="131"/>
    </row>
    <row r="2695" spans="9:24" x14ac:dyDescent="0.25">
      <c r="I2695" s="131"/>
      <c r="J2695" s="131"/>
      <c r="K2695" s="131"/>
      <c r="L2695" s="131"/>
      <c r="U2695" s="131"/>
      <c r="V2695" s="131"/>
      <c r="W2695" s="131"/>
      <c r="X2695" s="131"/>
    </row>
    <row r="2696" spans="9:24" x14ac:dyDescent="0.25">
      <c r="I2696" s="131"/>
      <c r="J2696" s="131"/>
      <c r="K2696" s="131"/>
      <c r="L2696" s="131"/>
      <c r="U2696" s="131"/>
      <c r="V2696" s="131"/>
      <c r="W2696" s="131"/>
      <c r="X2696" s="131"/>
    </row>
    <row r="2697" spans="9:24" x14ac:dyDescent="0.25">
      <c r="I2697" s="131"/>
      <c r="J2697" s="131"/>
      <c r="K2697" s="131"/>
      <c r="L2697" s="131"/>
      <c r="U2697" s="131"/>
      <c r="V2697" s="131"/>
      <c r="W2697" s="131"/>
      <c r="X2697" s="131"/>
    </row>
    <row r="2698" spans="9:24" x14ac:dyDescent="0.25">
      <c r="I2698" s="131"/>
      <c r="J2698" s="131"/>
      <c r="K2698" s="131"/>
      <c r="L2698" s="131"/>
      <c r="U2698" s="131"/>
      <c r="V2698" s="131"/>
      <c r="W2698" s="131"/>
      <c r="X2698" s="131"/>
    </row>
    <row r="2699" spans="9:24" x14ac:dyDescent="0.25">
      <c r="I2699" s="131"/>
      <c r="J2699" s="131"/>
      <c r="K2699" s="131"/>
      <c r="L2699" s="131"/>
      <c r="U2699" s="131"/>
      <c r="V2699" s="131"/>
      <c r="W2699" s="131"/>
      <c r="X2699" s="131"/>
    </row>
    <row r="2700" spans="9:24" x14ac:dyDescent="0.25">
      <c r="I2700" s="131"/>
      <c r="J2700" s="131"/>
      <c r="K2700" s="131"/>
      <c r="L2700" s="131"/>
      <c r="U2700" s="131"/>
      <c r="V2700" s="131"/>
      <c r="W2700" s="131"/>
      <c r="X2700" s="131"/>
    </row>
    <row r="2701" spans="9:24" x14ac:dyDescent="0.25">
      <c r="I2701" s="131"/>
      <c r="J2701" s="131"/>
      <c r="K2701" s="131"/>
      <c r="L2701" s="131"/>
      <c r="U2701" s="131"/>
      <c r="V2701" s="131"/>
      <c r="W2701" s="131"/>
      <c r="X2701" s="131"/>
    </row>
    <row r="2702" spans="9:24" x14ac:dyDescent="0.25">
      <c r="I2702" s="131"/>
      <c r="J2702" s="131"/>
      <c r="K2702" s="131"/>
      <c r="L2702" s="131"/>
      <c r="U2702" s="131"/>
      <c r="V2702" s="131"/>
      <c r="W2702" s="131"/>
      <c r="X2702" s="131"/>
    </row>
    <row r="2703" spans="9:24" x14ac:dyDescent="0.25">
      <c r="I2703" s="131"/>
      <c r="J2703" s="131"/>
      <c r="K2703" s="131"/>
      <c r="L2703" s="131"/>
      <c r="U2703" s="131"/>
      <c r="V2703" s="131"/>
      <c r="W2703" s="131"/>
      <c r="X2703" s="131"/>
    </row>
    <row r="2704" spans="9:24" x14ac:dyDescent="0.25">
      <c r="I2704" s="131"/>
      <c r="J2704" s="131"/>
      <c r="K2704" s="131"/>
      <c r="L2704" s="131"/>
      <c r="U2704" s="131"/>
      <c r="V2704" s="131"/>
      <c r="W2704" s="131"/>
      <c r="X2704" s="131"/>
    </row>
    <row r="2705" spans="9:24" x14ac:dyDescent="0.25">
      <c r="I2705" s="131"/>
      <c r="J2705" s="131"/>
      <c r="K2705" s="131"/>
      <c r="L2705" s="131"/>
      <c r="U2705" s="131"/>
      <c r="V2705" s="131"/>
      <c r="W2705" s="131"/>
      <c r="X2705" s="131"/>
    </row>
    <row r="2706" spans="9:24" x14ac:dyDescent="0.25">
      <c r="I2706" s="131"/>
      <c r="J2706" s="131"/>
      <c r="K2706" s="131"/>
      <c r="L2706" s="131"/>
      <c r="U2706" s="131"/>
      <c r="V2706" s="131"/>
      <c r="W2706" s="131"/>
      <c r="X2706" s="131"/>
    </row>
    <row r="2707" spans="9:24" x14ac:dyDescent="0.25">
      <c r="I2707" s="131"/>
      <c r="J2707" s="131"/>
      <c r="K2707" s="131"/>
      <c r="L2707" s="131"/>
      <c r="U2707" s="131"/>
      <c r="V2707" s="131"/>
      <c r="W2707" s="131"/>
      <c r="X2707" s="131"/>
    </row>
    <row r="2708" spans="9:24" x14ac:dyDescent="0.25">
      <c r="I2708" s="131"/>
      <c r="J2708" s="131"/>
      <c r="K2708" s="131"/>
      <c r="L2708" s="131"/>
      <c r="U2708" s="131"/>
      <c r="V2708" s="131"/>
      <c r="W2708" s="131"/>
      <c r="X2708" s="131"/>
    </row>
    <row r="2709" spans="9:24" x14ac:dyDescent="0.25">
      <c r="I2709" s="131"/>
      <c r="J2709" s="131"/>
      <c r="K2709" s="131"/>
      <c r="L2709" s="131"/>
      <c r="U2709" s="131"/>
      <c r="V2709" s="131"/>
      <c r="W2709" s="131"/>
      <c r="X2709" s="131"/>
    </row>
    <row r="2710" spans="9:24" x14ac:dyDescent="0.25">
      <c r="I2710" s="131"/>
      <c r="J2710" s="131"/>
      <c r="K2710" s="131"/>
      <c r="L2710" s="131"/>
      <c r="U2710" s="131"/>
      <c r="V2710" s="131"/>
      <c r="W2710" s="131"/>
      <c r="X2710" s="131"/>
    </row>
    <row r="2711" spans="9:24" x14ac:dyDescent="0.25">
      <c r="I2711" s="131"/>
      <c r="J2711" s="131"/>
      <c r="K2711" s="131"/>
      <c r="L2711" s="131"/>
      <c r="U2711" s="131"/>
      <c r="V2711" s="131"/>
      <c r="W2711" s="131"/>
      <c r="X2711" s="131"/>
    </row>
    <row r="2712" spans="9:24" x14ac:dyDescent="0.25">
      <c r="I2712" s="131"/>
      <c r="J2712" s="131"/>
      <c r="K2712" s="131"/>
      <c r="L2712" s="131"/>
      <c r="U2712" s="131"/>
      <c r="V2712" s="131"/>
      <c r="W2712" s="131"/>
      <c r="X2712" s="131"/>
    </row>
    <row r="2713" spans="9:24" x14ac:dyDescent="0.25">
      <c r="I2713" s="131"/>
      <c r="J2713" s="131"/>
      <c r="K2713" s="131"/>
      <c r="L2713" s="131"/>
      <c r="U2713" s="131"/>
      <c r="V2713" s="131"/>
      <c r="W2713" s="131"/>
      <c r="X2713" s="131"/>
    </row>
    <row r="2714" spans="9:24" x14ac:dyDescent="0.25">
      <c r="I2714" s="131"/>
      <c r="J2714" s="131"/>
      <c r="K2714" s="131"/>
      <c r="L2714" s="131"/>
      <c r="U2714" s="131"/>
      <c r="V2714" s="131"/>
      <c r="W2714" s="131"/>
      <c r="X2714" s="131"/>
    </row>
    <row r="2715" spans="9:24" x14ac:dyDescent="0.25">
      <c r="I2715" s="131"/>
      <c r="J2715" s="131"/>
      <c r="K2715" s="131"/>
      <c r="L2715" s="131"/>
      <c r="U2715" s="131"/>
      <c r="V2715" s="131"/>
      <c r="W2715" s="131"/>
      <c r="X2715" s="131"/>
    </row>
    <row r="2716" spans="9:24" x14ac:dyDescent="0.25">
      <c r="I2716" s="131"/>
      <c r="J2716" s="131"/>
      <c r="K2716" s="131"/>
      <c r="L2716" s="131"/>
      <c r="U2716" s="131"/>
      <c r="V2716" s="131"/>
      <c r="W2716" s="131"/>
      <c r="X2716" s="131"/>
    </row>
    <row r="2717" spans="9:24" x14ac:dyDescent="0.25">
      <c r="I2717" s="131"/>
      <c r="J2717" s="131"/>
      <c r="K2717" s="131"/>
      <c r="L2717" s="131"/>
      <c r="U2717" s="131"/>
      <c r="V2717" s="131"/>
      <c r="W2717" s="131"/>
      <c r="X2717" s="131"/>
    </row>
    <row r="2718" spans="9:24" x14ac:dyDescent="0.25">
      <c r="I2718" s="131"/>
      <c r="J2718" s="131"/>
      <c r="K2718" s="131"/>
      <c r="L2718" s="131"/>
      <c r="U2718" s="131"/>
      <c r="V2718" s="131"/>
      <c r="W2718" s="131"/>
      <c r="X2718" s="131"/>
    </row>
    <row r="2719" spans="9:24" x14ac:dyDescent="0.25">
      <c r="I2719" s="131"/>
      <c r="J2719" s="131"/>
      <c r="K2719" s="131"/>
      <c r="L2719" s="131"/>
      <c r="U2719" s="131"/>
      <c r="V2719" s="131"/>
      <c r="W2719" s="131"/>
      <c r="X2719" s="131"/>
    </row>
    <row r="2720" spans="9:24" x14ac:dyDescent="0.25">
      <c r="I2720" s="131"/>
      <c r="J2720" s="131"/>
      <c r="K2720" s="131"/>
      <c r="L2720" s="131"/>
      <c r="U2720" s="131"/>
      <c r="V2720" s="131"/>
      <c r="W2720" s="131"/>
      <c r="X2720" s="131"/>
    </row>
    <row r="2721" spans="9:24" x14ac:dyDescent="0.25">
      <c r="I2721" s="131"/>
      <c r="J2721" s="131"/>
      <c r="K2721" s="131"/>
      <c r="L2721" s="131"/>
      <c r="U2721" s="131"/>
      <c r="V2721" s="131"/>
      <c r="W2721" s="131"/>
      <c r="X2721" s="131"/>
    </row>
    <row r="2722" spans="9:24" x14ac:dyDescent="0.25">
      <c r="I2722" s="131"/>
      <c r="J2722" s="131"/>
      <c r="K2722" s="131"/>
      <c r="L2722" s="131"/>
      <c r="U2722" s="131"/>
      <c r="V2722" s="131"/>
      <c r="W2722" s="131"/>
      <c r="X2722" s="131"/>
    </row>
    <row r="2723" spans="9:24" x14ac:dyDescent="0.25">
      <c r="I2723" s="131"/>
      <c r="J2723" s="131"/>
      <c r="K2723" s="131"/>
      <c r="L2723" s="131"/>
      <c r="U2723" s="131"/>
      <c r="V2723" s="131"/>
      <c r="W2723" s="131"/>
      <c r="X2723" s="131"/>
    </row>
    <row r="2724" spans="9:24" x14ac:dyDescent="0.25">
      <c r="I2724" s="131"/>
      <c r="J2724" s="131"/>
      <c r="K2724" s="131"/>
      <c r="L2724" s="131"/>
      <c r="U2724" s="131"/>
      <c r="V2724" s="131"/>
      <c r="W2724" s="131"/>
      <c r="X2724" s="131"/>
    </row>
    <row r="2725" spans="9:24" x14ac:dyDescent="0.25">
      <c r="I2725" s="131"/>
      <c r="J2725" s="131"/>
      <c r="K2725" s="131"/>
      <c r="L2725" s="131"/>
      <c r="U2725" s="131"/>
      <c r="V2725" s="131"/>
      <c r="W2725" s="131"/>
      <c r="X2725" s="131"/>
    </row>
    <row r="2726" spans="9:24" x14ac:dyDescent="0.25">
      <c r="I2726" s="131"/>
      <c r="J2726" s="131"/>
      <c r="K2726" s="131"/>
      <c r="L2726" s="131"/>
      <c r="U2726" s="131"/>
      <c r="V2726" s="131"/>
      <c r="W2726" s="131"/>
      <c r="X2726" s="131"/>
    </row>
    <row r="2727" spans="9:24" x14ac:dyDescent="0.25">
      <c r="I2727" s="131"/>
      <c r="J2727" s="131"/>
      <c r="K2727" s="131"/>
      <c r="L2727" s="131"/>
      <c r="U2727" s="131"/>
      <c r="V2727" s="131"/>
      <c r="W2727" s="131"/>
      <c r="X2727" s="131"/>
    </row>
    <row r="2728" spans="9:24" x14ac:dyDescent="0.25">
      <c r="I2728" s="131"/>
      <c r="J2728" s="131"/>
      <c r="K2728" s="131"/>
      <c r="L2728" s="131"/>
      <c r="U2728" s="131"/>
      <c r="V2728" s="131"/>
      <c r="W2728" s="131"/>
      <c r="X2728" s="131"/>
    </row>
    <row r="2729" spans="9:24" x14ac:dyDescent="0.25">
      <c r="I2729" s="131"/>
      <c r="J2729" s="131"/>
      <c r="K2729" s="131"/>
      <c r="L2729" s="131"/>
      <c r="U2729" s="131"/>
      <c r="V2729" s="131"/>
      <c r="W2729" s="131"/>
      <c r="X2729" s="131"/>
    </row>
    <row r="2730" spans="9:24" x14ac:dyDescent="0.25">
      <c r="I2730" s="131"/>
      <c r="J2730" s="131"/>
      <c r="K2730" s="131"/>
      <c r="L2730" s="131"/>
      <c r="U2730" s="131"/>
      <c r="V2730" s="131"/>
      <c r="W2730" s="131"/>
      <c r="X2730" s="131"/>
    </row>
    <row r="2731" spans="9:24" x14ac:dyDescent="0.25">
      <c r="I2731" s="131"/>
      <c r="J2731" s="131"/>
      <c r="K2731" s="131"/>
      <c r="L2731" s="131"/>
      <c r="U2731" s="131"/>
      <c r="V2731" s="131"/>
      <c r="W2731" s="131"/>
      <c r="X2731" s="131"/>
    </row>
    <row r="2732" spans="9:24" x14ac:dyDescent="0.25">
      <c r="I2732" s="131"/>
      <c r="J2732" s="131"/>
      <c r="K2732" s="131"/>
      <c r="L2732" s="131"/>
      <c r="U2732" s="131"/>
      <c r="V2732" s="131"/>
      <c r="W2732" s="131"/>
      <c r="X2732" s="131"/>
    </row>
    <row r="2733" spans="9:24" x14ac:dyDescent="0.25">
      <c r="I2733" s="131"/>
      <c r="J2733" s="131"/>
      <c r="K2733" s="131"/>
      <c r="L2733" s="131"/>
      <c r="U2733" s="131"/>
      <c r="V2733" s="131"/>
      <c r="W2733" s="131"/>
      <c r="X2733" s="131"/>
    </row>
    <row r="2734" spans="9:24" x14ac:dyDescent="0.25">
      <c r="I2734" s="131"/>
      <c r="J2734" s="131"/>
      <c r="K2734" s="131"/>
      <c r="L2734" s="131"/>
      <c r="U2734" s="131"/>
      <c r="V2734" s="131"/>
      <c r="W2734" s="131"/>
      <c r="X2734" s="131"/>
    </row>
    <row r="2735" spans="9:24" x14ac:dyDescent="0.25">
      <c r="I2735" s="131"/>
      <c r="J2735" s="131"/>
      <c r="K2735" s="131"/>
      <c r="L2735" s="131"/>
      <c r="U2735" s="131"/>
      <c r="V2735" s="131"/>
      <c r="W2735" s="131"/>
      <c r="X2735" s="131"/>
    </row>
    <row r="2736" spans="9:24" x14ac:dyDescent="0.25">
      <c r="I2736" s="131"/>
      <c r="J2736" s="131"/>
      <c r="K2736" s="131"/>
      <c r="L2736" s="131"/>
      <c r="U2736" s="131"/>
      <c r="V2736" s="131"/>
      <c r="W2736" s="131"/>
      <c r="X2736" s="131"/>
    </row>
    <row r="2737" spans="9:24" x14ac:dyDescent="0.25">
      <c r="I2737" s="131"/>
      <c r="J2737" s="131"/>
      <c r="K2737" s="131"/>
      <c r="L2737" s="131"/>
      <c r="U2737" s="131"/>
      <c r="V2737" s="131"/>
      <c r="W2737" s="131"/>
      <c r="X2737" s="131"/>
    </row>
    <row r="2738" spans="9:24" x14ac:dyDescent="0.25">
      <c r="I2738" s="131"/>
      <c r="J2738" s="131"/>
      <c r="K2738" s="131"/>
      <c r="L2738" s="131"/>
      <c r="U2738" s="131"/>
      <c r="V2738" s="131"/>
      <c r="W2738" s="131"/>
      <c r="X2738" s="131"/>
    </row>
    <row r="2739" spans="9:24" x14ac:dyDescent="0.25">
      <c r="I2739" s="131"/>
      <c r="J2739" s="131"/>
      <c r="K2739" s="131"/>
      <c r="L2739" s="131"/>
      <c r="U2739" s="131"/>
      <c r="V2739" s="131"/>
      <c r="W2739" s="131"/>
      <c r="X2739" s="131"/>
    </row>
    <row r="2740" spans="9:24" x14ac:dyDescent="0.25">
      <c r="I2740" s="131"/>
      <c r="J2740" s="131"/>
      <c r="K2740" s="131"/>
      <c r="L2740" s="131"/>
      <c r="U2740" s="131"/>
      <c r="V2740" s="131"/>
      <c r="W2740" s="131"/>
      <c r="X2740" s="131"/>
    </row>
    <row r="2741" spans="9:24" x14ac:dyDescent="0.25">
      <c r="I2741" s="131"/>
      <c r="J2741" s="131"/>
      <c r="K2741" s="131"/>
      <c r="L2741" s="131"/>
      <c r="U2741" s="131"/>
      <c r="V2741" s="131"/>
      <c r="W2741" s="131"/>
      <c r="X2741" s="131"/>
    </row>
    <row r="2742" spans="9:24" x14ac:dyDescent="0.25">
      <c r="I2742" s="131"/>
      <c r="J2742" s="131"/>
      <c r="K2742" s="131"/>
      <c r="L2742" s="131"/>
      <c r="U2742" s="131"/>
      <c r="V2742" s="131"/>
      <c r="W2742" s="131"/>
      <c r="X2742" s="131"/>
    </row>
    <row r="2743" spans="9:24" x14ac:dyDescent="0.25">
      <c r="I2743" s="131"/>
      <c r="J2743" s="131"/>
      <c r="K2743" s="131"/>
      <c r="L2743" s="131"/>
      <c r="U2743" s="131"/>
      <c r="V2743" s="131"/>
      <c r="W2743" s="131"/>
      <c r="X2743" s="131"/>
    </row>
    <row r="2744" spans="9:24" x14ac:dyDescent="0.25">
      <c r="I2744" s="131"/>
      <c r="J2744" s="131"/>
      <c r="K2744" s="131"/>
      <c r="L2744" s="131"/>
      <c r="U2744" s="131"/>
      <c r="V2744" s="131"/>
      <c r="W2744" s="131"/>
      <c r="X2744" s="131"/>
    </row>
    <row r="2745" spans="9:24" x14ac:dyDescent="0.25">
      <c r="I2745" s="131"/>
      <c r="J2745" s="131"/>
      <c r="K2745" s="131"/>
      <c r="L2745" s="131"/>
      <c r="U2745" s="131"/>
      <c r="V2745" s="131"/>
      <c r="W2745" s="131"/>
      <c r="X2745" s="131"/>
    </row>
    <row r="2746" spans="9:24" x14ac:dyDescent="0.25">
      <c r="I2746" s="131"/>
      <c r="J2746" s="131"/>
      <c r="K2746" s="131"/>
      <c r="L2746" s="131"/>
      <c r="U2746" s="131"/>
      <c r="V2746" s="131"/>
      <c r="W2746" s="131"/>
      <c r="X2746" s="131"/>
    </row>
    <row r="2747" spans="9:24" x14ac:dyDescent="0.25">
      <c r="I2747" s="131"/>
      <c r="J2747" s="131"/>
      <c r="K2747" s="131"/>
      <c r="L2747" s="131"/>
      <c r="U2747" s="131"/>
      <c r="V2747" s="131"/>
      <c r="W2747" s="131"/>
      <c r="X2747" s="131"/>
    </row>
    <row r="2748" spans="9:24" x14ac:dyDescent="0.25">
      <c r="I2748" s="131"/>
      <c r="J2748" s="131"/>
      <c r="K2748" s="131"/>
      <c r="L2748" s="131"/>
      <c r="U2748" s="131"/>
      <c r="V2748" s="131"/>
      <c r="W2748" s="131"/>
      <c r="X2748" s="131"/>
    </row>
    <row r="2749" spans="9:24" x14ac:dyDescent="0.25">
      <c r="I2749" s="131"/>
      <c r="J2749" s="131"/>
      <c r="K2749" s="131"/>
      <c r="L2749" s="131"/>
      <c r="U2749" s="131"/>
      <c r="V2749" s="131"/>
      <c r="W2749" s="131"/>
      <c r="X2749" s="131"/>
    </row>
    <row r="2750" spans="9:24" x14ac:dyDescent="0.25">
      <c r="I2750" s="131"/>
      <c r="J2750" s="131"/>
      <c r="K2750" s="131"/>
      <c r="L2750" s="131"/>
      <c r="U2750" s="131"/>
      <c r="V2750" s="131"/>
      <c r="W2750" s="131"/>
      <c r="X2750" s="131"/>
    </row>
    <row r="2751" spans="9:24" x14ac:dyDescent="0.25">
      <c r="I2751" s="131"/>
      <c r="J2751" s="131"/>
      <c r="K2751" s="131"/>
      <c r="L2751" s="131"/>
      <c r="U2751" s="131"/>
      <c r="V2751" s="131"/>
      <c r="W2751" s="131"/>
      <c r="X2751" s="131"/>
    </row>
    <row r="2752" spans="9:24" x14ac:dyDescent="0.25">
      <c r="I2752" s="131"/>
      <c r="J2752" s="131"/>
      <c r="K2752" s="131"/>
      <c r="L2752" s="131"/>
      <c r="U2752" s="131"/>
      <c r="V2752" s="131"/>
      <c r="W2752" s="131"/>
      <c r="X2752" s="131"/>
    </row>
    <row r="2753" spans="9:24" x14ac:dyDescent="0.25">
      <c r="I2753" s="131"/>
      <c r="J2753" s="131"/>
      <c r="K2753" s="131"/>
      <c r="L2753" s="131"/>
      <c r="U2753" s="131"/>
      <c r="V2753" s="131"/>
      <c r="W2753" s="131"/>
      <c r="X2753" s="131"/>
    </row>
    <row r="2754" spans="9:24" x14ac:dyDescent="0.25">
      <c r="I2754" s="131"/>
      <c r="J2754" s="131"/>
      <c r="K2754" s="131"/>
      <c r="L2754" s="131"/>
      <c r="U2754" s="131"/>
      <c r="V2754" s="131"/>
      <c r="W2754" s="131"/>
      <c r="X2754" s="131"/>
    </row>
    <row r="2755" spans="9:24" x14ac:dyDescent="0.25">
      <c r="I2755" s="131"/>
      <c r="J2755" s="131"/>
      <c r="K2755" s="131"/>
      <c r="L2755" s="131"/>
      <c r="U2755" s="131"/>
      <c r="V2755" s="131"/>
      <c r="W2755" s="131"/>
      <c r="X2755" s="131"/>
    </row>
    <row r="2756" spans="9:24" x14ac:dyDescent="0.25">
      <c r="I2756" s="131"/>
      <c r="J2756" s="131"/>
      <c r="K2756" s="131"/>
      <c r="L2756" s="131"/>
      <c r="U2756" s="131"/>
      <c r="V2756" s="131"/>
      <c r="W2756" s="131"/>
      <c r="X2756" s="131"/>
    </row>
    <row r="2757" spans="9:24" x14ac:dyDescent="0.25">
      <c r="I2757" s="131"/>
      <c r="J2757" s="131"/>
      <c r="K2757" s="131"/>
      <c r="L2757" s="131"/>
      <c r="U2757" s="131"/>
      <c r="V2757" s="131"/>
      <c r="W2757" s="131"/>
      <c r="X2757" s="131"/>
    </row>
    <row r="2758" spans="9:24" x14ac:dyDescent="0.25">
      <c r="I2758" s="131"/>
      <c r="J2758" s="131"/>
      <c r="K2758" s="131"/>
      <c r="L2758" s="131"/>
      <c r="U2758" s="131"/>
      <c r="V2758" s="131"/>
      <c r="W2758" s="131"/>
      <c r="X2758" s="131"/>
    </row>
    <row r="2759" spans="9:24" x14ac:dyDescent="0.25">
      <c r="I2759" s="131"/>
      <c r="J2759" s="131"/>
      <c r="K2759" s="131"/>
      <c r="L2759" s="131"/>
      <c r="U2759" s="131"/>
      <c r="V2759" s="131"/>
      <c r="W2759" s="131"/>
      <c r="X2759" s="131"/>
    </row>
    <row r="2760" spans="9:24" x14ac:dyDescent="0.25">
      <c r="I2760" s="131"/>
      <c r="J2760" s="131"/>
      <c r="K2760" s="131"/>
      <c r="L2760" s="131"/>
      <c r="U2760" s="131"/>
      <c r="V2760" s="131"/>
      <c r="W2760" s="131"/>
      <c r="X2760" s="131"/>
    </row>
    <row r="2761" spans="9:24" x14ac:dyDescent="0.25">
      <c r="I2761" s="131"/>
      <c r="J2761" s="131"/>
      <c r="K2761" s="131"/>
      <c r="L2761" s="131"/>
      <c r="U2761" s="131"/>
      <c r="V2761" s="131"/>
      <c r="W2761" s="131"/>
      <c r="X2761" s="131"/>
    </row>
    <row r="2762" spans="9:24" x14ac:dyDescent="0.25">
      <c r="I2762" s="131"/>
      <c r="J2762" s="131"/>
      <c r="K2762" s="131"/>
      <c r="L2762" s="131"/>
      <c r="U2762" s="131"/>
      <c r="V2762" s="131"/>
      <c r="W2762" s="131"/>
      <c r="X2762" s="131"/>
    </row>
    <row r="2763" spans="9:24" x14ac:dyDescent="0.25">
      <c r="I2763" s="131"/>
      <c r="J2763" s="131"/>
      <c r="K2763" s="131"/>
      <c r="L2763" s="131"/>
      <c r="U2763" s="131"/>
      <c r="V2763" s="131"/>
      <c r="W2763" s="131"/>
      <c r="X2763" s="131"/>
    </row>
    <row r="2764" spans="9:24" x14ac:dyDescent="0.25">
      <c r="I2764" s="131"/>
      <c r="J2764" s="131"/>
      <c r="K2764" s="131"/>
      <c r="L2764" s="131"/>
      <c r="U2764" s="131"/>
      <c r="V2764" s="131"/>
      <c r="W2764" s="131"/>
      <c r="X2764" s="131"/>
    </row>
    <row r="2765" spans="9:24" x14ac:dyDescent="0.25">
      <c r="I2765" s="131"/>
      <c r="J2765" s="131"/>
      <c r="K2765" s="131"/>
      <c r="L2765" s="131"/>
      <c r="U2765" s="131"/>
      <c r="V2765" s="131"/>
      <c r="W2765" s="131"/>
      <c r="X2765" s="131"/>
    </row>
    <row r="2766" spans="9:24" x14ac:dyDescent="0.25">
      <c r="I2766" s="131"/>
      <c r="J2766" s="131"/>
      <c r="K2766" s="131"/>
      <c r="L2766" s="131"/>
      <c r="U2766" s="131"/>
      <c r="V2766" s="131"/>
      <c r="W2766" s="131"/>
      <c r="X2766" s="131"/>
    </row>
    <row r="2767" spans="9:24" x14ac:dyDescent="0.25">
      <c r="I2767" s="131"/>
      <c r="J2767" s="131"/>
      <c r="K2767" s="131"/>
      <c r="L2767" s="131"/>
      <c r="U2767" s="131"/>
      <c r="V2767" s="131"/>
      <c r="W2767" s="131"/>
      <c r="X2767" s="131"/>
    </row>
    <row r="2768" spans="9:24" x14ac:dyDescent="0.25">
      <c r="I2768" s="131"/>
      <c r="J2768" s="131"/>
      <c r="K2768" s="131"/>
      <c r="L2768" s="131"/>
      <c r="U2768" s="131"/>
      <c r="V2768" s="131"/>
      <c r="W2768" s="131"/>
      <c r="X2768" s="131"/>
    </row>
    <row r="2769" spans="9:24" x14ac:dyDescent="0.25">
      <c r="I2769" s="131"/>
      <c r="J2769" s="131"/>
      <c r="K2769" s="131"/>
      <c r="L2769" s="131"/>
      <c r="U2769" s="131"/>
      <c r="V2769" s="131"/>
      <c r="W2769" s="131"/>
      <c r="X2769" s="131"/>
    </row>
    <row r="2770" spans="9:24" x14ac:dyDescent="0.25">
      <c r="I2770" s="131"/>
      <c r="J2770" s="131"/>
      <c r="K2770" s="131"/>
      <c r="L2770" s="131"/>
      <c r="U2770" s="131"/>
      <c r="V2770" s="131"/>
      <c r="W2770" s="131"/>
      <c r="X2770" s="131"/>
    </row>
    <row r="2771" spans="9:24" x14ac:dyDescent="0.25">
      <c r="I2771" s="131"/>
      <c r="J2771" s="131"/>
      <c r="K2771" s="131"/>
      <c r="L2771" s="131"/>
      <c r="U2771" s="131"/>
      <c r="V2771" s="131"/>
      <c r="W2771" s="131"/>
      <c r="X2771" s="131"/>
    </row>
    <row r="2772" spans="9:24" x14ac:dyDescent="0.25">
      <c r="I2772" s="131"/>
      <c r="J2772" s="131"/>
      <c r="K2772" s="131"/>
      <c r="L2772" s="131"/>
      <c r="U2772" s="131"/>
      <c r="V2772" s="131"/>
      <c r="W2772" s="131"/>
      <c r="X2772" s="131"/>
    </row>
    <row r="2773" spans="9:24" x14ac:dyDescent="0.25">
      <c r="I2773" s="131"/>
      <c r="J2773" s="131"/>
      <c r="K2773" s="131"/>
      <c r="L2773" s="131"/>
      <c r="U2773" s="131"/>
      <c r="V2773" s="131"/>
      <c r="W2773" s="131"/>
      <c r="X2773" s="131"/>
    </row>
    <row r="2774" spans="9:24" x14ac:dyDescent="0.25">
      <c r="I2774" s="131"/>
      <c r="J2774" s="131"/>
      <c r="K2774" s="131"/>
      <c r="L2774" s="131"/>
      <c r="U2774" s="131"/>
      <c r="V2774" s="131"/>
      <c r="W2774" s="131"/>
      <c r="X2774" s="131"/>
    </row>
    <row r="2775" spans="9:24" x14ac:dyDescent="0.25">
      <c r="I2775" s="131"/>
      <c r="J2775" s="131"/>
      <c r="K2775" s="131"/>
      <c r="L2775" s="131"/>
      <c r="U2775" s="131"/>
      <c r="V2775" s="131"/>
      <c r="W2775" s="131"/>
      <c r="X2775" s="131"/>
    </row>
    <row r="2776" spans="9:24" x14ac:dyDescent="0.25">
      <c r="I2776" s="131"/>
      <c r="J2776" s="131"/>
      <c r="K2776" s="131"/>
      <c r="L2776" s="131"/>
      <c r="U2776" s="131"/>
      <c r="V2776" s="131"/>
      <c r="W2776" s="131"/>
      <c r="X2776" s="131"/>
    </row>
    <row r="2777" spans="9:24" x14ac:dyDescent="0.25">
      <c r="I2777" s="131"/>
      <c r="J2777" s="131"/>
      <c r="K2777" s="131"/>
      <c r="L2777" s="131"/>
      <c r="U2777" s="131"/>
      <c r="V2777" s="131"/>
      <c r="W2777" s="131"/>
      <c r="X2777" s="131"/>
    </row>
    <row r="2778" spans="9:24" x14ac:dyDescent="0.25">
      <c r="I2778" s="131"/>
      <c r="J2778" s="131"/>
      <c r="K2778" s="131"/>
      <c r="L2778" s="131"/>
      <c r="U2778" s="131"/>
      <c r="V2778" s="131"/>
      <c r="W2778" s="131"/>
      <c r="X2778" s="131"/>
    </row>
    <row r="2779" spans="9:24" x14ac:dyDescent="0.25">
      <c r="I2779" s="131"/>
      <c r="J2779" s="131"/>
      <c r="K2779" s="131"/>
      <c r="L2779" s="131"/>
      <c r="U2779" s="131"/>
      <c r="V2779" s="131"/>
      <c r="W2779" s="131"/>
      <c r="X2779" s="131"/>
    </row>
    <row r="2780" spans="9:24" x14ac:dyDescent="0.25">
      <c r="I2780" s="131"/>
      <c r="J2780" s="131"/>
      <c r="K2780" s="131"/>
      <c r="L2780" s="131"/>
      <c r="U2780" s="131"/>
      <c r="V2780" s="131"/>
      <c r="W2780" s="131"/>
      <c r="X2780" s="131"/>
    </row>
    <row r="2781" spans="9:24" x14ac:dyDescent="0.25">
      <c r="I2781" s="131"/>
      <c r="J2781" s="131"/>
      <c r="K2781" s="131"/>
      <c r="L2781" s="131"/>
      <c r="U2781" s="131"/>
      <c r="V2781" s="131"/>
      <c r="W2781" s="131"/>
      <c r="X2781" s="131"/>
    </row>
    <row r="2782" spans="9:24" x14ac:dyDescent="0.25">
      <c r="I2782" s="131"/>
      <c r="J2782" s="131"/>
      <c r="K2782" s="131"/>
      <c r="L2782" s="131"/>
      <c r="U2782" s="131"/>
      <c r="V2782" s="131"/>
      <c r="W2782" s="131"/>
      <c r="X2782" s="131"/>
    </row>
    <row r="2783" spans="9:24" x14ac:dyDescent="0.25">
      <c r="I2783" s="131"/>
      <c r="J2783" s="131"/>
      <c r="K2783" s="131"/>
      <c r="L2783" s="131"/>
      <c r="U2783" s="131"/>
      <c r="V2783" s="131"/>
      <c r="W2783" s="131"/>
      <c r="X2783" s="131"/>
    </row>
    <row r="2784" spans="9:24" x14ac:dyDescent="0.25">
      <c r="I2784" s="131"/>
      <c r="J2784" s="131"/>
      <c r="K2784" s="131"/>
      <c r="L2784" s="131"/>
      <c r="U2784" s="131"/>
      <c r="V2784" s="131"/>
      <c r="W2784" s="131"/>
      <c r="X2784" s="131"/>
    </row>
    <row r="2785" spans="9:24" x14ac:dyDescent="0.25">
      <c r="I2785" s="131"/>
      <c r="J2785" s="131"/>
      <c r="K2785" s="131"/>
      <c r="L2785" s="131"/>
      <c r="U2785" s="131"/>
      <c r="V2785" s="131"/>
      <c r="W2785" s="131"/>
      <c r="X2785" s="131"/>
    </row>
    <row r="2786" spans="9:24" x14ac:dyDescent="0.25">
      <c r="I2786" s="131"/>
      <c r="J2786" s="131"/>
      <c r="K2786" s="131"/>
      <c r="L2786" s="131"/>
      <c r="U2786" s="131"/>
      <c r="V2786" s="131"/>
      <c r="W2786" s="131"/>
      <c r="X2786" s="131"/>
    </row>
    <row r="2787" spans="9:24" x14ac:dyDescent="0.25">
      <c r="I2787" s="131"/>
      <c r="J2787" s="131"/>
      <c r="K2787" s="131"/>
      <c r="L2787" s="131"/>
      <c r="U2787" s="131"/>
      <c r="V2787" s="131"/>
      <c r="W2787" s="131"/>
      <c r="X2787" s="131"/>
    </row>
    <row r="2788" spans="9:24" x14ac:dyDescent="0.25">
      <c r="I2788" s="131"/>
      <c r="J2788" s="131"/>
      <c r="K2788" s="131"/>
      <c r="L2788" s="131"/>
      <c r="U2788" s="131"/>
      <c r="V2788" s="131"/>
      <c r="W2788" s="131"/>
      <c r="X2788" s="131"/>
    </row>
    <row r="2789" spans="9:24" x14ac:dyDescent="0.25">
      <c r="I2789" s="131"/>
      <c r="J2789" s="131"/>
      <c r="K2789" s="131"/>
      <c r="L2789" s="131"/>
      <c r="U2789" s="131"/>
      <c r="V2789" s="131"/>
      <c r="W2789" s="131"/>
      <c r="X2789" s="131"/>
    </row>
    <row r="2790" spans="9:24" x14ac:dyDescent="0.25">
      <c r="I2790" s="131"/>
      <c r="J2790" s="131"/>
      <c r="K2790" s="131"/>
      <c r="L2790" s="131"/>
      <c r="U2790" s="131"/>
      <c r="V2790" s="131"/>
      <c r="W2790" s="131"/>
      <c r="X2790" s="131"/>
    </row>
    <row r="2791" spans="9:24" x14ac:dyDescent="0.25">
      <c r="I2791" s="131"/>
      <c r="J2791" s="131"/>
      <c r="K2791" s="131"/>
      <c r="L2791" s="131"/>
      <c r="U2791" s="131"/>
      <c r="V2791" s="131"/>
      <c r="W2791" s="131"/>
      <c r="X2791" s="131"/>
    </row>
    <row r="2792" spans="9:24" x14ac:dyDescent="0.25">
      <c r="I2792" s="131"/>
      <c r="J2792" s="131"/>
      <c r="K2792" s="131"/>
      <c r="L2792" s="131"/>
      <c r="U2792" s="131"/>
      <c r="V2792" s="131"/>
      <c r="W2792" s="131"/>
      <c r="X2792" s="131"/>
    </row>
    <row r="2793" spans="9:24" x14ac:dyDescent="0.25">
      <c r="I2793" s="131"/>
      <c r="J2793" s="131"/>
      <c r="K2793" s="131"/>
      <c r="L2793" s="131"/>
      <c r="U2793" s="131"/>
      <c r="V2793" s="131"/>
      <c r="W2793" s="131"/>
      <c r="X2793" s="131"/>
    </row>
    <row r="2794" spans="9:24" x14ac:dyDescent="0.25">
      <c r="I2794" s="131"/>
      <c r="J2794" s="131"/>
      <c r="K2794" s="131"/>
      <c r="L2794" s="131"/>
      <c r="U2794" s="131"/>
      <c r="V2794" s="131"/>
      <c r="W2794" s="131"/>
      <c r="X2794" s="131"/>
    </row>
    <row r="2795" spans="9:24" x14ac:dyDescent="0.25">
      <c r="I2795" s="131"/>
      <c r="J2795" s="131"/>
      <c r="K2795" s="131"/>
      <c r="L2795" s="131"/>
      <c r="U2795" s="131"/>
      <c r="V2795" s="131"/>
      <c r="W2795" s="131"/>
      <c r="X2795" s="131"/>
    </row>
    <row r="2796" spans="9:24" x14ac:dyDescent="0.25">
      <c r="I2796" s="131"/>
      <c r="J2796" s="131"/>
      <c r="K2796" s="131"/>
      <c r="L2796" s="131"/>
      <c r="U2796" s="131"/>
      <c r="V2796" s="131"/>
      <c r="W2796" s="131"/>
      <c r="X2796" s="131"/>
    </row>
    <row r="2797" spans="9:24" x14ac:dyDescent="0.25">
      <c r="I2797" s="131"/>
      <c r="J2797" s="131"/>
      <c r="K2797" s="131"/>
      <c r="L2797" s="131"/>
      <c r="U2797" s="131"/>
      <c r="V2797" s="131"/>
      <c r="W2797" s="131"/>
      <c r="X2797" s="131"/>
    </row>
    <row r="2798" spans="9:24" x14ac:dyDescent="0.25">
      <c r="I2798" s="131"/>
      <c r="J2798" s="131"/>
      <c r="K2798" s="131"/>
      <c r="L2798" s="131"/>
      <c r="U2798" s="131"/>
      <c r="V2798" s="131"/>
      <c r="W2798" s="131"/>
      <c r="X2798" s="131"/>
    </row>
    <row r="2799" spans="9:24" x14ac:dyDescent="0.25">
      <c r="I2799" s="131"/>
      <c r="J2799" s="131"/>
      <c r="K2799" s="131"/>
      <c r="L2799" s="131"/>
      <c r="U2799" s="131"/>
      <c r="V2799" s="131"/>
      <c r="W2799" s="131"/>
      <c r="X2799" s="131"/>
    </row>
    <row r="2800" spans="9:24" x14ac:dyDescent="0.25">
      <c r="I2800" s="131"/>
      <c r="J2800" s="131"/>
      <c r="K2800" s="131"/>
      <c r="L2800" s="131"/>
      <c r="U2800" s="131"/>
      <c r="V2800" s="131"/>
      <c r="W2800" s="131"/>
      <c r="X2800" s="131"/>
    </row>
    <row r="2801" spans="9:24" x14ac:dyDescent="0.25">
      <c r="I2801" s="131"/>
      <c r="J2801" s="131"/>
      <c r="K2801" s="131"/>
      <c r="L2801" s="131"/>
      <c r="U2801" s="131"/>
      <c r="V2801" s="131"/>
      <c r="W2801" s="131"/>
      <c r="X2801" s="131"/>
    </row>
    <row r="2802" spans="9:24" x14ac:dyDescent="0.25">
      <c r="I2802" s="131"/>
      <c r="J2802" s="131"/>
      <c r="K2802" s="131"/>
      <c r="L2802" s="131"/>
      <c r="U2802" s="131"/>
      <c r="V2802" s="131"/>
      <c r="W2802" s="131"/>
      <c r="X2802" s="131"/>
    </row>
    <row r="2803" spans="9:24" x14ac:dyDescent="0.25">
      <c r="I2803" s="131"/>
      <c r="J2803" s="131"/>
      <c r="K2803" s="131"/>
      <c r="L2803" s="131"/>
      <c r="U2803" s="131"/>
      <c r="V2803" s="131"/>
      <c r="W2803" s="131"/>
      <c r="X2803" s="131"/>
    </row>
    <row r="2804" spans="9:24" x14ac:dyDescent="0.25">
      <c r="I2804" s="131"/>
      <c r="J2804" s="131"/>
      <c r="K2804" s="131"/>
      <c r="L2804" s="131"/>
      <c r="U2804" s="131"/>
      <c r="V2804" s="131"/>
      <c r="W2804" s="131"/>
      <c r="X2804" s="131"/>
    </row>
    <row r="2805" spans="9:24" x14ac:dyDescent="0.25">
      <c r="I2805" s="131"/>
      <c r="J2805" s="131"/>
      <c r="K2805" s="131"/>
      <c r="L2805" s="131"/>
      <c r="U2805" s="131"/>
      <c r="V2805" s="131"/>
      <c r="W2805" s="131"/>
      <c r="X2805" s="131"/>
    </row>
    <row r="2806" spans="9:24" x14ac:dyDescent="0.25">
      <c r="I2806" s="131"/>
      <c r="J2806" s="131"/>
      <c r="K2806" s="131"/>
      <c r="L2806" s="131"/>
      <c r="U2806" s="131"/>
      <c r="V2806" s="131"/>
      <c r="W2806" s="131"/>
      <c r="X2806" s="131"/>
    </row>
    <row r="2807" spans="9:24" x14ac:dyDescent="0.25">
      <c r="I2807" s="131"/>
      <c r="J2807" s="131"/>
      <c r="K2807" s="131"/>
      <c r="L2807" s="131"/>
      <c r="U2807" s="131"/>
      <c r="V2807" s="131"/>
      <c r="W2807" s="131"/>
      <c r="X2807" s="131"/>
    </row>
    <row r="2808" spans="9:24" x14ac:dyDescent="0.25">
      <c r="I2808" s="131"/>
      <c r="J2808" s="131"/>
      <c r="K2808" s="131"/>
      <c r="L2808" s="131"/>
      <c r="U2808" s="131"/>
      <c r="V2808" s="131"/>
      <c r="W2808" s="131"/>
      <c r="X2808" s="131"/>
    </row>
    <row r="2809" spans="9:24" x14ac:dyDescent="0.25">
      <c r="I2809" s="131"/>
      <c r="J2809" s="131"/>
      <c r="K2809" s="131"/>
      <c r="L2809" s="131"/>
      <c r="U2809" s="131"/>
      <c r="V2809" s="131"/>
      <c r="W2809" s="131"/>
      <c r="X2809" s="131"/>
    </row>
    <row r="2810" spans="9:24" x14ac:dyDescent="0.25">
      <c r="I2810" s="131"/>
      <c r="J2810" s="131"/>
      <c r="K2810" s="131"/>
      <c r="L2810" s="131"/>
      <c r="U2810" s="131"/>
      <c r="V2810" s="131"/>
      <c r="W2810" s="131"/>
      <c r="X2810" s="131"/>
    </row>
    <row r="2811" spans="9:24" x14ac:dyDescent="0.25">
      <c r="I2811" s="131"/>
      <c r="J2811" s="131"/>
      <c r="K2811" s="131"/>
      <c r="L2811" s="131"/>
      <c r="U2811" s="131"/>
      <c r="V2811" s="131"/>
      <c r="W2811" s="131"/>
      <c r="X2811" s="131"/>
    </row>
    <row r="2812" spans="9:24" x14ac:dyDescent="0.25">
      <c r="I2812" s="131"/>
      <c r="J2812" s="131"/>
      <c r="K2812" s="131"/>
      <c r="L2812" s="131"/>
      <c r="U2812" s="131"/>
      <c r="V2812" s="131"/>
      <c r="W2812" s="131"/>
      <c r="X2812" s="131"/>
    </row>
    <row r="2813" spans="9:24" x14ac:dyDescent="0.25">
      <c r="I2813" s="131"/>
      <c r="J2813" s="131"/>
      <c r="K2813" s="131"/>
      <c r="L2813" s="131"/>
      <c r="U2813" s="131"/>
      <c r="V2813" s="131"/>
      <c r="W2813" s="131"/>
      <c r="X2813" s="131"/>
    </row>
    <row r="2814" spans="9:24" x14ac:dyDescent="0.25">
      <c r="I2814" s="131"/>
      <c r="J2814" s="131"/>
      <c r="K2814" s="131"/>
      <c r="L2814" s="131"/>
      <c r="U2814" s="131"/>
      <c r="V2814" s="131"/>
      <c r="W2814" s="131"/>
      <c r="X2814" s="131"/>
    </row>
    <row r="2815" spans="9:24" x14ac:dyDescent="0.25">
      <c r="I2815" s="131"/>
      <c r="J2815" s="131"/>
      <c r="K2815" s="131"/>
      <c r="L2815" s="131"/>
      <c r="U2815" s="131"/>
      <c r="V2815" s="131"/>
      <c r="W2815" s="131"/>
      <c r="X2815" s="131"/>
    </row>
    <row r="2816" spans="9:24" x14ac:dyDescent="0.25">
      <c r="I2816" s="131"/>
      <c r="J2816" s="131"/>
      <c r="K2816" s="131"/>
      <c r="L2816" s="131"/>
      <c r="U2816" s="131"/>
      <c r="V2816" s="131"/>
      <c r="W2816" s="131"/>
      <c r="X2816" s="131"/>
    </row>
    <row r="2817" spans="9:24" x14ac:dyDescent="0.25">
      <c r="I2817" s="131"/>
      <c r="J2817" s="131"/>
      <c r="K2817" s="131"/>
      <c r="L2817" s="131"/>
      <c r="U2817" s="131"/>
      <c r="V2817" s="131"/>
      <c r="W2817" s="131"/>
      <c r="X2817" s="131"/>
    </row>
    <row r="2818" spans="9:24" x14ac:dyDescent="0.25">
      <c r="I2818" s="131"/>
      <c r="J2818" s="131"/>
      <c r="K2818" s="131"/>
      <c r="L2818" s="131"/>
      <c r="U2818" s="131"/>
      <c r="V2818" s="131"/>
      <c r="W2818" s="131"/>
      <c r="X2818" s="131"/>
    </row>
    <row r="2819" spans="9:24" x14ac:dyDescent="0.25">
      <c r="I2819" s="131"/>
      <c r="J2819" s="131"/>
      <c r="K2819" s="131"/>
      <c r="L2819" s="131"/>
      <c r="U2819" s="131"/>
      <c r="V2819" s="131"/>
      <c r="W2819" s="131"/>
      <c r="X2819" s="131"/>
    </row>
    <row r="2820" spans="9:24" x14ac:dyDescent="0.25">
      <c r="I2820" s="131"/>
      <c r="J2820" s="131"/>
      <c r="K2820" s="131"/>
      <c r="L2820" s="131"/>
      <c r="U2820" s="131"/>
      <c r="V2820" s="131"/>
      <c r="W2820" s="131"/>
      <c r="X2820" s="131"/>
    </row>
    <row r="2821" spans="9:24" x14ac:dyDescent="0.25">
      <c r="I2821" s="131"/>
      <c r="J2821" s="131"/>
      <c r="K2821" s="131"/>
      <c r="L2821" s="131"/>
      <c r="U2821" s="131"/>
      <c r="V2821" s="131"/>
      <c r="W2821" s="131"/>
      <c r="X2821" s="131"/>
    </row>
    <row r="2822" spans="9:24" x14ac:dyDescent="0.25">
      <c r="I2822" s="131"/>
      <c r="J2822" s="131"/>
      <c r="K2822" s="131"/>
      <c r="L2822" s="131"/>
      <c r="U2822" s="131"/>
      <c r="V2822" s="131"/>
      <c r="W2822" s="131"/>
      <c r="X2822" s="131"/>
    </row>
    <row r="2823" spans="9:24" x14ac:dyDescent="0.25">
      <c r="I2823" s="131"/>
      <c r="J2823" s="131"/>
      <c r="K2823" s="131"/>
      <c r="L2823" s="131"/>
      <c r="U2823" s="131"/>
      <c r="V2823" s="131"/>
      <c r="W2823" s="131"/>
      <c r="X2823" s="131"/>
    </row>
    <row r="2824" spans="9:24" x14ac:dyDescent="0.25">
      <c r="I2824" s="131"/>
      <c r="J2824" s="131"/>
      <c r="K2824" s="131"/>
      <c r="L2824" s="131"/>
      <c r="U2824" s="131"/>
      <c r="V2824" s="131"/>
      <c r="W2824" s="131"/>
      <c r="X2824" s="131"/>
    </row>
    <row r="2825" spans="9:24" x14ac:dyDescent="0.25">
      <c r="I2825" s="131"/>
      <c r="J2825" s="131"/>
      <c r="K2825" s="131"/>
      <c r="L2825" s="131"/>
      <c r="U2825" s="131"/>
      <c r="V2825" s="131"/>
      <c r="W2825" s="131"/>
      <c r="X2825" s="131"/>
    </row>
    <row r="2826" spans="9:24" x14ac:dyDescent="0.25">
      <c r="I2826" s="131"/>
      <c r="J2826" s="131"/>
      <c r="K2826" s="131"/>
      <c r="L2826" s="131"/>
      <c r="U2826" s="131"/>
      <c r="V2826" s="131"/>
      <c r="W2826" s="131"/>
      <c r="X2826" s="131"/>
    </row>
    <row r="2827" spans="9:24" x14ac:dyDescent="0.25">
      <c r="I2827" s="131"/>
      <c r="J2827" s="131"/>
      <c r="K2827" s="131"/>
      <c r="L2827" s="131"/>
      <c r="U2827" s="131"/>
      <c r="V2827" s="131"/>
      <c r="W2827" s="131"/>
      <c r="X2827" s="131"/>
    </row>
    <row r="2828" spans="9:24" x14ac:dyDescent="0.25">
      <c r="I2828" s="131"/>
      <c r="J2828" s="131"/>
      <c r="K2828" s="131"/>
      <c r="L2828" s="131"/>
      <c r="U2828" s="131"/>
      <c r="V2828" s="131"/>
      <c r="W2828" s="131"/>
      <c r="X2828" s="131"/>
    </row>
    <row r="2829" spans="9:24" x14ac:dyDescent="0.25">
      <c r="I2829" s="131"/>
      <c r="J2829" s="131"/>
      <c r="K2829" s="131"/>
      <c r="L2829" s="131"/>
      <c r="U2829" s="131"/>
      <c r="V2829" s="131"/>
      <c r="W2829" s="131"/>
      <c r="X2829" s="131"/>
    </row>
    <row r="2830" spans="9:24" x14ac:dyDescent="0.25">
      <c r="I2830" s="131"/>
      <c r="J2830" s="131"/>
      <c r="K2830" s="131"/>
      <c r="L2830" s="131"/>
      <c r="U2830" s="131"/>
      <c r="V2830" s="131"/>
      <c r="W2830" s="131"/>
      <c r="X2830" s="131"/>
    </row>
    <row r="2831" spans="9:24" x14ac:dyDescent="0.25">
      <c r="I2831" s="131"/>
      <c r="J2831" s="131"/>
      <c r="K2831" s="131"/>
      <c r="L2831" s="131"/>
      <c r="U2831" s="131"/>
      <c r="V2831" s="131"/>
      <c r="W2831" s="131"/>
      <c r="X2831" s="131"/>
    </row>
    <row r="2832" spans="9:24" x14ac:dyDescent="0.25">
      <c r="I2832" s="131"/>
      <c r="J2832" s="131"/>
      <c r="K2832" s="131"/>
      <c r="L2832" s="131"/>
      <c r="U2832" s="131"/>
      <c r="V2832" s="131"/>
      <c r="W2832" s="131"/>
      <c r="X2832" s="131"/>
    </row>
    <row r="2833" spans="9:24" x14ac:dyDescent="0.25">
      <c r="I2833" s="131"/>
      <c r="J2833" s="131"/>
      <c r="K2833" s="131"/>
      <c r="L2833" s="131"/>
      <c r="U2833" s="131"/>
      <c r="V2833" s="131"/>
      <c r="W2833" s="131"/>
      <c r="X2833" s="131"/>
    </row>
    <row r="2834" spans="9:24" x14ac:dyDescent="0.25">
      <c r="I2834" s="131"/>
      <c r="J2834" s="131"/>
      <c r="K2834" s="131"/>
      <c r="L2834" s="131"/>
      <c r="U2834" s="131"/>
      <c r="V2834" s="131"/>
      <c r="W2834" s="131"/>
      <c r="X2834" s="131"/>
    </row>
    <row r="2835" spans="9:24" x14ac:dyDescent="0.25">
      <c r="I2835" s="131"/>
      <c r="J2835" s="131"/>
      <c r="K2835" s="131"/>
      <c r="L2835" s="131"/>
      <c r="U2835" s="131"/>
      <c r="V2835" s="131"/>
      <c r="W2835" s="131"/>
      <c r="X2835" s="131"/>
    </row>
    <row r="2836" spans="9:24" x14ac:dyDescent="0.25">
      <c r="I2836" s="131"/>
      <c r="J2836" s="131"/>
      <c r="K2836" s="131"/>
      <c r="L2836" s="131"/>
      <c r="U2836" s="131"/>
      <c r="V2836" s="131"/>
      <c r="W2836" s="131"/>
      <c r="X2836" s="131"/>
    </row>
    <row r="2837" spans="9:24" x14ac:dyDescent="0.25">
      <c r="I2837" s="131"/>
      <c r="J2837" s="131"/>
      <c r="K2837" s="131"/>
      <c r="L2837" s="131"/>
      <c r="U2837" s="131"/>
      <c r="V2837" s="131"/>
      <c r="W2837" s="131"/>
      <c r="X2837" s="131"/>
    </row>
    <row r="2838" spans="9:24" x14ac:dyDescent="0.25">
      <c r="I2838" s="131"/>
      <c r="J2838" s="131"/>
      <c r="K2838" s="131"/>
      <c r="L2838" s="131"/>
      <c r="U2838" s="131"/>
      <c r="V2838" s="131"/>
      <c r="W2838" s="131"/>
      <c r="X2838" s="131"/>
    </row>
    <row r="2839" spans="9:24" x14ac:dyDescent="0.25">
      <c r="I2839" s="131"/>
      <c r="J2839" s="131"/>
      <c r="K2839" s="131"/>
      <c r="L2839" s="131"/>
      <c r="U2839" s="131"/>
      <c r="V2839" s="131"/>
      <c r="W2839" s="131"/>
      <c r="X2839" s="131"/>
    </row>
    <row r="2840" spans="9:24" x14ac:dyDescent="0.25">
      <c r="I2840" s="131"/>
      <c r="J2840" s="131"/>
      <c r="K2840" s="131"/>
      <c r="L2840" s="131"/>
      <c r="U2840" s="131"/>
      <c r="V2840" s="131"/>
      <c r="W2840" s="131"/>
      <c r="X2840" s="131"/>
    </row>
    <row r="2841" spans="9:24" x14ac:dyDescent="0.25">
      <c r="I2841" s="131"/>
      <c r="J2841" s="131"/>
      <c r="K2841" s="131"/>
      <c r="L2841" s="131"/>
      <c r="U2841" s="131"/>
      <c r="V2841" s="131"/>
      <c r="W2841" s="131"/>
      <c r="X2841" s="131"/>
    </row>
    <row r="2842" spans="9:24" x14ac:dyDescent="0.25">
      <c r="I2842" s="131"/>
      <c r="J2842" s="131"/>
      <c r="K2842" s="131"/>
      <c r="L2842" s="131"/>
      <c r="U2842" s="131"/>
      <c r="V2842" s="131"/>
      <c r="W2842" s="131"/>
      <c r="X2842" s="131"/>
    </row>
    <row r="2843" spans="9:24" x14ac:dyDescent="0.25">
      <c r="I2843" s="131"/>
      <c r="J2843" s="131"/>
      <c r="K2843" s="131"/>
      <c r="L2843" s="131"/>
      <c r="U2843" s="131"/>
      <c r="V2843" s="131"/>
      <c r="W2843" s="131"/>
      <c r="X2843" s="131"/>
    </row>
    <row r="2844" spans="9:24" x14ac:dyDescent="0.25">
      <c r="I2844" s="131"/>
      <c r="J2844" s="131"/>
      <c r="K2844" s="131"/>
      <c r="L2844" s="131"/>
      <c r="U2844" s="131"/>
      <c r="V2844" s="131"/>
      <c r="W2844" s="131"/>
      <c r="X2844" s="131"/>
    </row>
    <row r="2845" spans="9:24" x14ac:dyDescent="0.25">
      <c r="I2845" s="131"/>
      <c r="J2845" s="131"/>
      <c r="K2845" s="131"/>
      <c r="L2845" s="131"/>
      <c r="U2845" s="131"/>
      <c r="V2845" s="131"/>
      <c r="W2845" s="131"/>
      <c r="X2845" s="131"/>
    </row>
    <row r="2846" spans="9:24" x14ac:dyDescent="0.25">
      <c r="I2846" s="131"/>
      <c r="J2846" s="131"/>
      <c r="K2846" s="131"/>
      <c r="L2846" s="131"/>
      <c r="U2846" s="131"/>
      <c r="V2846" s="131"/>
      <c r="W2846" s="131"/>
      <c r="X2846" s="131"/>
    </row>
    <row r="2847" spans="9:24" x14ac:dyDescent="0.25">
      <c r="I2847" s="131"/>
      <c r="J2847" s="131"/>
      <c r="K2847" s="131"/>
      <c r="L2847" s="131"/>
      <c r="U2847" s="131"/>
      <c r="V2847" s="131"/>
      <c r="W2847" s="131"/>
      <c r="X2847" s="131"/>
    </row>
    <row r="2848" spans="9:24" x14ac:dyDescent="0.25">
      <c r="I2848" s="131"/>
      <c r="J2848" s="131"/>
      <c r="K2848" s="131"/>
      <c r="L2848" s="131"/>
      <c r="U2848" s="131"/>
      <c r="V2848" s="131"/>
      <c r="W2848" s="131"/>
      <c r="X2848" s="131"/>
    </row>
    <row r="2849" spans="9:24" x14ac:dyDescent="0.25">
      <c r="I2849" s="131"/>
      <c r="J2849" s="131"/>
      <c r="K2849" s="131"/>
      <c r="L2849" s="131"/>
      <c r="U2849" s="131"/>
      <c r="V2849" s="131"/>
      <c r="W2849" s="131"/>
      <c r="X2849" s="131"/>
    </row>
    <row r="2850" spans="9:24" x14ac:dyDescent="0.25">
      <c r="I2850" s="131"/>
      <c r="J2850" s="131"/>
      <c r="K2850" s="131"/>
      <c r="L2850" s="131"/>
      <c r="U2850" s="131"/>
      <c r="V2850" s="131"/>
      <c r="W2850" s="131"/>
      <c r="X2850" s="131"/>
    </row>
    <row r="2851" spans="9:24" x14ac:dyDescent="0.25">
      <c r="I2851" s="131"/>
      <c r="J2851" s="131"/>
      <c r="K2851" s="131"/>
      <c r="L2851" s="131"/>
      <c r="U2851" s="131"/>
      <c r="V2851" s="131"/>
      <c r="W2851" s="131"/>
      <c r="X2851" s="131"/>
    </row>
    <row r="2852" spans="9:24" x14ac:dyDescent="0.25">
      <c r="I2852" s="131"/>
      <c r="J2852" s="131"/>
      <c r="K2852" s="131"/>
      <c r="L2852" s="131"/>
      <c r="U2852" s="131"/>
      <c r="V2852" s="131"/>
      <c r="W2852" s="131"/>
      <c r="X2852" s="131"/>
    </row>
    <row r="2853" spans="9:24" x14ac:dyDescent="0.25">
      <c r="I2853" s="131"/>
      <c r="J2853" s="131"/>
      <c r="K2853" s="131"/>
      <c r="L2853" s="131"/>
      <c r="U2853" s="131"/>
      <c r="V2853" s="131"/>
      <c r="W2853" s="131"/>
      <c r="X2853" s="131"/>
    </row>
    <row r="2854" spans="9:24" x14ac:dyDescent="0.25">
      <c r="I2854" s="131"/>
      <c r="J2854" s="131"/>
      <c r="K2854" s="131"/>
      <c r="L2854" s="131"/>
      <c r="U2854" s="131"/>
      <c r="V2854" s="131"/>
      <c r="W2854" s="131"/>
      <c r="X2854" s="131"/>
    </row>
    <row r="2855" spans="9:24" x14ac:dyDescent="0.25">
      <c r="I2855" s="131"/>
      <c r="J2855" s="131"/>
      <c r="K2855" s="131"/>
      <c r="L2855" s="131"/>
      <c r="U2855" s="131"/>
      <c r="V2855" s="131"/>
      <c r="W2855" s="131"/>
      <c r="X2855" s="131"/>
    </row>
    <row r="2856" spans="9:24" x14ac:dyDescent="0.25">
      <c r="I2856" s="131"/>
      <c r="J2856" s="131"/>
      <c r="K2856" s="131"/>
      <c r="L2856" s="131"/>
      <c r="U2856" s="131"/>
      <c r="V2856" s="131"/>
      <c r="W2856" s="131"/>
      <c r="X2856" s="131"/>
    </row>
    <row r="2857" spans="9:24" x14ac:dyDescent="0.25">
      <c r="I2857" s="131"/>
      <c r="J2857" s="131"/>
      <c r="K2857" s="131"/>
      <c r="L2857" s="131"/>
      <c r="U2857" s="131"/>
      <c r="V2857" s="131"/>
      <c r="W2857" s="131"/>
      <c r="X2857" s="131"/>
    </row>
    <row r="2858" spans="9:24" x14ac:dyDescent="0.25">
      <c r="I2858" s="131"/>
      <c r="J2858" s="131"/>
      <c r="K2858" s="131"/>
      <c r="L2858" s="131"/>
      <c r="U2858" s="131"/>
      <c r="V2858" s="131"/>
      <c r="W2858" s="131"/>
      <c r="X2858" s="131"/>
    </row>
    <row r="2859" spans="9:24" x14ac:dyDescent="0.25">
      <c r="I2859" s="131"/>
      <c r="J2859" s="131"/>
      <c r="K2859" s="131"/>
      <c r="L2859" s="131"/>
      <c r="U2859" s="131"/>
      <c r="V2859" s="131"/>
      <c r="W2859" s="131"/>
      <c r="X2859" s="131"/>
    </row>
    <row r="2860" spans="9:24" x14ac:dyDescent="0.25">
      <c r="I2860" s="131"/>
      <c r="J2860" s="131"/>
      <c r="K2860" s="131"/>
      <c r="L2860" s="131"/>
      <c r="U2860" s="131"/>
      <c r="V2860" s="131"/>
      <c r="W2860" s="131"/>
      <c r="X2860" s="131"/>
    </row>
    <row r="2861" spans="9:24" x14ac:dyDescent="0.25">
      <c r="I2861" s="131"/>
      <c r="J2861" s="131"/>
      <c r="K2861" s="131"/>
      <c r="L2861" s="131"/>
      <c r="U2861" s="131"/>
      <c r="V2861" s="131"/>
      <c r="W2861" s="131"/>
      <c r="X2861" s="131"/>
    </row>
    <row r="2862" spans="9:24" x14ac:dyDescent="0.25">
      <c r="I2862" s="131"/>
      <c r="J2862" s="131"/>
      <c r="K2862" s="131"/>
      <c r="L2862" s="131"/>
      <c r="U2862" s="131"/>
      <c r="V2862" s="131"/>
      <c r="W2862" s="131"/>
      <c r="X2862" s="131"/>
    </row>
    <row r="2863" spans="9:24" x14ac:dyDescent="0.25">
      <c r="I2863" s="131"/>
      <c r="J2863" s="131"/>
      <c r="K2863" s="131"/>
      <c r="L2863" s="131"/>
      <c r="U2863" s="131"/>
      <c r="V2863" s="131"/>
      <c r="W2863" s="131"/>
      <c r="X2863" s="131"/>
    </row>
    <row r="2864" spans="9:24" x14ac:dyDescent="0.25">
      <c r="I2864" s="131"/>
      <c r="J2864" s="131"/>
      <c r="K2864" s="131"/>
      <c r="L2864" s="131"/>
      <c r="U2864" s="131"/>
      <c r="V2864" s="131"/>
      <c r="W2864" s="131"/>
      <c r="X2864" s="131"/>
    </row>
    <row r="2865" spans="9:24" x14ac:dyDescent="0.25">
      <c r="I2865" s="131"/>
      <c r="J2865" s="131"/>
      <c r="K2865" s="131"/>
      <c r="L2865" s="131"/>
      <c r="U2865" s="131"/>
      <c r="V2865" s="131"/>
      <c r="W2865" s="131"/>
      <c r="X2865" s="131"/>
    </row>
    <row r="2866" spans="9:24" x14ac:dyDescent="0.25">
      <c r="I2866" s="131"/>
      <c r="J2866" s="131"/>
      <c r="K2866" s="131"/>
      <c r="L2866" s="131"/>
      <c r="U2866" s="131"/>
      <c r="V2866" s="131"/>
      <c r="W2866" s="131"/>
      <c r="X2866" s="131"/>
    </row>
    <row r="2867" spans="9:24" x14ac:dyDescent="0.25">
      <c r="I2867" s="131"/>
      <c r="J2867" s="131"/>
      <c r="K2867" s="131"/>
      <c r="L2867" s="131"/>
      <c r="U2867" s="131"/>
      <c r="V2867" s="131"/>
      <c r="W2867" s="131"/>
      <c r="X2867" s="131"/>
    </row>
    <row r="2868" spans="9:24" x14ac:dyDescent="0.25">
      <c r="I2868" s="131"/>
      <c r="J2868" s="131"/>
      <c r="K2868" s="131"/>
      <c r="L2868" s="131"/>
      <c r="U2868" s="131"/>
      <c r="V2868" s="131"/>
      <c r="W2868" s="131"/>
      <c r="X2868" s="131"/>
    </row>
    <row r="2869" spans="9:24" x14ac:dyDescent="0.25">
      <c r="I2869" s="131"/>
      <c r="J2869" s="131"/>
      <c r="K2869" s="131"/>
      <c r="L2869" s="131"/>
      <c r="U2869" s="131"/>
      <c r="V2869" s="131"/>
      <c r="W2869" s="131"/>
      <c r="X2869" s="131"/>
    </row>
    <row r="2870" spans="9:24" x14ac:dyDescent="0.25">
      <c r="I2870" s="131"/>
      <c r="J2870" s="131"/>
      <c r="K2870" s="131"/>
      <c r="L2870" s="131"/>
      <c r="U2870" s="131"/>
      <c r="V2870" s="131"/>
      <c r="W2870" s="131"/>
      <c r="X2870" s="131"/>
    </row>
    <row r="2871" spans="9:24" x14ac:dyDescent="0.25">
      <c r="I2871" s="131"/>
      <c r="J2871" s="131"/>
      <c r="K2871" s="131"/>
      <c r="L2871" s="131"/>
      <c r="U2871" s="131"/>
      <c r="V2871" s="131"/>
      <c r="W2871" s="131"/>
      <c r="X2871" s="131"/>
    </row>
    <row r="2872" spans="9:24" x14ac:dyDescent="0.25">
      <c r="I2872" s="131"/>
      <c r="J2872" s="131"/>
      <c r="K2872" s="131"/>
      <c r="L2872" s="131"/>
      <c r="U2872" s="131"/>
      <c r="V2872" s="131"/>
      <c r="W2872" s="131"/>
      <c r="X2872" s="131"/>
    </row>
    <row r="2873" spans="9:24" x14ac:dyDescent="0.25">
      <c r="I2873" s="131"/>
      <c r="J2873" s="131"/>
      <c r="K2873" s="131"/>
      <c r="L2873" s="131"/>
      <c r="U2873" s="131"/>
      <c r="V2873" s="131"/>
      <c r="W2873" s="131"/>
      <c r="X2873" s="131"/>
    </row>
    <row r="2874" spans="9:24" x14ac:dyDescent="0.25">
      <c r="I2874" s="131"/>
      <c r="J2874" s="131"/>
      <c r="K2874" s="131"/>
      <c r="L2874" s="131"/>
      <c r="U2874" s="131"/>
      <c r="V2874" s="131"/>
      <c r="W2874" s="131"/>
      <c r="X2874" s="131"/>
    </row>
    <row r="2875" spans="9:24" x14ac:dyDescent="0.25">
      <c r="I2875" s="131"/>
      <c r="J2875" s="131"/>
      <c r="K2875" s="131"/>
      <c r="L2875" s="131"/>
      <c r="U2875" s="131"/>
      <c r="V2875" s="131"/>
      <c r="W2875" s="131"/>
      <c r="X2875" s="131"/>
    </row>
    <row r="2876" spans="9:24" x14ac:dyDescent="0.25">
      <c r="I2876" s="131"/>
      <c r="J2876" s="131"/>
      <c r="K2876" s="131"/>
      <c r="L2876" s="131"/>
      <c r="U2876" s="131"/>
      <c r="V2876" s="131"/>
      <c r="W2876" s="131"/>
      <c r="X2876" s="131"/>
    </row>
    <row r="2877" spans="9:24" x14ac:dyDescent="0.25">
      <c r="I2877" s="131"/>
      <c r="J2877" s="131"/>
      <c r="K2877" s="131"/>
      <c r="L2877" s="131"/>
      <c r="U2877" s="131"/>
      <c r="V2877" s="131"/>
      <c r="W2877" s="131"/>
      <c r="X2877" s="131"/>
    </row>
    <row r="2878" spans="9:24" x14ac:dyDescent="0.25">
      <c r="I2878" s="131"/>
      <c r="J2878" s="131"/>
      <c r="K2878" s="131"/>
      <c r="L2878" s="131"/>
      <c r="U2878" s="131"/>
      <c r="V2878" s="131"/>
      <c r="W2878" s="131"/>
      <c r="X2878" s="131"/>
    </row>
    <row r="2879" spans="9:24" x14ac:dyDescent="0.25">
      <c r="I2879" s="131"/>
      <c r="J2879" s="131"/>
      <c r="K2879" s="131"/>
      <c r="L2879" s="131"/>
      <c r="U2879" s="131"/>
      <c r="V2879" s="131"/>
      <c r="W2879" s="131"/>
      <c r="X2879" s="131"/>
    </row>
    <row r="2880" spans="9:24" x14ac:dyDescent="0.25">
      <c r="I2880" s="131"/>
      <c r="J2880" s="131"/>
      <c r="K2880" s="131"/>
      <c r="L2880" s="131"/>
      <c r="U2880" s="131"/>
      <c r="V2880" s="131"/>
      <c r="W2880" s="131"/>
      <c r="X2880" s="131"/>
    </row>
    <row r="2881" spans="9:24" x14ac:dyDescent="0.25">
      <c r="I2881" s="131"/>
      <c r="J2881" s="131"/>
      <c r="K2881" s="131"/>
      <c r="L2881" s="131"/>
      <c r="U2881" s="131"/>
      <c r="V2881" s="131"/>
      <c r="W2881" s="131"/>
      <c r="X2881" s="131"/>
    </row>
    <row r="2882" spans="9:24" x14ac:dyDescent="0.25">
      <c r="I2882" s="131"/>
      <c r="J2882" s="131"/>
      <c r="K2882" s="131"/>
      <c r="L2882" s="131"/>
      <c r="U2882" s="131"/>
      <c r="V2882" s="131"/>
      <c r="W2882" s="131"/>
      <c r="X2882" s="131"/>
    </row>
    <row r="2883" spans="9:24" x14ac:dyDescent="0.25">
      <c r="I2883" s="131"/>
      <c r="J2883" s="131"/>
      <c r="K2883" s="131"/>
      <c r="L2883" s="131"/>
      <c r="U2883" s="131"/>
      <c r="V2883" s="131"/>
      <c r="W2883" s="131"/>
      <c r="X2883" s="131"/>
    </row>
    <row r="2884" spans="9:24" x14ac:dyDescent="0.25">
      <c r="I2884" s="131"/>
      <c r="J2884" s="131"/>
      <c r="K2884" s="131"/>
      <c r="L2884" s="131"/>
      <c r="U2884" s="131"/>
      <c r="V2884" s="131"/>
      <c r="W2884" s="131"/>
      <c r="X2884" s="131"/>
    </row>
    <row r="2885" spans="9:24" x14ac:dyDescent="0.25">
      <c r="I2885" s="131"/>
      <c r="J2885" s="131"/>
      <c r="K2885" s="131"/>
      <c r="L2885" s="131"/>
      <c r="U2885" s="131"/>
      <c r="V2885" s="131"/>
      <c r="W2885" s="131"/>
      <c r="X2885" s="131"/>
    </row>
    <row r="2886" spans="9:24" x14ac:dyDescent="0.25">
      <c r="I2886" s="131"/>
      <c r="J2886" s="131"/>
      <c r="K2886" s="131"/>
      <c r="L2886" s="131"/>
      <c r="U2886" s="131"/>
      <c r="V2886" s="131"/>
      <c r="W2886" s="131"/>
      <c r="X2886" s="131"/>
    </row>
    <row r="2887" spans="9:24" x14ac:dyDescent="0.25">
      <c r="I2887" s="131"/>
      <c r="J2887" s="131"/>
      <c r="K2887" s="131"/>
      <c r="L2887" s="131"/>
      <c r="U2887" s="131"/>
      <c r="V2887" s="131"/>
      <c r="W2887" s="131"/>
      <c r="X2887" s="131"/>
    </row>
    <row r="2888" spans="9:24" x14ac:dyDescent="0.25">
      <c r="I2888" s="131"/>
      <c r="J2888" s="131"/>
      <c r="K2888" s="131"/>
      <c r="L2888" s="131"/>
      <c r="U2888" s="131"/>
      <c r="V2888" s="131"/>
      <c r="W2888" s="131"/>
      <c r="X2888" s="131"/>
    </row>
    <row r="2889" spans="9:24" x14ac:dyDescent="0.25">
      <c r="I2889" s="131"/>
      <c r="J2889" s="131"/>
      <c r="K2889" s="131"/>
      <c r="L2889" s="131"/>
      <c r="U2889" s="131"/>
      <c r="V2889" s="131"/>
      <c r="W2889" s="131"/>
      <c r="X2889" s="131"/>
    </row>
    <row r="2890" spans="9:24" x14ac:dyDescent="0.25">
      <c r="I2890" s="131"/>
      <c r="J2890" s="131"/>
      <c r="K2890" s="131"/>
      <c r="L2890" s="131"/>
      <c r="U2890" s="131"/>
      <c r="V2890" s="131"/>
      <c r="W2890" s="131"/>
      <c r="X2890" s="131"/>
    </row>
    <row r="2891" spans="9:24" x14ac:dyDescent="0.25">
      <c r="I2891" s="131"/>
      <c r="J2891" s="131"/>
      <c r="K2891" s="131"/>
      <c r="L2891" s="131"/>
      <c r="U2891" s="131"/>
      <c r="V2891" s="131"/>
      <c r="W2891" s="131"/>
      <c r="X2891" s="131"/>
    </row>
    <row r="2892" spans="9:24" x14ac:dyDescent="0.25">
      <c r="I2892" s="131"/>
      <c r="J2892" s="131"/>
      <c r="K2892" s="131"/>
      <c r="L2892" s="131"/>
      <c r="U2892" s="131"/>
      <c r="V2892" s="131"/>
      <c r="W2892" s="131"/>
      <c r="X2892" s="131"/>
    </row>
    <row r="2893" spans="9:24" x14ac:dyDescent="0.25">
      <c r="I2893" s="131"/>
      <c r="J2893" s="131"/>
      <c r="K2893" s="131"/>
      <c r="L2893" s="131"/>
      <c r="U2893" s="131"/>
      <c r="V2893" s="131"/>
      <c r="W2893" s="131"/>
      <c r="X2893" s="131"/>
    </row>
    <row r="2894" spans="9:24" x14ac:dyDescent="0.25">
      <c r="I2894" s="131"/>
      <c r="J2894" s="131"/>
      <c r="K2894" s="131"/>
      <c r="L2894" s="131"/>
      <c r="U2894" s="131"/>
      <c r="V2894" s="131"/>
      <c r="W2894" s="131"/>
      <c r="X2894" s="131"/>
    </row>
    <row r="2895" spans="9:24" x14ac:dyDescent="0.25">
      <c r="I2895" s="131"/>
      <c r="J2895" s="131"/>
      <c r="K2895" s="131"/>
      <c r="L2895" s="131"/>
      <c r="U2895" s="131"/>
      <c r="V2895" s="131"/>
      <c r="W2895" s="131"/>
      <c r="X2895" s="131"/>
    </row>
    <row r="2896" spans="9:24" x14ac:dyDescent="0.25">
      <c r="I2896" s="131"/>
      <c r="J2896" s="131"/>
      <c r="K2896" s="131"/>
      <c r="L2896" s="131"/>
      <c r="U2896" s="131"/>
      <c r="V2896" s="131"/>
      <c r="W2896" s="131"/>
      <c r="X2896" s="131"/>
    </row>
    <row r="2897" spans="9:24" x14ac:dyDescent="0.25">
      <c r="I2897" s="131"/>
      <c r="J2897" s="131"/>
      <c r="K2897" s="131"/>
      <c r="L2897" s="131"/>
      <c r="U2897" s="131"/>
      <c r="V2897" s="131"/>
      <c r="W2897" s="131"/>
      <c r="X2897" s="131"/>
    </row>
    <row r="2898" spans="9:24" x14ac:dyDescent="0.25">
      <c r="I2898" s="131"/>
      <c r="J2898" s="131"/>
      <c r="K2898" s="131"/>
      <c r="L2898" s="131"/>
      <c r="U2898" s="131"/>
      <c r="V2898" s="131"/>
      <c r="W2898" s="131"/>
      <c r="X2898" s="131"/>
    </row>
    <row r="2899" spans="9:24" x14ac:dyDescent="0.25">
      <c r="I2899" s="131"/>
      <c r="J2899" s="131"/>
      <c r="K2899" s="131"/>
      <c r="L2899" s="131"/>
      <c r="U2899" s="131"/>
      <c r="V2899" s="131"/>
      <c r="W2899" s="131"/>
      <c r="X2899" s="131"/>
    </row>
    <row r="2900" spans="9:24" x14ac:dyDescent="0.25">
      <c r="I2900" s="131"/>
      <c r="J2900" s="131"/>
      <c r="K2900" s="131"/>
      <c r="L2900" s="131"/>
      <c r="U2900" s="131"/>
      <c r="V2900" s="131"/>
      <c r="W2900" s="131"/>
      <c r="X2900" s="131"/>
    </row>
    <row r="2901" spans="9:24" x14ac:dyDescent="0.25">
      <c r="I2901" s="131"/>
      <c r="J2901" s="131"/>
      <c r="K2901" s="131"/>
      <c r="L2901" s="131"/>
      <c r="U2901" s="131"/>
      <c r="V2901" s="131"/>
      <c r="W2901" s="131"/>
      <c r="X2901" s="131"/>
    </row>
    <row r="2902" spans="9:24" x14ac:dyDescent="0.25">
      <c r="I2902" s="131"/>
      <c r="J2902" s="131"/>
      <c r="K2902" s="131"/>
      <c r="L2902" s="131"/>
      <c r="U2902" s="131"/>
      <c r="V2902" s="131"/>
      <c r="W2902" s="131"/>
      <c r="X2902" s="131"/>
    </row>
    <row r="2903" spans="9:24" x14ac:dyDescent="0.25">
      <c r="I2903" s="131"/>
      <c r="J2903" s="131"/>
      <c r="K2903" s="131"/>
      <c r="L2903" s="131"/>
      <c r="U2903" s="131"/>
      <c r="V2903" s="131"/>
      <c r="W2903" s="131"/>
      <c r="X2903" s="131"/>
    </row>
    <row r="2904" spans="9:24" x14ac:dyDescent="0.25">
      <c r="I2904" s="131"/>
      <c r="J2904" s="131"/>
      <c r="K2904" s="131"/>
      <c r="L2904" s="131"/>
      <c r="U2904" s="131"/>
      <c r="V2904" s="131"/>
      <c r="W2904" s="131"/>
      <c r="X2904" s="131"/>
    </row>
    <row r="2905" spans="9:24" x14ac:dyDescent="0.25">
      <c r="I2905" s="131"/>
      <c r="J2905" s="131"/>
      <c r="K2905" s="131"/>
      <c r="L2905" s="131"/>
      <c r="U2905" s="131"/>
      <c r="V2905" s="131"/>
      <c r="W2905" s="131"/>
      <c r="X2905" s="131"/>
    </row>
    <row r="2906" spans="9:24" x14ac:dyDescent="0.25">
      <c r="I2906" s="131"/>
      <c r="J2906" s="131"/>
      <c r="K2906" s="131"/>
      <c r="L2906" s="131"/>
      <c r="U2906" s="131"/>
      <c r="V2906" s="131"/>
      <c r="W2906" s="131"/>
      <c r="X2906" s="131"/>
    </row>
    <row r="2907" spans="9:24" x14ac:dyDescent="0.25">
      <c r="I2907" s="131"/>
      <c r="J2907" s="131"/>
      <c r="K2907" s="131"/>
      <c r="L2907" s="131"/>
      <c r="U2907" s="131"/>
      <c r="V2907" s="131"/>
      <c r="W2907" s="131"/>
      <c r="X2907" s="131"/>
    </row>
    <row r="2908" spans="9:24" x14ac:dyDescent="0.25">
      <c r="I2908" s="131"/>
      <c r="J2908" s="131"/>
      <c r="K2908" s="131"/>
      <c r="L2908" s="131"/>
      <c r="U2908" s="131"/>
      <c r="V2908" s="131"/>
      <c r="W2908" s="131"/>
      <c r="X2908" s="131"/>
    </row>
    <row r="2909" spans="9:24" x14ac:dyDescent="0.25">
      <c r="I2909" s="131"/>
      <c r="J2909" s="131"/>
      <c r="K2909" s="131"/>
      <c r="L2909" s="131"/>
      <c r="U2909" s="131"/>
      <c r="V2909" s="131"/>
      <c r="W2909" s="131"/>
      <c r="X2909" s="131"/>
    </row>
    <row r="2910" spans="9:24" x14ac:dyDescent="0.25">
      <c r="I2910" s="131"/>
      <c r="J2910" s="131"/>
      <c r="K2910" s="131"/>
      <c r="L2910" s="131"/>
      <c r="U2910" s="131"/>
      <c r="V2910" s="131"/>
      <c r="W2910" s="131"/>
      <c r="X2910" s="131"/>
    </row>
    <row r="2911" spans="9:24" x14ac:dyDescent="0.25">
      <c r="I2911" s="131"/>
      <c r="J2911" s="131"/>
      <c r="K2911" s="131"/>
      <c r="L2911" s="131"/>
      <c r="U2911" s="131"/>
      <c r="V2911" s="131"/>
      <c r="W2911" s="131"/>
      <c r="X2911" s="131"/>
    </row>
    <row r="2912" spans="9:24" x14ac:dyDescent="0.25">
      <c r="I2912" s="131"/>
      <c r="J2912" s="131"/>
      <c r="K2912" s="131"/>
      <c r="L2912" s="131"/>
      <c r="U2912" s="131"/>
      <c r="V2912" s="131"/>
      <c r="W2912" s="131"/>
      <c r="X2912" s="131"/>
    </row>
    <row r="2913" spans="9:24" x14ac:dyDescent="0.25">
      <c r="I2913" s="131"/>
      <c r="J2913" s="131"/>
      <c r="K2913" s="131"/>
      <c r="L2913" s="131"/>
      <c r="U2913" s="131"/>
      <c r="V2913" s="131"/>
      <c r="W2913" s="131"/>
      <c r="X2913" s="131"/>
    </row>
    <row r="2914" spans="9:24" x14ac:dyDescent="0.25">
      <c r="I2914" s="131"/>
      <c r="J2914" s="131"/>
      <c r="K2914" s="131"/>
      <c r="L2914" s="131"/>
      <c r="U2914" s="131"/>
      <c r="V2914" s="131"/>
      <c r="W2914" s="131"/>
      <c r="X2914" s="131"/>
    </row>
    <row r="2915" spans="9:24" x14ac:dyDescent="0.25">
      <c r="I2915" s="131"/>
      <c r="J2915" s="131"/>
      <c r="K2915" s="131"/>
      <c r="L2915" s="131"/>
      <c r="U2915" s="131"/>
      <c r="V2915" s="131"/>
      <c r="W2915" s="131"/>
      <c r="X2915" s="131"/>
    </row>
    <row r="2916" spans="9:24" x14ac:dyDescent="0.25">
      <c r="I2916" s="131"/>
      <c r="J2916" s="131"/>
      <c r="K2916" s="131"/>
      <c r="L2916" s="131"/>
      <c r="U2916" s="131"/>
      <c r="V2916" s="131"/>
      <c r="W2916" s="131"/>
      <c r="X2916" s="131"/>
    </row>
    <row r="2917" spans="9:24" x14ac:dyDescent="0.25">
      <c r="I2917" s="131"/>
      <c r="J2917" s="131"/>
      <c r="K2917" s="131"/>
      <c r="L2917" s="131"/>
      <c r="U2917" s="131"/>
      <c r="V2917" s="131"/>
      <c r="W2917" s="131"/>
      <c r="X2917" s="131"/>
    </row>
    <row r="2918" spans="9:24" x14ac:dyDescent="0.25">
      <c r="I2918" s="131"/>
      <c r="J2918" s="131"/>
      <c r="K2918" s="131"/>
      <c r="L2918" s="131"/>
      <c r="U2918" s="131"/>
      <c r="V2918" s="131"/>
      <c r="W2918" s="131"/>
      <c r="X2918" s="131"/>
    </row>
    <row r="2919" spans="9:24" x14ac:dyDescent="0.25">
      <c r="I2919" s="131"/>
      <c r="J2919" s="131"/>
      <c r="K2919" s="131"/>
      <c r="L2919" s="131"/>
      <c r="U2919" s="131"/>
      <c r="V2919" s="131"/>
      <c r="W2919" s="131"/>
      <c r="X2919" s="131"/>
    </row>
    <row r="2920" spans="9:24" x14ac:dyDescent="0.25">
      <c r="I2920" s="131"/>
      <c r="J2920" s="131"/>
      <c r="K2920" s="131"/>
      <c r="L2920" s="131"/>
      <c r="U2920" s="131"/>
      <c r="V2920" s="131"/>
      <c r="W2920" s="131"/>
      <c r="X2920" s="131"/>
    </row>
    <row r="2921" spans="9:24" x14ac:dyDescent="0.25">
      <c r="I2921" s="131"/>
      <c r="J2921" s="131"/>
      <c r="K2921" s="131"/>
      <c r="L2921" s="131"/>
      <c r="U2921" s="131"/>
      <c r="V2921" s="131"/>
      <c r="W2921" s="131"/>
      <c r="X2921" s="131"/>
    </row>
    <row r="2922" spans="9:24" x14ac:dyDescent="0.25">
      <c r="I2922" s="131"/>
      <c r="J2922" s="131"/>
      <c r="K2922" s="131"/>
      <c r="L2922" s="131"/>
      <c r="U2922" s="131"/>
      <c r="V2922" s="131"/>
      <c r="W2922" s="131"/>
      <c r="X2922" s="131"/>
    </row>
    <row r="2923" spans="9:24" x14ac:dyDescent="0.25">
      <c r="I2923" s="131"/>
      <c r="J2923" s="131"/>
      <c r="K2923" s="131"/>
      <c r="L2923" s="131"/>
      <c r="U2923" s="131"/>
      <c r="V2923" s="131"/>
      <c r="W2923" s="131"/>
      <c r="X2923" s="131"/>
    </row>
    <row r="2924" spans="9:24" x14ac:dyDescent="0.25">
      <c r="I2924" s="131"/>
      <c r="J2924" s="131"/>
      <c r="K2924" s="131"/>
      <c r="L2924" s="131"/>
      <c r="U2924" s="131"/>
      <c r="V2924" s="131"/>
      <c r="W2924" s="131"/>
      <c r="X2924" s="131"/>
    </row>
    <row r="2925" spans="9:24" x14ac:dyDescent="0.25">
      <c r="I2925" s="131"/>
      <c r="J2925" s="131"/>
      <c r="K2925" s="131"/>
      <c r="L2925" s="131"/>
      <c r="U2925" s="131"/>
      <c r="V2925" s="131"/>
      <c r="W2925" s="131"/>
      <c r="X2925" s="131"/>
    </row>
    <row r="2926" spans="9:24" x14ac:dyDescent="0.25">
      <c r="I2926" s="131"/>
      <c r="J2926" s="131"/>
      <c r="K2926" s="131"/>
      <c r="L2926" s="131"/>
      <c r="U2926" s="131"/>
      <c r="V2926" s="131"/>
      <c r="W2926" s="131"/>
      <c r="X2926" s="131"/>
    </row>
    <row r="2927" spans="9:24" x14ac:dyDescent="0.25">
      <c r="I2927" s="131"/>
      <c r="J2927" s="131"/>
      <c r="K2927" s="131"/>
      <c r="L2927" s="131"/>
      <c r="U2927" s="131"/>
      <c r="V2927" s="131"/>
      <c r="W2927" s="131"/>
      <c r="X2927" s="131"/>
    </row>
    <row r="2928" spans="9:24" x14ac:dyDescent="0.25">
      <c r="I2928" s="131"/>
      <c r="J2928" s="131"/>
      <c r="K2928" s="131"/>
      <c r="L2928" s="131"/>
      <c r="U2928" s="131"/>
      <c r="V2928" s="131"/>
      <c r="W2928" s="131"/>
      <c r="X2928" s="131"/>
    </row>
    <row r="2929" spans="9:24" x14ac:dyDescent="0.25">
      <c r="I2929" s="131"/>
      <c r="J2929" s="131"/>
      <c r="K2929" s="131"/>
      <c r="L2929" s="131"/>
      <c r="U2929" s="131"/>
      <c r="V2929" s="131"/>
      <c r="W2929" s="131"/>
      <c r="X2929" s="131"/>
    </row>
    <row r="2930" spans="9:24" x14ac:dyDescent="0.25">
      <c r="I2930" s="131"/>
      <c r="J2930" s="131"/>
      <c r="K2930" s="131"/>
      <c r="L2930" s="131"/>
      <c r="U2930" s="131"/>
      <c r="V2930" s="131"/>
      <c r="W2930" s="131"/>
      <c r="X2930" s="131"/>
    </row>
    <row r="2931" spans="9:24" x14ac:dyDescent="0.25">
      <c r="I2931" s="131"/>
      <c r="J2931" s="131"/>
      <c r="K2931" s="131"/>
      <c r="L2931" s="131"/>
      <c r="U2931" s="131"/>
      <c r="V2931" s="131"/>
      <c r="W2931" s="131"/>
      <c r="X2931" s="131"/>
    </row>
    <row r="2932" spans="9:24" x14ac:dyDescent="0.25">
      <c r="I2932" s="131"/>
      <c r="J2932" s="131"/>
      <c r="K2932" s="131"/>
      <c r="L2932" s="131"/>
      <c r="U2932" s="131"/>
      <c r="V2932" s="131"/>
      <c r="W2932" s="131"/>
      <c r="X2932" s="131"/>
    </row>
    <row r="2933" spans="9:24" x14ac:dyDescent="0.25">
      <c r="I2933" s="131"/>
      <c r="J2933" s="131"/>
      <c r="K2933" s="131"/>
      <c r="L2933" s="131"/>
      <c r="U2933" s="131"/>
      <c r="V2933" s="131"/>
      <c r="W2933" s="131"/>
      <c r="X2933" s="131"/>
    </row>
    <row r="2934" spans="9:24" x14ac:dyDescent="0.25">
      <c r="I2934" s="131"/>
      <c r="J2934" s="131"/>
      <c r="K2934" s="131"/>
      <c r="L2934" s="131"/>
      <c r="U2934" s="131"/>
      <c r="V2934" s="131"/>
      <c r="W2934" s="131"/>
      <c r="X2934" s="131"/>
    </row>
    <row r="2935" spans="9:24" x14ac:dyDescent="0.25">
      <c r="I2935" s="131"/>
      <c r="J2935" s="131"/>
      <c r="K2935" s="131"/>
      <c r="L2935" s="131"/>
      <c r="U2935" s="131"/>
      <c r="V2935" s="131"/>
      <c r="W2935" s="131"/>
      <c r="X2935" s="131"/>
    </row>
    <row r="2936" spans="9:24" x14ac:dyDescent="0.25">
      <c r="I2936" s="131"/>
      <c r="J2936" s="131"/>
      <c r="K2936" s="131"/>
      <c r="L2936" s="131"/>
      <c r="U2936" s="131"/>
      <c r="V2936" s="131"/>
      <c r="W2936" s="131"/>
      <c r="X2936" s="131"/>
    </row>
    <row r="2937" spans="9:24" x14ac:dyDescent="0.25">
      <c r="I2937" s="131"/>
      <c r="J2937" s="131"/>
      <c r="K2937" s="131"/>
      <c r="L2937" s="131"/>
      <c r="U2937" s="131"/>
      <c r="V2937" s="131"/>
      <c r="W2937" s="131"/>
      <c r="X2937" s="131"/>
    </row>
    <row r="2938" spans="9:24" x14ac:dyDescent="0.25">
      <c r="I2938" s="131"/>
      <c r="J2938" s="131"/>
      <c r="K2938" s="131"/>
      <c r="L2938" s="131"/>
      <c r="U2938" s="131"/>
      <c r="V2938" s="131"/>
      <c r="W2938" s="131"/>
      <c r="X2938" s="131"/>
    </row>
    <row r="2939" spans="9:24" x14ac:dyDescent="0.25">
      <c r="I2939" s="131"/>
      <c r="J2939" s="131"/>
      <c r="K2939" s="131"/>
      <c r="L2939" s="131"/>
      <c r="U2939" s="131"/>
      <c r="V2939" s="131"/>
      <c r="W2939" s="131"/>
      <c r="X2939" s="131"/>
    </row>
    <row r="2940" spans="9:24" x14ac:dyDescent="0.25">
      <c r="I2940" s="131"/>
      <c r="J2940" s="131"/>
      <c r="K2940" s="131"/>
      <c r="L2940" s="131"/>
      <c r="U2940" s="131"/>
      <c r="V2940" s="131"/>
      <c r="W2940" s="131"/>
      <c r="X2940" s="131"/>
    </row>
    <row r="2941" spans="9:24" x14ac:dyDescent="0.25">
      <c r="I2941" s="131"/>
      <c r="J2941" s="131"/>
      <c r="K2941" s="131"/>
      <c r="L2941" s="131"/>
      <c r="U2941" s="131"/>
      <c r="V2941" s="131"/>
      <c r="W2941" s="131"/>
      <c r="X2941" s="131"/>
    </row>
    <row r="2942" spans="9:24" x14ac:dyDescent="0.25">
      <c r="I2942" s="131"/>
      <c r="J2942" s="131"/>
      <c r="K2942" s="131"/>
      <c r="L2942" s="131"/>
      <c r="U2942" s="131"/>
      <c r="V2942" s="131"/>
      <c r="W2942" s="131"/>
      <c r="X2942" s="131"/>
    </row>
    <row r="2943" spans="9:24" x14ac:dyDescent="0.25">
      <c r="I2943" s="131"/>
      <c r="J2943" s="131"/>
      <c r="K2943" s="131"/>
      <c r="L2943" s="131"/>
      <c r="U2943" s="131"/>
      <c r="V2943" s="131"/>
      <c r="W2943" s="131"/>
      <c r="X2943" s="131"/>
    </row>
    <row r="2944" spans="9:24" x14ac:dyDescent="0.25">
      <c r="I2944" s="131"/>
      <c r="J2944" s="131"/>
      <c r="K2944" s="131"/>
      <c r="L2944" s="131"/>
      <c r="U2944" s="131"/>
      <c r="V2944" s="131"/>
      <c r="W2944" s="131"/>
      <c r="X2944" s="131"/>
    </row>
    <row r="2945" spans="9:24" x14ac:dyDescent="0.25">
      <c r="I2945" s="131"/>
      <c r="J2945" s="131"/>
      <c r="K2945" s="131"/>
      <c r="L2945" s="131"/>
      <c r="U2945" s="131"/>
      <c r="V2945" s="131"/>
      <c r="W2945" s="131"/>
      <c r="X2945" s="131"/>
    </row>
    <row r="2946" spans="9:24" x14ac:dyDescent="0.25">
      <c r="I2946" s="131"/>
      <c r="J2946" s="131"/>
      <c r="K2946" s="131"/>
      <c r="L2946" s="131"/>
      <c r="U2946" s="131"/>
      <c r="V2946" s="131"/>
      <c r="W2946" s="131"/>
      <c r="X2946" s="131"/>
    </row>
    <row r="2947" spans="9:24" x14ac:dyDescent="0.25">
      <c r="I2947" s="131"/>
      <c r="J2947" s="131"/>
      <c r="K2947" s="131"/>
      <c r="L2947" s="131"/>
      <c r="U2947" s="131"/>
      <c r="V2947" s="131"/>
      <c r="W2947" s="131"/>
      <c r="X2947" s="131"/>
    </row>
    <row r="2948" spans="9:24" x14ac:dyDescent="0.25">
      <c r="I2948" s="131"/>
      <c r="J2948" s="131"/>
      <c r="K2948" s="131"/>
      <c r="L2948" s="131"/>
      <c r="U2948" s="131"/>
      <c r="V2948" s="131"/>
      <c r="W2948" s="131"/>
      <c r="X2948" s="131"/>
    </row>
    <row r="2949" spans="9:24" x14ac:dyDescent="0.25">
      <c r="I2949" s="131"/>
      <c r="J2949" s="131"/>
      <c r="K2949" s="131"/>
      <c r="L2949" s="131"/>
      <c r="U2949" s="131"/>
      <c r="V2949" s="131"/>
      <c r="W2949" s="131"/>
      <c r="X2949" s="131"/>
    </row>
    <row r="2950" spans="9:24" x14ac:dyDescent="0.25">
      <c r="I2950" s="131"/>
      <c r="J2950" s="131"/>
      <c r="K2950" s="131"/>
      <c r="L2950" s="131"/>
      <c r="U2950" s="131"/>
      <c r="V2950" s="131"/>
      <c r="W2950" s="131"/>
      <c r="X2950" s="131"/>
    </row>
    <row r="2951" spans="9:24" x14ac:dyDescent="0.25">
      <c r="I2951" s="131"/>
      <c r="J2951" s="131"/>
      <c r="K2951" s="131"/>
      <c r="L2951" s="131"/>
      <c r="U2951" s="131"/>
      <c r="V2951" s="131"/>
      <c r="W2951" s="131"/>
      <c r="X2951" s="131"/>
    </row>
    <row r="2952" spans="9:24" x14ac:dyDescent="0.25">
      <c r="I2952" s="131"/>
      <c r="J2952" s="131"/>
      <c r="K2952" s="131"/>
      <c r="L2952" s="131"/>
      <c r="U2952" s="131"/>
      <c r="V2952" s="131"/>
      <c r="W2952" s="131"/>
      <c r="X2952" s="131"/>
    </row>
    <row r="2953" spans="9:24" x14ac:dyDescent="0.25">
      <c r="I2953" s="131"/>
      <c r="J2953" s="131"/>
      <c r="K2953" s="131"/>
      <c r="L2953" s="131"/>
      <c r="U2953" s="131"/>
      <c r="V2953" s="131"/>
      <c r="W2953" s="131"/>
      <c r="X2953" s="131"/>
    </row>
    <row r="2954" spans="9:24" x14ac:dyDescent="0.25">
      <c r="I2954" s="131"/>
      <c r="J2954" s="131"/>
      <c r="K2954" s="131"/>
      <c r="L2954" s="131"/>
      <c r="U2954" s="131"/>
      <c r="V2954" s="131"/>
      <c r="W2954" s="131"/>
      <c r="X2954" s="131"/>
    </row>
    <row r="2955" spans="9:24" x14ac:dyDescent="0.25">
      <c r="I2955" s="131"/>
      <c r="J2955" s="131"/>
      <c r="K2955" s="131"/>
      <c r="L2955" s="131"/>
      <c r="U2955" s="131"/>
      <c r="V2955" s="131"/>
      <c r="W2955" s="131"/>
      <c r="X2955" s="131"/>
    </row>
    <row r="2956" spans="9:24" x14ac:dyDescent="0.25">
      <c r="I2956" s="131"/>
      <c r="J2956" s="131"/>
      <c r="K2956" s="131"/>
      <c r="L2956" s="131"/>
      <c r="U2956" s="131"/>
      <c r="V2956" s="131"/>
      <c r="W2956" s="131"/>
      <c r="X2956" s="131"/>
    </row>
    <row r="2957" spans="9:24" x14ac:dyDescent="0.25">
      <c r="I2957" s="131"/>
      <c r="J2957" s="131"/>
      <c r="K2957" s="131"/>
      <c r="L2957" s="131"/>
      <c r="U2957" s="131"/>
      <c r="V2957" s="131"/>
      <c r="W2957" s="131"/>
      <c r="X2957" s="131"/>
    </row>
    <row r="2958" spans="9:24" x14ac:dyDescent="0.25">
      <c r="I2958" s="131"/>
      <c r="J2958" s="131"/>
      <c r="K2958" s="131"/>
      <c r="L2958" s="131"/>
      <c r="U2958" s="131"/>
      <c r="V2958" s="131"/>
      <c r="W2958" s="131"/>
      <c r="X2958" s="131"/>
    </row>
    <row r="2959" spans="9:24" x14ac:dyDescent="0.25">
      <c r="I2959" s="131"/>
      <c r="J2959" s="131"/>
      <c r="K2959" s="131"/>
      <c r="L2959" s="131"/>
      <c r="U2959" s="131"/>
      <c r="V2959" s="131"/>
      <c r="W2959" s="131"/>
      <c r="X2959" s="131"/>
    </row>
    <row r="2960" spans="9:24" x14ac:dyDescent="0.25">
      <c r="I2960" s="131"/>
      <c r="J2960" s="131"/>
      <c r="K2960" s="131"/>
      <c r="L2960" s="131"/>
      <c r="U2960" s="131"/>
      <c r="V2960" s="131"/>
      <c r="W2960" s="131"/>
      <c r="X2960" s="131"/>
    </row>
    <row r="2961" spans="9:24" x14ac:dyDescent="0.25">
      <c r="I2961" s="131"/>
      <c r="J2961" s="131"/>
      <c r="K2961" s="131"/>
      <c r="L2961" s="131"/>
      <c r="U2961" s="131"/>
      <c r="V2961" s="131"/>
      <c r="W2961" s="131"/>
      <c r="X2961" s="131"/>
    </row>
    <row r="2962" spans="9:24" x14ac:dyDescent="0.25">
      <c r="I2962" s="131"/>
      <c r="J2962" s="131"/>
      <c r="K2962" s="131"/>
      <c r="L2962" s="131"/>
      <c r="U2962" s="131"/>
      <c r="V2962" s="131"/>
      <c r="W2962" s="131"/>
      <c r="X2962" s="131"/>
    </row>
    <row r="2963" spans="9:24" x14ac:dyDescent="0.25">
      <c r="I2963" s="131"/>
      <c r="J2963" s="131"/>
      <c r="K2963" s="131"/>
      <c r="L2963" s="131"/>
      <c r="U2963" s="131"/>
      <c r="V2963" s="131"/>
      <c r="W2963" s="131"/>
      <c r="X2963" s="131"/>
    </row>
    <row r="2964" spans="9:24" x14ac:dyDescent="0.25">
      <c r="I2964" s="131"/>
      <c r="J2964" s="131"/>
      <c r="K2964" s="131"/>
      <c r="L2964" s="131"/>
      <c r="U2964" s="131"/>
      <c r="V2964" s="131"/>
      <c r="W2964" s="131"/>
      <c r="X2964" s="131"/>
    </row>
    <row r="2965" spans="9:24" x14ac:dyDescent="0.25">
      <c r="I2965" s="131"/>
      <c r="J2965" s="131"/>
      <c r="K2965" s="131"/>
      <c r="L2965" s="131"/>
      <c r="U2965" s="131"/>
      <c r="V2965" s="131"/>
      <c r="W2965" s="131"/>
      <c r="X2965" s="131"/>
    </row>
    <row r="2966" spans="9:24" x14ac:dyDescent="0.25">
      <c r="I2966" s="131"/>
      <c r="J2966" s="131"/>
      <c r="K2966" s="131"/>
      <c r="L2966" s="131"/>
      <c r="U2966" s="131"/>
      <c r="V2966" s="131"/>
      <c r="W2966" s="131"/>
      <c r="X2966" s="131"/>
    </row>
    <row r="2967" spans="9:24" x14ac:dyDescent="0.25">
      <c r="I2967" s="131"/>
      <c r="J2967" s="131"/>
      <c r="K2967" s="131"/>
      <c r="L2967" s="131"/>
      <c r="U2967" s="131"/>
      <c r="V2967" s="131"/>
      <c r="W2967" s="131"/>
      <c r="X2967" s="131"/>
    </row>
    <row r="2968" spans="9:24" x14ac:dyDescent="0.25">
      <c r="I2968" s="131"/>
      <c r="J2968" s="131"/>
      <c r="K2968" s="131"/>
      <c r="L2968" s="131"/>
      <c r="U2968" s="131"/>
      <c r="V2968" s="131"/>
      <c r="W2968" s="131"/>
      <c r="X2968" s="131"/>
    </row>
    <row r="2969" spans="9:24" x14ac:dyDescent="0.25">
      <c r="I2969" s="131"/>
      <c r="J2969" s="131"/>
      <c r="K2969" s="131"/>
      <c r="L2969" s="131"/>
      <c r="U2969" s="131"/>
      <c r="V2969" s="131"/>
      <c r="W2969" s="131"/>
      <c r="X2969" s="131"/>
    </row>
    <row r="2970" spans="9:24" x14ac:dyDescent="0.25">
      <c r="I2970" s="131"/>
      <c r="J2970" s="131"/>
      <c r="K2970" s="131"/>
      <c r="L2970" s="131"/>
      <c r="U2970" s="131"/>
      <c r="V2970" s="131"/>
      <c r="W2970" s="131"/>
      <c r="X2970" s="131"/>
    </row>
    <row r="2971" spans="9:24" x14ac:dyDescent="0.25">
      <c r="I2971" s="131"/>
      <c r="J2971" s="131"/>
      <c r="K2971" s="131"/>
      <c r="L2971" s="131"/>
      <c r="U2971" s="131"/>
      <c r="V2971" s="131"/>
      <c r="W2971" s="131"/>
      <c r="X2971" s="131"/>
    </row>
    <row r="2972" spans="9:24" x14ac:dyDescent="0.25">
      <c r="I2972" s="131"/>
      <c r="J2972" s="131"/>
      <c r="K2972" s="131"/>
      <c r="L2972" s="131"/>
      <c r="U2972" s="131"/>
      <c r="V2972" s="131"/>
      <c r="W2972" s="131"/>
      <c r="X2972" s="131"/>
    </row>
    <row r="2973" spans="9:24" x14ac:dyDescent="0.25">
      <c r="I2973" s="131"/>
      <c r="J2973" s="131"/>
      <c r="K2973" s="131"/>
      <c r="L2973" s="131"/>
      <c r="U2973" s="131"/>
      <c r="V2973" s="131"/>
      <c r="W2973" s="131"/>
      <c r="X2973" s="131"/>
    </row>
    <row r="2974" spans="9:24" x14ac:dyDescent="0.25">
      <c r="I2974" s="131"/>
      <c r="J2974" s="131"/>
      <c r="K2974" s="131"/>
      <c r="L2974" s="131"/>
      <c r="U2974" s="131"/>
      <c r="V2974" s="131"/>
      <c r="W2974" s="131"/>
      <c r="X2974" s="131"/>
    </row>
    <row r="2975" spans="9:24" x14ac:dyDescent="0.25">
      <c r="I2975" s="131"/>
      <c r="J2975" s="131"/>
      <c r="K2975" s="131"/>
      <c r="L2975" s="131"/>
      <c r="U2975" s="131"/>
      <c r="V2975" s="131"/>
      <c r="W2975" s="131"/>
      <c r="X2975" s="131"/>
    </row>
    <row r="2976" spans="9:24" x14ac:dyDescent="0.25">
      <c r="I2976" s="131"/>
      <c r="J2976" s="131"/>
      <c r="K2976" s="131"/>
      <c r="L2976" s="131"/>
      <c r="U2976" s="131"/>
      <c r="V2976" s="131"/>
      <c r="W2976" s="131"/>
      <c r="X2976" s="131"/>
    </row>
    <row r="2977" spans="9:24" x14ac:dyDescent="0.25">
      <c r="I2977" s="131"/>
      <c r="J2977" s="131"/>
      <c r="K2977" s="131"/>
      <c r="L2977" s="131"/>
      <c r="U2977" s="131"/>
      <c r="V2977" s="131"/>
      <c r="W2977" s="131"/>
      <c r="X2977" s="131"/>
    </row>
    <row r="2978" spans="9:24" x14ac:dyDescent="0.25">
      <c r="I2978" s="131"/>
      <c r="J2978" s="131"/>
      <c r="K2978" s="131"/>
      <c r="L2978" s="131"/>
      <c r="U2978" s="131"/>
      <c r="V2978" s="131"/>
      <c r="W2978" s="131"/>
      <c r="X2978" s="131"/>
    </row>
    <row r="2979" spans="9:24" x14ac:dyDescent="0.25">
      <c r="I2979" s="131"/>
      <c r="J2979" s="131"/>
      <c r="K2979" s="131"/>
      <c r="L2979" s="131"/>
      <c r="U2979" s="131"/>
      <c r="V2979" s="131"/>
      <c r="W2979" s="131"/>
      <c r="X2979" s="131"/>
    </row>
    <row r="2980" spans="9:24" x14ac:dyDescent="0.25">
      <c r="I2980" s="131"/>
      <c r="J2980" s="131"/>
      <c r="K2980" s="131"/>
      <c r="L2980" s="131"/>
      <c r="U2980" s="131"/>
      <c r="V2980" s="131"/>
      <c r="W2980" s="131"/>
      <c r="X2980" s="131"/>
    </row>
    <row r="2981" spans="9:24" x14ac:dyDescent="0.25">
      <c r="I2981" s="131"/>
      <c r="J2981" s="131"/>
      <c r="K2981" s="131"/>
      <c r="L2981" s="131"/>
      <c r="U2981" s="131"/>
      <c r="V2981" s="131"/>
      <c r="W2981" s="131"/>
      <c r="X2981" s="131"/>
    </row>
    <row r="2982" spans="9:24" x14ac:dyDescent="0.25">
      <c r="I2982" s="131"/>
      <c r="J2982" s="131"/>
      <c r="K2982" s="131"/>
      <c r="L2982" s="131"/>
      <c r="U2982" s="131"/>
      <c r="V2982" s="131"/>
      <c r="W2982" s="131"/>
      <c r="X2982" s="131"/>
    </row>
    <row r="2983" spans="9:24" x14ac:dyDescent="0.25">
      <c r="I2983" s="131"/>
      <c r="J2983" s="131"/>
      <c r="K2983" s="131"/>
      <c r="L2983" s="131"/>
      <c r="U2983" s="131"/>
      <c r="V2983" s="131"/>
      <c r="W2983" s="131"/>
      <c r="X2983" s="131"/>
    </row>
    <row r="2984" spans="9:24" x14ac:dyDescent="0.25">
      <c r="I2984" s="131"/>
      <c r="J2984" s="131"/>
      <c r="K2984" s="131"/>
      <c r="L2984" s="131"/>
      <c r="U2984" s="131"/>
      <c r="V2984" s="131"/>
      <c r="W2984" s="131"/>
      <c r="X2984" s="131"/>
    </row>
    <row r="2985" spans="9:24" x14ac:dyDescent="0.25">
      <c r="I2985" s="131"/>
      <c r="J2985" s="131"/>
      <c r="K2985" s="131"/>
      <c r="L2985" s="131"/>
      <c r="U2985" s="131"/>
      <c r="V2985" s="131"/>
      <c r="W2985" s="131"/>
      <c r="X2985" s="131"/>
    </row>
    <row r="2986" spans="9:24" x14ac:dyDescent="0.25">
      <c r="I2986" s="131"/>
      <c r="J2986" s="131"/>
      <c r="K2986" s="131"/>
      <c r="L2986" s="131"/>
      <c r="U2986" s="131"/>
      <c r="V2986" s="131"/>
      <c r="W2986" s="131"/>
      <c r="X2986" s="131"/>
    </row>
    <row r="2987" spans="9:24" x14ac:dyDescent="0.25">
      <c r="I2987" s="131"/>
      <c r="J2987" s="131"/>
      <c r="K2987" s="131"/>
      <c r="L2987" s="131"/>
      <c r="U2987" s="131"/>
      <c r="V2987" s="131"/>
      <c r="W2987" s="131"/>
      <c r="X2987" s="131"/>
    </row>
    <row r="2988" spans="9:24" x14ac:dyDescent="0.25">
      <c r="I2988" s="131"/>
      <c r="J2988" s="131"/>
      <c r="K2988" s="131"/>
      <c r="L2988" s="131"/>
      <c r="U2988" s="131"/>
      <c r="V2988" s="131"/>
      <c r="W2988" s="131"/>
      <c r="X2988" s="131"/>
    </row>
    <row r="2989" spans="9:24" x14ac:dyDescent="0.25">
      <c r="I2989" s="131"/>
      <c r="J2989" s="131"/>
      <c r="K2989" s="131"/>
      <c r="L2989" s="131"/>
      <c r="U2989" s="131"/>
      <c r="V2989" s="131"/>
      <c r="W2989" s="131"/>
      <c r="X2989" s="131"/>
    </row>
    <row r="2990" spans="9:24" x14ac:dyDescent="0.25">
      <c r="I2990" s="131"/>
      <c r="J2990" s="131"/>
      <c r="K2990" s="131"/>
      <c r="L2990" s="131"/>
      <c r="U2990" s="131"/>
      <c r="V2990" s="131"/>
      <c r="W2990" s="131"/>
      <c r="X2990" s="131"/>
    </row>
    <row r="2991" spans="9:24" x14ac:dyDescent="0.25">
      <c r="I2991" s="131"/>
      <c r="J2991" s="131"/>
      <c r="K2991" s="131"/>
      <c r="L2991" s="131"/>
      <c r="U2991" s="131"/>
      <c r="V2991" s="131"/>
      <c r="W2991" s="131"/>
      <c r="X2991" s="131"/>
    </row>
    <row r="2992" spans="9:24" x14ac:dyDescent="0.25">
      <c r="I2992" s="131"/>
      <c r="J2992" s="131"/>
      <c r="K2992" s="131"/>
      <c r="L2992" s="131"/>
      <c r="U2992" s="131"/>
      <c r="V2992" s="131"/>
      <c r="W2992" s="131"/>
      <c r="X2992" s="131"/>
    </row>
    <row r="2993" spans="9:24" x14ac:dyDescent="0.25">
      <c r="I2993" s="131"/>
      <c r="J2993" s="131"/>
      <c r="K2993" s="131"/>
      <c r="L2993" s="131"/>
      <c r="U2993" s="131"/>
      <c r="V2993" s="131"/>
      <c r="W2993" s="131"/>
      <c r="X2993" s="131"/>
    </row>
    <row r="2994" spans="9:24" x14ac:dyDescent="0.25">
      <c r="I2994" s="131"/>
      <c r="J2994" s="131"/>
      <c r="K2994" s="131"/>
      <c r="L2994" s="131"/>
      <c r="U2994" s="131"/>
      <c r="V2994" s="131"/>
      <c r="W2994" s="131"/>
      <c r="X2994" s="131"/>
    </row>
    <row r="2995" spans="9:24" x14ac:dyDescent="0.25">
      <c r="I2995" s="131"/>
      <c r="J2995" s="131"/>
      <c r="K2995" s="131"/>
      <c r="L2995" s="131"/>
      <c r="U2995" s="131"/>
      <c r="V2995" s="131"/>
      <c r="W2995" s="131"/>
      <c r="X2995" s="131"/>
    </row>
    <row r="2996" spans="9:24" x14ac:dyDescent="0.25">
      <c r="I2996" s="131"/>
      <c r="J2996" s="131"/>
      <c r="K2996" s="131"/>
      <c r="L2996" s="131"/>
      <c r="U2996" s="131"/>
      <c r="V2996" s="131"/>
      <c r="W2996" s="131"/>
      <c r="X2996" s="131"/>
    </row>
    <row r="2997" spans="9:24" x14ac:dyDescent="0.25">
      <c r="I2997" s="131"/>
      <c r="J2997" s="131"/>
      <c r="K2997" s="131"/>
      <c r="L2997" s="131"/>
      <c r="U2997" s="131"/>
      <c r="V2997" s="131"/>
      <c r="W2997" s="131"/>
      <c r="X2997" s="131"/>
    </row>
    <row r="2998" spans="9:24" x14ac:dyDescent="0.25">
      <c r="I2998" s="131"/>
      <c r="J2998" s="131"/>
      <c r="K2998" s="131"/>
      <c r="L2998" s="131"/>
      <c r="U2998" s="131"/>
      <c r="V2998" s="131"/>
      <c r="W2998" s="131"/>
      <c r="X2998" s="131"/>
    </row>
    <row r="2999" spans="9:24" x14ac:dyDescent="0.25">
      <c r="I2999" s="131"/>
      <c r="J2999" s="131"/>
      <c r="K2999" s="131"/>
      <c r="L2999" s="131"/>
      <c r="U2999" s="131"/>
      <c r="V2999" s="131"/>
      <c r="W2999" s="131"/>
      <c r="X2999" s="131"/>
    </row>
    <row r="3000" spans="9:24" x14ac:dyDescent="0.25">
      <c r="I3000" s="131"/>
      <c r="J3000" s="131"/>
      <c r="K3000" s="131"/>
      <c r="L3000" s="131"/>
      <c r="U3000" s="131"/>
      <c r="V3000" s="131"/>
      <c r="W3000" s="131"/>
      <c r="X3000" s="131"/>
    </row>
    <row r="3001" spans="9:24" x14ac:dyDescent="0.25">
      <c r="I3001" s="131"/>
      <c r="J3001" s="131"/>
      <c r="K3001" s="131"/>
      <c r="L3001" s="131"/>
      <c r="U3001" s="131"/>
      <c r="V3001" s="131"/>
      <c r="W3001" s="131"/>
      <c r="X3001" s="131"/>
    </row>
    <row r="3002" spans="9:24" x14ac:dyDescent="0.25">
      <c r="I3002" s="131"/>
      <c r="J3002" s="131"/>
      <c r="K3002" s="131"/>
      <c r="L3002" s="131"/>
      <c r="U3002" s="131"/>
      <c r="V3002" s="131"/>
      <c r="W3002" s="131"/>
      <c r="X3002" s="131"/>
    </row>
    <row r="3003" spans="9:24" x14ac:dyDescent="0.25">
      <c r="I3003" s="131"/>
      <c r="J3003" s="131"/>
      <c r="K3003" s="131"/>
      <c r="L3003" s="131"/>
      <c r="U3003" s="131"/>
      <c r="V3003" s="131"/>
      <c r="W3003" s="131"/>
      <c r="X3003" s="131"/>
    </row>
    <row r="3004" spans="9:24" x14ac:dyDescent="0.25">
      <c r="I3004" s="131"/>
      <c r="J3004" s="131"/>
      <c r="K3004" s="131"/>
      <c r="L3004" s="131"/>
      <c r="U3004" s="131"/>
      <c r="V3004" s="131"/>
      <c r="W3004" s="131"/>
      <c r="X3004" s="131"/>
    </row>
    <row r="3005" spans="9:24" x14ac:dyDescent="0.25">
      <c r="I3005" s="131"/>
      <c r="J3005" s="131"/>
      <c r="K3005" s="131"/>
      <c r="L3005" s="131"/>
      <c r="U3005" s="131"/>
      <c r="V3005" s="131"/>
      <c r="W3005" s="131"/>
      <c r="X3005" s="131"/>
    </row>
    <row r="3006" spans="9:24" x14ac:dyDescent="0.25">
      <c r="I3006" s="131"/>
      <c r="J3006" s="131"/>
      <c r="K3006" s="131"/>
      <c r="L3006" s="131"/>
      <c r="U3006" s="131"/>
      <c r="V3006" s="131"/>
      <c r="W3006" s="131"/>
      <c r="X3006" s="131"/>
    </row>
    <row r="3007" spans="9:24" x14ac:dyDescent="0.25">
      <c r="I3007" s="131"/>
      <c r="J3007" s="131"/>
      <c r="K3007" s="131"/>
      <c r="L3007" s="131"/>
      <c r="U3007" s="131"/>
      <c r="V3007" s="131"/>
      <c r="W3007" s="131"/>
      <c r="X3007" s="131"/>
    </row>
    <row r="3008" spans="9:24" x14ac:dyDescent="0.25">
      <c r="I3008" s="131"/>
      <c r="J3008" s="131"/>
      <c r="K3008" s="131"/>
      <c r="L3008" s="131"/>
      <c r="U3008" s="131"/>
      <c r="V3008" s="131"/>
      <c r="W3008" s="131"/>
      <c r="X3008" s="131"/>
    </row>
    <row r="3009" spans="9:24" x14ac:dyDescent="0.25">
      <c r="I3009" s="131"/>
      <c r="J3009" s="131"/>
      <c r="K3009" s="131"/>
      <c r="L3009" s="131"/>
      <c r="U3009" s="131"/>
      <c r="V3009" s="131"/>
      <c r="W3009" s="131"/>
      <c r="X3009" s="131"/>
    </row>
    <row r="3010" spans="9:24" x14ac:dyDescent="0.25">
      <c r="I3010" s="131"/>
      <c r="J3010" s="131"/>
      <c r="K3010" s="131"/>
      <c r="L3010" s="131"/>
      <c r="U3010" s="131"/>
      <c r="V3010" s="131"/>
      <c r="W3010" s="131"/>
      <c r="X3010" s="131"/>
    </row>
    <row r="3011" spans="9:24" x14ac:dyDescent="0.25">
      <c r="I3011" s="131"/>
      <c r="J3011" s="131"/>
      <c r="K3011" s="131"/>
      <c r="L3011" s="131"/>
      <c r="U3011" s="131"/>
      <c r="V3011" s="131"/>
      <c r="W3011" s="131"/>
      <c r="X3011" s="131"/>
    </row>
    <row r="3012" spans="9:24" x14ac:dyDescent="0.25">
      <c r="I3012" s="131"/>
      <c r="J3012" s="131"/>
      <c r="K3012" s="131"/>
      <c r="L3012" s="131"/>
      <c r="U3012" s="131"/>
      <c r="V3012" s="131"/>
      <c r="W3012" s="131"/>
      <c r="X3012" s="131"/>
    </row>
    <row r="3013" spans="9:24" x14ac:dyDescent="0.25">
      <c r="I3013" s="131"/>
      <c r="J3013" s="131"/>
      <c r="K3013" s="131"/>
      <c r="L3013" s="131"/>
      <c r="U3013" s="131"/>
      <c r="V3013" s="131"/>
      <c r="W3013" s="131"/>
      <c r="X3013" s="131"/>
    </row>
    <row r="3014" spans="9:24" x14ac:dyDescent="0.25">
      <c r="I3014" s="131"/>
      <c r="J3014" s="131"/>
      <c r="K3014" s="131"/>
      <c r="L3014" s="131"/>
      <c r="U3014" s="131"/>
      <c r="V3014" s="131"/>
      <c r="W3014" s="131"/>
      <c r="X3014" s="131"/>
    </row>
    <row r="3015" spans="9:24" x14ac:dyDescent="0.25">
      <c r="I3015" s="131"/>
      <c r="J3015" s="131"/>
      <c r="K3015" s="131"/>
      <c r="L3015" s="131"/>
      <c r="U3015" s="131"/>
      <c r="V3015" s="131"/>
      <c r="W3015" s="131"/>
      <c r="X3015" s="131"/>
    </row>
    <row r="3016" spans="9:24" x14ac:dyDescent="0.25">
      <c r="I3016" s="131"/>
      <c r="J3016" s="131"/>
      <c r="K3016" s="131"/>
      <c r="L3016" s="131"/>
      <c r="U3016" s="131"/>
      <c r="V3016" s="131"/>
      <c r="W3016" s="131"/>
      <c r="X3016" s="131"/>
    </row>
    <row r="3017" spans="9:24" x14ac:dyDescent="0.25">
      <c r="I3017" s="131"/>
      <c r="J3017" s="131"/>
      <c r="K3017" s="131"/>
      <c r="L3017" s="131"/>
      <c r="U3017" s="131"/>
      <c r="V3017" s="131"/>
      <c r="W3017" s="131"/>
      <c r="X3017" s="131"/>
    </row>
    <row r="3018" spans="9:24" x14ac:dyDescent="0.25">
      <c r="I3018" s="131"/>
      <c r="J3018" s="131"/>
      <c r="K3018" s="131"/>
      <c r="L3018" s="131"/>
      <c r="U3018" s="131"/>
      <c r="V3018" s="131"/>
      <c r="W3018" s="131"/>
      <c r="X3018" s="131"/>
    </row>
    <row r="3019" spans="9:24" x14ac:dyDescent="0.25">
      <c r="I3019" s="131"/>
      <c r="J3019" s="131"/>
      <c r="K3019" s="131"/>
      <c r="L3019" s="131"/>
      <c r="U3019" s="131"/>
      <c r="V3019" s="131"/>
      <c r="W3019" s="131"/>
      <c r="X3019" s="131"/>
    </row>
    <row r="3020" spans="9:24" x14ac:dyDescent="0.25">
      <c r="I3020" s="131"/>
      <c r="J3020" s="131"/>
      <c r="K3020" s="131"/>
      <c r="L3020" s="131"/>
      <c r="U3020" s="131"/>
      <c r="V3020" s="131"/>
      <c r="W3020" s="131"/>
      <c r="X3020" s="131"/>
    </row>
    <row r="3021" spans="9:24" x14ac:dyDescent="0.25">
      <c r="I3021" s="131"/>
      <c r="J3021" s="131"/>
      <c r="K3021" s="131"/>
      <c r="L3021" s="131"/>
      <c r="U3021" s="131"/>
      <c r="V3021" s="131"/>
      <c r="W3021" s="131"/>
      <c r="X3021" s="131"/>
    </row>
    <row r="3022" spans="9:24" x14ac:dyDescent="0.25">
      <c r="I3022" s="131"/>
      <c r="J3022" s="131"/>
      <c r="K3022" s="131"/>
      <c r="L3022" s="131"/>
      <c r="U3022" s="131"/>
      <c r="V3022" s="131"/>
      <c r="W3022" s="131"/>
      <c r="X3022" s="131"/>
    </row>
    <row r="3023" spans="9:24" x14ac:dyDescent="0.25">
      <c r="I3023" s="131"/>
      <c r="J3023" s="131"/>
      <c r="K3023" s="131"/>
      <c r="L3023" s="131"/>
      <c r="U3023" s="131"/>
      <c r="V3023" s="131"/>
      <c r="W3023" s="131"/>
      <c r="X3023" s="131"/>
    </row>
    <row r="3024" spans="9:24" x14ac:dyDescent="0.25">
      <c r="I3024" s="131"/>
      <c r="J3024" s="131"/>
      <c r="K3024" s="131"/>
      <c r="L3024" s="131"/>
      <c r="U3024" s="131"/>
      <c r="V3024" s="131"/>
      <c r="W3024" s="131"/>
      <c r="X3024" s="131"/>
    </row>
    <row r="3025" spans="9:24" x14ac:dyDescent="0.25">
      <c r="I3025" s="131"/>
      <c r="J3025" s="131"/>
      <c r="K3025" s="131"/>
      <c r="L3025" s="131"/>
      <c r="U3025" s="131"/>
      <c r="V3025" s="131"/>
      <c r="W3025" s="131"/>
      <c r="X3025" s="131"/>
    </row>
    <row r="3026" spans="9:24" x14ac:dyDescent="0.25">
      <c r="I3026" s="131"/>
      <c r="J3026" s="131"/>
      <c r="K3026" s="131"/>
      <c r="L3026" s="131"/>
      <c r="U3026" s="131"/>
      <c r="V3026" s="131"/>
      <c r="W3026" s="131"/>
      <c r="X3026" s="131"/>
    </row>
    <row r="3027" spans="9:24" x14ac:dyDescent="0.25">
      <c r="I3027" s="131"/>
      <c r="J3027" s="131"/>
      <c r="K3027" s="131"/>
      <c r="L3027" s="131"/>
      <c r="U3027" s="131"/>
      <c r="V3027" s="131"/>
      <c r="W3027" s="131"/>
      <c r="X3027" s="131"/>
    </row>
    <row r="3028" spans="9:24" x14ac:dyDescent="0.25">
      <c r="I3028" s="131"/>
      <c r="J3028" s="131"/>
      <c r="K3028" s="131"/>
      <c r="L3028" s="131"/>
      <c r="U3028" s="131"/>
      <c r="V3028" s="131"/>
      <c r="W3028" s="131"/>
      <c r="X3028" s="131"/>
    </row>
    <row r="3029" spans="9:24" x14ac:dyDescent="0.25">
      <c r="I3029" s="131"/>
      <c r="J3029" s="131"/>
      <c r="K3029" s="131"/>
      <c r="L3029" s="131"/>
      <c r="U3029" s="131"/>
      <c r="V3029" s="131"/>
      <c r="W3029" s="131"/>
      <c r="X3029" s="131"/>
    </row>
    <row r="3030" spans="9:24" x14ac:dyDescent="0.25">
      <c r="I3030" s="131"/>
      <c r="J3030" s="131"/>
      <c r="K3030" s="131"/>
      <c r="L3030" s="131"/>
      <c r="U3030" s="131"/>
      <c r="V3030" s="131"/>
      <c r="W3030" s="131"/>
      <c r="X3030" s="131"/>
    </row>
    <row r="3031" spans="9:24" x14ac:dyDescent="0.25">
      <c r="I3031" s="131"/>
      <c r="J3031" s="131"/>
      <c r="K3031" s="131"/>
      <c r="L3031" s="131"/>
      <c r="U3031" s="131"/>
      <c r="V3031" s="131"/>
      <c r="W3031" s="131"/>
      <c r="X3031" s="131"/>
    </row>
    <row r="3032" spans="9:24" x14ac:dyDescent="0.25">
      <c r="I3032" s="131"/>
      <c r="J3032" s="131"/>
      <c r="K3032" s="131"/>
      <c r="L3032" s="131"/>
      <c r="U3032" s="131"/>
      <c r="V3032" s="131"/>
      <c r="W3032" s="131"/>
      <c r="X3032" s="131"/>
    </row>
    <row r="3033" spans="9:24" x14ac:dyDescent="0.25">
      <c r="I3033" s="131"/>
      <c r="J3033" s="131"/>
      <c r="K3033" s="131"/>
      <c r="L3033" s="131"/>
      <c r="U3033" s="131"/>
      <c r="V3033" s="131"/>
      <c r="W3033" s="131"/>
      <c r="X3033" s="131"/>
    </row>
    <row r="3034" spans="9:24" x14ac:dyDescent="0.25">
      <c r="I3034" s="131"/>
      <c r="J3034" s="131"/>
      <c r="K3034" s="131"/>
      <c r="L3034" s="131"/>
      <c r="U3034" s="131"/>
      <c r="V3034" s="131"/>
      <c r="W3034" s="131"/>
      <c r="X3034" s="131"/>
    </row>
    <row r="3035" spans="9:24" x14ac:dyDescent="0.25">
      <c r="I3035" s="131"/>
      <c r="J3035" s="131"/>
      <c r="K3035" s="131"/>
      <c r="L3035" s="131"/>
      <c r="U3035" s="131"/>
      <c r="V3035" s="131"/>
      <c r="W3035" s="131"/>
      <c r="X3035" s="131"/>
    </row>
    <row r="3036" spans="9:24" x14ac:dyDescent="0.25">
      <c r="I3036" s="131"/>
      <c r="J3036" s="131"/>
      <c r="K3036" s="131"/>
      <c r="L3036" s="131"/>
      <c r="U3036" s="131"/>
      <c r="V3036" s="131"/>
      <c r="W3036" s="131"/>
      <c r="X3036" s="131"/>
    </row>
    <row r="3037" spans="9:24" x14ac:dyDescent="0.25">
      <c r="I3037" s="131"/>
      <c r="J3037" s="131"/>
      <c r="K3037" s="131"/>
      <c r="L3037" s="131"/>
      <c r="U3037" s="131"/>
      <c r="V3037" s="131"/>
      <c r="W3037" s="131"/>
      <c r="X3037" s="131"/>
    </row>
    <row r="3038" spans="9:24" x14ac:dyDescent="0.25">
      <c r="I3038" s="131"/>
      <c r="J3038" s="131"/>
      <c r="K3038" s="131"/>
      <c r="L3038" s="131"/>
      <c r="U3038" s="131"/>
      <c r="V3038" s="131"/>
      <c r="W3038" s="131"/>
      <c r="X3038" s="131"/>
    </row>
    <row r="3039" spans="9:24" x14ac:dyDescent="0.25">
      <c r="I3039" s="131"/>
      <c r="J3039" s="131"/>
      <c r="K3039" s="131"/>
      <c r="L3039" s="131"/>
      <c r="U3039" s="131"/>
      <c r="V3039" s="131"/>
      <c r="W3039" s="131"/>
      <c r="X3039" s="131"/>
    </row>
    <row r="3040" spans="9:24" x14ac:dyDescent="0.25">
      <c r="I3040" s="131"/>
      <c r="J3040" s="131"/>
      <c r="K3040" s="131"/>
      <c r="L3040" s="131"/>
      <c r="U3040" s="131"/>
      <c r="V3040" s="131"/>
      <c r="W3040" s="131"/>
      <c r="X3040" s="131"/>
    </row>
    <row r="3041" spans="9:24" x14ac:dyDescent="0.25">
      <c r="I3041" s="131"/>
      <c r="J3041" s="131"/>
      <c r="K3041" s="131"/>
      <c r="L3041" s="131"/>
      <c r="U3041" s="131"/>
      <c r="V3041" s="131"/>
      <c r="W3041" s="131"/>
      <c r="X3041" s="131"/>
    </row>
    <row r="3042" spans="9:24" x14ac:dyDescent="0.25">
      <c r="I3042" s="131"/>
      <c r="J3042" s="131"/>
      <c r="K3042" s="131"/>
      <c r="L3042" s="131"/>
      <c r="U3042" s="131"/>
      <c r="V3042" s="131"/>
      <c r="W3042" s="131"/>
      <c r="X3042" s="131"/>
    </row>
    <row r="3043" spans="9:24" x14ac:dyDescent="0.25">
      <c r="I3043" s="131"/>
      <c r="J3043" s="131"/>
      <c r="K3043" s="131"/>
      <c r="L3043" s="131"/>
      <c r="U3043" s="131"/>
      <c r="V3043" s="131"/>
      <c r="W3043" s="131"/>
      <c r="X3043" s="131"/>
    </row>
    <row r="3044" spans="9:24" x14ac:dyDescent="0.25">
      <c r="I3044" s="131"/>
      <c r="J3044" s="131"/>
      <c r="K3044" s="131"/>
      <c r="L3044" s="131"/>
      <c r="U3044" s="131"/>
      <c r="V3044" s="131"/>
      <c r="W3044" s="131"/>
      <c r="X3044" s="131"/>
    </row>
    <row r="3045" spans="9:24" x14ac:dyDescent="0.25">
      <c r="I3045" s="131"/>
      <c r="J3045" s="131"/>
      <c r="K3045" s="131"/>
      <c r="L3045" s="131"/>
      <c r="U3045" s="131"/>
      <c r="V3045" s="131"/>
      <c r="W3045" s="131"/>
      <c r="X3045" s="131"/>
    </row>
    <row r="3046" spans="9:24" x14ac:dyDescent="0.25">
      <c r="I3046" s="131"/>
      <c r="J3046" s="131"/>
      <c r="K3046" s="131"/>
      <c r="L3046" s="131"/>
      <c r="U3046" s="131"/>
      <c r="V3046" s="131"/>
      <c r="W3046" s="131"/>
      <c r="X3046" s="131"/>
    </row>
    <row r="3047" spans="9:24" x14ac:dyDescent="0.25">
      <c r="I3047" s="131"/>
      <c r="J3047" s="131"/>
      <c r="K3047" s="131"/>
      <c r="L3047" s="131"/>
      <c r="U3047" s="131"/>
      <c r="V3047" s="131"/>
      <c r="W3047" s="131"/>
      <c r="X3047" s="131"/>
    </row>
    <row r="3048" spans="9:24" x14ac:dyDescent="0.25">
      <c r="I3048" s="131"/>
      <c r="J3048" s="131"/>
      <c r="K3048" s="131"/>
      <c r="L3048" s="131"/>
      <c r="U3048" s="131"/>
      <c r="V3048" s="131"/>
      <c r="W3048" s="131"/>
      <c r="X3048" s="131"/>
    </row>
    <row r="3049" spans="9:24" x14ac:dyDescent="0.25">
      <c r="I3049" s="131"/>
      <c r="J3049" s="131"/>
      <c r="K3049" s="131"/>
      <c r="L3049" s="131"/>
      <c r="U3049" s="131"/>
      <c r="V3049" s="131"/>
      <c r="W3049" s="131"/>
      <c r="X3049" s="131"/>
    </row>
    <row r="3050" spans="9:24" x14ac:dyDescent="0.25">
      <c r="I3050" s="131"/>
      <c r="J3050" s="131"/>
      <c r="K3050" s="131"/>
      <c r="L3050" s="131"/>
      <c r="U3050" s="131"/>
      <c r="V3050" s="131"/>
      <c r="W3050" s="131"/>
      <c r="X3050" s="131"/>
    </row>
    <row r="3051" spans="9:24" x14ac:dyDescent="0.25">
      <c r="I3051" s="131"/>
      <c r="J3051" s="131"/>
      <c r="K3051" s="131"/>
      <c r="L3051" s="131"/>
      <c r="U3051" s="131"/>
      <c r="V3051" s="131"/>
      <c r="W3051" s="131"/>
      <c r="X3051" s="131"/>
    </row>
    <row r="3052" spans="9:24" x14ac:dyDescent="0.25">
      <c r="I3052" s="131"/>
      <c r="J3052" s="131"/>
      <c r="K3052" s="131"/>
      <c r="L3052" s="131"/>
      <c r="U3052" s="131"/>
      <c r="V3052" s="131"/>
      <c r="W3052" s="131"/>
      <c r="X3052" s="131"/>
    </row>
    <row r="3053" spans="9:24" x14ac:dyDescent="0.25">
      <c r="I3053" s="131"/>
      <c r="J3053" s="131"/>
      <c r="K3053" s="131"/>
      <c r="L3053" s="131"/>
      <c r="U3053" s="131"/>
      <c r="V3053" s="131"/>
      <c r="W3053" s="131"/>
      <c r="X3053" s="131"/>
    </row>
    <row r="3054" spans="9:24" x14ac:dyDescent="0.25">
      <c r="I3054" s="131"/>
      <c r="J3054" s="131"/>
      <c r="K3054" s="131"/>
      <c r="L3054" s="131"/>
      <c r="U3054" s="131"/>
      <c r="V3054" s="131"/>
      <c r="W3054" s="131"/>
      <c r="X3054" s="131"/>
    </row>
    <row r="3055" spans="9:24" x14ac:dyDescent="0.25">
      <c r="I3055" s="131"/>
      <c r="J3055" s="131"/>
      <c r="K3055" s="131"/>
      <c r="L3055" s="131"/>
      <c r="U3055" s="131"/>
      <c r="V3055" s="131"/>
      <c r="W3055" s="131"/>
      <c r="X3055" s="131"/>
    </row>
    <row r="3056" spans="9:24" x14ac:dyDescent="0.25">
      <c r="I3056" s="131"/>
      <c r="J3056" s="131"/>
      <c r="K3056" s="131"/>
      <c r="L3056" s="131"/>
      <c r="U3056" s="131"/>
      <c r="V3056" s="131"/>
      <c r="W3056" s="131"/>
      <c r="X3056" s="131"/>
    </row>
    <row r="3057" spans="9:24" x14ac:dyDescent="0.25">
      <c r="I3057" s="131"/>
      <c r="J3057" s="131"/>
      <c r="K3057" s="131"/>
      <c r="L3057" s="131"/>
      <c r="U3057" s="131"/>
      <c r="V3057" s="131"/>
      <c r="W3057" s="131"/>
      <c r="X3057" s="131"/>
    </row>
    <row r="3058" spans="9:24" x14ac:dyDescent="0.25">
      <c r="I3058" s="131"/>
      <c r="J3058" s="131"/>
      <c r="K3058" s="131"/>
      <c r="L3058" s="131"/>
      <c r="U3058" s="131"/>
      <c r="V3058" s="131"/>
      <c r="W3058" s="131"/>
      <c r="X3058" s="131"/>
    </row>
    <row r="3059" spans="9:24" x14ac:dyDescent="0.25">
      <c r="I3059" s="131"/>
      <c r="J3059" s="131"/>
      <c r="K3059" s="131"/>
      <c r="L3059" s="131"/>
      <c r="U3059" s="131"/>
      <c r="V3059" s="131"/>
      <c r="W3059" s="131"/>
      <c r="X3059" s="131"/>
    </row>
    <row r="3060" spans="9:24" x14ac:dyDescent="0.25">
      <c r="I3060" s="131"/>
      <c r="J3060" s="131"/>
      <c r="K3060" s="131"/>
      <c r="L3060" s="131"/>
      <c r="U3060" s="131"/>
      <c r="V3060" s="131"/>
      <c r="W3060" s="131"/>
      <c r="X3060" s="131"/>
    </row>
    <row r="3061" spans="9:24" x14ac:dyDescent="0.25">
      <c r="I3061" s="131"/>
      <c r="J3061" s="131"/>
      <c r="K3061" s="131"/>
      <c r="L3061" s="131"/>
      <c r="U3061" s="131"/>
      <c r="V3061" s="131"/>
      <c r="W3061" s="131"/>
      <c r="X3061" s="131"/>
    </row>
    <row r="3062" spans="9:24" x14ac:dyDescent="0.25">
      <c r="I3062" s="131"/>
      <c r="J3062" s="131"/>
      <c r="K3062" s="131"/>
      <c r="L3062" s="131"/>
      <c r="U3062" s="131"/>
      <c r="V3062" s="131"/>
      <c r="W3062" s="131"/>
      <c r="X3062" s="131"/>
    </row>
    <row r="3063" spans="9:24" x14ac:dyDescent="0.25">
      <c r="I3063" s="131"/>
      <c r="J3063" s="131"/>
      <c r="K3063" s="131"/>
      <c r="L3063" s="131"/>
      <c r="U3063" s="131"/>
      <c r="V3063" s="131"/>
      <c r="W3063" s="131"/>
      <c r="X3063" s="131"/>
    </row>
    <row r="3064" spans="9:24" x14ac:dyDescent="0.25">
      <c r="I3064" s="131"/>
      <c r="J3064" s="131"/>
      <c r="K3064" s="131"/>
      <c r="L3064" s="131"/>
      <c r="U3064" s="131"/>
      <c r="V3064" s="131"/>
      <c r="W3064" s="131"/>
      <c r="X3064" s="131"/>
    </row>
    <row r="3065" spans="9:24" x14ac:dyDescent="0.25">
      <c r="I3065" s="131"/>
      <c r="J3065" s="131"/>
      <c r="K3065" s="131"/>
      <c r="L3065" s="131"/>
      <c r="U3065" s="131"/>
      <c r="V3065" s="131"/>
      <c r="W3065" s="131"/>
      <c r="X3065" s="131"/>
    </row>
    <row r="3066" spans="9:24" x14ac:dyDescent="0.25">
      <c r="I3066" s="131"/>
      <c r="J3066" s="131"/>
      <c r="K3066" s="131"/>
      <c r="L3066" s="131"/>
      <c r="U3066" s="131"/>
      <c r="V3066" s="131"/>
      <c r="W3066" s="131"/>
      <c r="X3066" s="131"/>
    </row>
    <row r="3067" spans="9:24" x14ac:dyDescent="0.25">
      <c r="I3067" s="131"/>
      <c r="J3067" s="131"/>
      <c r="K3067" s="131"/>
      <c r="L3067" s="131"/>
      <c r="U3067" s="131"/>
      <c r="V3067" s="131"/>
      <c r="W3067" s="131"/>
      <c r="X3067" s="131"/>
    </row>
    <row r="3068" spans="9:24" x14ac:dyDescent="0.25">
      <c r="I3068" s="131"/>
      <c r="J3068" s="131"/>
      <c r="K3068" s="131"/>
      <c r="L3068" s="131"/>
      <c r="U3068" s="131"/>
      <c r="V3068" s="131"/>
      <c r="W3068" s="131"/>
      <c r="X3068" s="131"/>
    </row>
    <row r="3069" spans="9:24" x14ac:dyDescent="0.25">
      <c r="I3069" s="131"/>
      <c r="J3069" s="131"/>
      <c r="K3069" s="131"/>
      <c r="L3069" s="131"/>
      <c r="U3069" s="131"/>
      <c r="V3069" s="131"/>
      <c r="W3069" s="131"/>
      <c r="X3069" s="131"/>
    </row>
    <row r="3070" spans="9:24" x14ac:dyDescent="0.25">
      <c r="I3070" s="131"/>
      <c r="J3070" s="131"/>
      <c r="K3070" s="131"/>
      <c r="L3070" s="131"/>
      <c r="U3070" s="131"/>
      <c r="V3070" s="131"/>
      <c r="W3070" s="131"/>
      <c r="X3070" s="131"/>
    </row>
    <row r="3071" spans="9:24" x14ac:dyDescent="0.25">
      <c r="I3071" s="131"/>
      <c r="J3071" s="131"/>
      <c r="K3071" s="131"/>
      <c r="L3071" s="131"/>
      <c r="U3071" s="131"/>
      <c r="V3071" s="131"/>
      <c r="W3071" s="131"/>
      <c r="X3071" s="131"/>
    </row>
    <row r="3072" spans="9:24" x14ac:dyDescent="0.25">
      <c r="I3072" s="131"/>
      <c r="J3072" s="131"/>
      <c r="K3072" s="131"/>
      <c r="L3072" s="131"/>
      <c r="U3072" s="131"/>
      <c r="V3072" s="131"/>
      <c r="W3072" s="131"/>
      <c r="X3072" s="131"/>
    </row>
    <row r="3073" spans="9:24" x14ac:dyDescent="0.25">
      <c r="I3073" s="131"/>
      <c r="J3073" s="131"/>
      <c r="K3073" s="131"/>
      <c r="L3073" s="131"/>
      <c r="U3073" s="131"/>
      <c r="V3073" s="131"/>
      <c r="W3073" s="131"/>
      <c r="X3073" s="131"/>
    </row>
    <row r="3074" spans="9:24" x14ac:dyDescent="0.25">
      <c r="I3074" s="131"/>
      <c r="J3074" s="131"/>
      <c r="K3074" s="131"/>
      <c r="L3074" s="131"/>
      <c r="U3074" s="131"/>
      <c r="V3074" s="131"/>
      <c r="W3074" s="131"/>
      <c r="X3074" s="131"/>
    </row>
    <row r="3075" spans="9:24" x14ac:dyDescent="0.25">
      <c r="I3075" s="131"/>
      <c r="J3075" s="131"/>
      <c r="K3075" s="131"/>
      <c r="L3075" s="131"/>
      <c r="U3075" s="131"/>
      <c r="V3075" s="131"/>
      <c r="W3075" s="131"/>
      <c r="X3075" s="131"/>
    </row>
    <row r="3076" spans="9:24" x14ac:dyDescent="0.25">
      <c r="I3076" s="131"/>
      <c r="J3076" s="131"/>
      <c r="K3076" s="131"/>
      <c r="L3076" s="131"/>
      <c r="U3076" s="131"/>
      <c r="V3076" s="131"/>
      <c r="W3076" s="131"/>
      <c r="X3076" s="131"/>
    </row>
    <row r="3077" spans="9:24" x14ac:dyDescent="0.25">
      <c r="I3077" s="131"/>
      <c r="J3077" s="131"/>
      <c r="K3077" s="131"/>
      <c r="L3077" s="131"/>
      <c r="U3077" s="131"/>
      <c r="V3077" s="131"/>
      <c r="W3077" s="131"/>
      <c r="X3077" s="131"/>
    </row>
    <row r="3078" spans="9:24" x14ac:dyDescent="0.25">
      <c r="I3078" s="131"/>
      <c r="J3078" s="131"/>
      <c r="K3078" s="131"/>
      <c r="L3078" s="131"/>
      <c r="U3078" s="131"/>
      <c r="V3078" s="131"/>
      <c r="W3078" s="131"/>
      <c r="X3078" s="131"/>
    </row>
    <row r="3079" spans="9:24" x14ac:dyDescent="0.25">
      <c r="I3079" s="131"/>
      <c r="J3079" s="131"/>
      <c r="K3079" s="131"/>
      <c r="L3079" s="131"/>
      <c r="U3079" s="131"/>
      <c r="V3079" s="131"/>
      <c r="W3079" s="131"/>
      <c r="X3079" s="131"/>
    </row>
    <row r="3080" spans="9:24" x14ac:dyDescent="0.25">
      <c r="I3080" s="131"/>
      <c r="J3080" s="131"/>
      <c r="K3080" s="131"/>
      <c r="L3080" s="131"/>
      <c r="U3080" s="131"/>
      <c r="V3080" s="131"/>
      <c r="W3080" s="131"/>
      <c r="X3080" s="131"/>
    </row>
    <row r="3081" spans="9:24" x14ac:dyDescent="0.25">
      <c r="I3081" s="131"/>
      <c r="J3081" s="131"/>
      <c r="K3081" s="131"/>
      <c r="L3081" s="131"/>
      <c r="U3081" s="131"/>
      <c r="V3081" s="131"/>
      <c r="W3081" s="131"/>
      <c r="X3081" s="131"/>
    </row>
    <row r="3082" spans="9:24" x14ac:dyDescent="0.25">
      <c r="I3082" s="131"/>
      <c r="J3082" s="131"/>
      <c r="K3082" s="131"/>
      <c r="L3082" s="131"/>
      <c r="U3082" s="131"/>
      <c r="V3082" s="131"/>
      <c r="W3082" s="131"/>
      <c r="X3082" s="131"/>
    </row>
    <row r="3083" spans="9:24" x14ac:dyDescent="0.25">
      <c r="I3083" s="131"/>
      <c r="J3083" s="131"/>
      <c r="K3083" s="131"/>
      <c r="L3083" s="131"/>
      <c r="U3083" s="131"/>
      <c r="V3083" s="131"/>
      <c r="W3083" s="131"/>
      <c r="X3083" s="131"/>
    </row>
    <row r="3084" spans="9:24" x14ac:dyDescent="0.25">
      <c r="I3084" s="131"/>
      <c r="J3084" s="131"/>
      <c r="K3084" s="131"/>
      <c r="L3084" s="131"/>
      <c r="U3084" s="131"/>
      <c r="V3084" s="131"/>
      <c r="W3084" s="131"/>
      <c r="X3084" s="131"/>
    </row>
    <row r="3085" spans="9:24" x14ac:dyDescent="0.25">
      <c r="I3085" s="131"/>
      <c r="J3085" s="131"/>
      <c r="K3085" s="131"/>
      <c r="L3085" s="131"/>
      <c r="U3085" s="131"/>
      <c r="V3085" s="131"/>
      <c r="W3085" s="131"/>
      <c r="X3085" s="131"/>
    </row>
    <row r="3086" spans="9:24" x14ac:dyDescent="0.25">
      <c r="I3086" s="131"/>
      <c r="J3086" s="131"/>
      <c r="K3086" s="131"/>
      <c r="L3086" s="131"/>
      <c r="U3086" s="131"/>
      <c r="V3086" s="131"/>
      <c r="W3086" s="131"/>
      <c r="X3086" s="131"/>
    </row>
    <row r="3087" spans="9:24" x14ac:dyDescent="0.25">
      <c r="I3087" s="131"/>
      <c r="J3087" s="131"/>
      <c r="K3087" s="131"/>
      <c r="L3087" s="131"/>
      <c r="U3087" s="131"/>
      <c r="V3087" s="131"/>
      <c r="W3087" s="131"/>
      <c r="X3087" s="131"/>
    </row>
    <row r="3088" spans="9:24" x14ac:dyDescent="0.25">
      <c r="I3088" s="131"/>
      <c r="J3088" s="131"/>
      <c r="K3088" s="131"/>
      <c r="L3088" s="131"/>
      <c r="U3088" s="131"/>
      <c r="V3088" s="131"/>
      <c r="W3088" s="131"/>
      <c r="X3088" s="131"/>
    </row>
    <row r="3089" spans="9:24" x14ac:dyDescent="0.25">
      <c r="I3089" s="131"/>
      <c r="J3089" s="131"/>
      <c r="K3089" s="131"/>
      <c r="L3089" s="131"/>
      <c r="U3089" s="131"/>
      <c r="V3089" s="131"/>
      <c r="W3089" s="131"/>
      <c r="X3089" s="131"/>
    </row>
    <row r="3090" spans="9:24" x14ac:dyDescent="0.25">
      <c r="I3090" s="131"/>
      <c r="J3090" s="131"/>
      <c r="K3090" s="131"/>
      <c r="L3090" s="131"/>
      <c r="U3090" s="131"/>
      <c r="V3090" s="131"/>
      <c r="W3090" s="131"/>
      <c r="X3090" s="131"/>
    </row>
    <row r="3091" spans="9:24" x14ac:dyDescent="0.25">
      <c r="I3091" s="131"/>
      <c r="J3091" s="131"/>
      <c r="K3091" s="131"/>
      <c r="L3091" s="131"/>
      <c r="U3091" s="131"/>
      <c r="V3091" s="131"/>
      <c r="W3091" s="131"/>
      <c r="X3091" s="131"/>
    </row>
    <row r="3092" spans="9:24" x14ac:dyDescent="0.25">
      <c r="I3092" s="131"/>
      <c r="J3092" s="131"/>
      <c r="K3092" s="131"/>
      <c r="L3092" s="131"/>
      <c r="U3092" s="131"/>
      <c r="V3092" s="131"/>
      <c r="W3092" s="131"/>
      <c r="X3092" s="131"/>
    </row>
    <row r="3093" spans="9:24" x14ac:dyDescent="0.25">
      <c r="I3093" s="131"/>
      <c r="J3093" s="131"/>
      <c r="K3093" s="131"/>
      <c r="L3093" s="131"/>
      <c r="U3093" s="131"/>
      <c r="V3093" s="131"/>
      <c r="W3093" s="131"/>
      <c r="X3093" s="131"/>
    </row>
    <row r="3094" spans="9:24" x14ac:dyDescent="0.25">
      <c r="I3094" s="131"/>
      <c r="J3094" s="131"/>
      <c r="K3094" s="131"/>
      <c r="L3094" s="131"/>
      <c r="U3094" s="131"/>
      <c r="V3094" s="131"/>
      <c r="W3094" s="131"/>
      <c r="X3094" s="131"/>
    </row>
    <row r="3095" spans="9:24" x14ac:dyDescent="0.25">
      <c r="I3095" s="131"/>
      <c r="J3095" s="131"/>
      <c r="K3095" s="131"/>
      <c r="L3095" s="131"/>
      <c r="U3095" s="131"/>
      <c r="V3095" s="131"/>
      <c r="W3095" s="131"/>
      <c r="X3095" s="131"/>
    </row>
    <row r="3096" spans="9:24" x14ac:dyDescent="0.25">
      <c r="I3096" s="131"/>
      <c r="J3096" s="131"/>
      <c r="K3096" s="131"/>
      <c r="L3096" s="131"/>
      <c r="U3096" s="131"/>
      <c r="V3096" s="131"/>
      <c r="W3096" s="131"/>
      <c r="X3096" s="131"/>
    </row>
    <row r="3097" spans="9:24" x14ac:dyDescent="0.25">
      <c r="I3097" s="131"/>
      <c r="J3097" s="131"/>
      <c r="K3097" s="131"/>
      <c r="L3097" s="131"/>
      <c r="U3097" s="131"/>
      <c r="V3097" s="131"/>
      <c r="W3097" s="131"/>
      <c r="X3097" s="131"/>
    </row>
    <row r="3098" spans="9:24" x14ac:dyDescent="0.25">
      <c r="I3098" s="131"/>
      <c r="J3098" s="131"/>
      <c r="K3098" s="131"/>
      <c r="L3098" s="131"/>
      <c r="U3098" s="131"/>
      <c r="V3098" s="131"/>
      <c r="W3098" s="131"/>
      <c r="X3098" s="131"/>
    </row>
    <row r="3099" spans="9:24" x14ac:dyDescent="0.25">
      <c r="I3099" s="131"/>
      <c r="J3099" s="131"/>
      <c r="K3099" s="131"/>
      <c r="L3099" s="131"/>
      <c r="U3099" s="131"/>
      <c r="V3099" s="131"/>
      <c r="W3099" s="131"/>
      <c r="X3099" s="131"/>
    </row>
    <row r="3100" spans="9:24" x14ac:dyDescent="0.25">
      <c r="I3100" s="131"/>
      <c r="J3100" s="131"/>
      <c r="K3100" s="131"/>
      <c r="L3100" s="131"/>
      <c r="U3100" s="131"/>
      <c r="V3100" s="131"/>
      <c r="W3100" s="131"/>
      <c r="X3100" s="131"/>
    </row>
    <row r="3101" spans="9:24" x14ac:dyDescent="0.25">
      <c r="I3101" s="131"/>
      <c r="J3101" s="131"/>
      <c r="K3101" s="131"/>
      <c r="L3101" s="131"/>
      <c r="U3101" s="131"/>
      <c r="V3101" s="131"/>
      <c r="W3101" s="131"/>
      <c r="X3101" s="131"/>
    </row>
    <row r="3102" spans="9:24" x14ac:dyDescent="0.25">
      <c r="I3102" s="131"/>
      <c r="J3102" s="131"/>
      <c r="K3102" s="131"/>
      <c r="L3102" s="131"/>
      <c r="U3102" s="131"/>
      <c r="V3102" s="131"/>
      <c r="W3102" s="131"/>
      <c r="X3102" s="131"/>
    </row>
    <row r="3103" spans="9:24" x14ac:dyDescent="0.25">
      <c r="I3103" s="131"/>
      <c r="J3103" s="131"/>
      <c r="K3103" s="131"/>
      <c r="L3103" s="131"/>
      <c r="U3103" s="131"/>
      <c r="V3103" s="131"/>
      <c r="W3103" s="131"/>
      <c r="X3103" s="131"/>
    </row>
    <row r="3104" spans="9:24" x14ac:dyDescent="0.25">
      <c r="I3104" s="131"/>
      <c r="J3104" s="131"/>
      <c r="K3104" s="131"/>
      <c r="L3104" s="131"/>
      <c r="U3104" s="131"/>
      <c r="V3104" s="131"/>
      <c r="W3104" s="131"/>
      <c r="X3104" s="131"/>
    </row>
    <row r="3105" spans="9:24" x14ac:dyDescent="0.25">
      <c r="I3105" s="131"/>
      <c r="J3105" s="131"/>
      <c r="K3105" s="131"/>
      <c r="L3105" s="131"/>
      <c r="U3105" s="131"/>
      <c r="V3105" s="131"/>
      <c r="W3105" s="131"/>
      <c r="X3105" s="131"/>
    </row>
    <row r="3106" spans="9:24" x14ac:dyDescent="0.25">
      <c r="I3106" s="131"/>
      <c r="J3106" s="131"/>
      <c r="K3106" s="131"/>
      <c r="L3106" s="131"/>
      <c r="U3106" s="131"/>
      <c r="V3106" s="131"/>
      <c r="W3106" s="131"/>
      <c r="X3106" s="131"/>
    </row>
    <row r="3107" spans="9:24" x14ac:dyDescent="0.25">
      <c r="I3107" s="131"/>
      <c r="J3107" s="131"/>
      <c r="K3107" s="131"/>
      <c r="L3107" s="131"/>
      <c r="U3107" s="131"/>
      <c r="V3107" s="131"/>
      <c r="W3107" s="131"/>
      <c r="X3107" s="131"/>
    </row>
    <row r="3108" spans="9:24" x14ac:dyDescent="0.25">
      <c r="I3108" s="131"/>
      <c r="J3108" s="131"/>
      <c r="K3108" s="131"/>
      <c r="L3108" s="131"/>
      <c r="U3108" s="131"/>
      <c r="V3108" s="131"/>
      <c r="W3108" s="131"/>
      <c r="X3108" s="131"/>
    </row>
    <row r="3109" spans="9:24" x14ac:dyDescent="0.25">
      <c r="I3109" s="131"/>
      <c r="J3109" s="131"/>
      <c r="K3109" s="131"/>
      <c r="L3109" s="131"/>
      <c r="U3109" s="131"/>
      <c r="V3109" s="131"/>
      <c r="W3109" s="131"/>
      <c r="X3109" s="131"/>
    </row>
    <row r="3110" spans="9:24" x14ac:dyDescent="0.25">
      <c r="I3110" s="131"/>
      <c r="J3110" s="131"/>
      <c r="K3110" s="131"/>
      <c r="L3110" s="131"/>
      <c r="U3110" s="131"/>
      <c r="V3110" s="131"/>
      <c r="W3110" s="131"/>
      <c r="X3110" s="131"/>
    </row>
    <row r="3111" spans="9:24" x14ac:dyDescent="0.25">
      <c r="I3111" s="131"/>
      <c r="J3111" s="131"/>
      <c r="K3111" s="131"/>
      <c r="L3111" s="131"/>
      <c r="U3111" s="131"/>
      <c r="V3111" s="131"/>
      <c r="W3111" s="131"/>
      <c r="X3111" s="131"/>
    </row>
    <row r="3112" spans="9:24" x14ac:dyDescent="0.25">
      <c r="I3112" s="131"/>
      <c r="J3112" s="131"/>
      <c r="K3112" s="131"/>
      <c r="L3112" s="131"/>
      <c r="U3112" s="131"/>
      <c r="V3112" s="131"/>
      <c r="W3112" s="131"/>
      <c r="X3112" s="131"/>
    </row>
    <row r="3113" spans="9:24" x14ac:dyDescent="0.25">
      <c r="I3113" s="131"/>
      <c r="J3113" s="131"/>
      <c r="K3113" s="131"/>
      <c r="L3113" s="131"/>
      <c r="U3113" s="131"/>
      <c r="V3113" s="131"/>
      <c r="W3113" s="131"/>
      <c r="X3113" s="131"/>
    </row>
    <row r="3114" spans="9:24" x14ac:dyDescent="0.25">
      <c r="I3114" s="131"/>
      <c r="J3114" s="131"/>
      <c r="K3114" s="131"/>
      <c r="L3114" s="131"/>
      <c r="U3114" s="131"/>
      <c r="V3114" s="131"/>
      <c r="W3114" s="131"/>
      <c r="X3114" s="131"/>
    </row>
    <row r="3115" spans="9:24" x14ac:dyDescent="0.25">
      <c r="I3115" s="131"/>
      <c r="J3115" s="131"/>
      <c r="K3115" s="131"/>
      <c r="L3115" s="131"/>
      <c r="U3115" s="131"/>
      <c r="V3115" s="131"/>
      <c r="W3115" s="131"/>
      <c r="X3115" s="131"/>
    </row>
    <row r="3116" spans="9:24" x14ac:dyDescent="0.25">
      <c r="I3116" s="131"/>
      <c r="J3116" s="131"/>
      <c r="K3116" s="131"/>
      <c r="L3116" s="131"/>
      <c r="U3116" s="131"/>
      <c r="V3116" s="131"/>
      <c r="W3116" s="131"/>
      <c r="X3116" s="131"/>
    </row>
    <row r="3117" spans="9:24" x14ac:dyDescent="0.25">
      <c r="I3117" s="131"/>
      <c r="J3117" s="131"/>
      <c r="K3117" s="131"/>
      <c r="L3117" s="131"/>
      <c r="U3117" s="131"/>
      <c r="V3117" s="131"/>
      <c r="W3117" s="131"/>
      <c r="X3117" s="131"/>
    </row>
    <row r="3118" spans="9:24" x14ac:dyDescent="0.25">
      <c r="I3118" s="131"/>
      <c r="J3118" s="131"/>
      <c r="K3118" s="131"/>
      <c r="L3118" s="131"/>
      <c r="U3118" s="131"/>
      <c r="V3118" s="131"/>
      <c r="W3118" s="131"/>
      <c r="X3118" s="131"/>
    </row>
    <row r="3119" spans="9:24" x14ac:dyDescent="0.25">
      <c r="I3119" s="131"/>
      <c r="J3119" s="131"/>
      <c r="K3119" s="131"/>
      <c r="L3119" s="131"/>
      <c r="U3119" s="131"/>
      <c r="V3119" s="131"/>
      <c r="W3119" s="131"/>
      <c r="X3119" s="131"/>
    </row>
    <row r="3120" spans="9:24" x14ac:dyDescent="0.25">
      <c r="I3120" s="131"/>
      <c r="J3120" s="131"/>
      <c r="K3120" s="131"/>
      <c r="L3120" s="131"/>
      <c r="U3120" s="131"/>
      <c r="V3120" s="131"/>
      <c r="W3120" s="131"/>
      <c r="X3120" s="131"/>
    </row>
    <row r="3121" spans="9:24" x14ac:dyDescent="0.25">
      <c r="I3121" s="131"/>
      <c r="J3121" s="131"/>
      <c r="K3121" s="131"/>
      <c r="L3121" s="131"/>
      <c r="U3121" s="131"/>
      <c r="V3121" s="131"/>
      <c r="W3121" s="131"/>
      <c r="X3121" s="131"/>
    </row>
    <row r="3122" spans="9:24" x14ac:dyDescent="0.25">
      <c r="I3122" s="131"/>
      <c r="J3122" s="131"/>
      <c r="K3122" s="131"/>
      <c r="L3122" s="131"/>
      <c r="U3122" s="131"/>
      <c r="V3122" s="131"/>
      <c r="W3122" s="131"/>
      <c r="X3122" s="131"/>
    </row>
    <row r="3123" spans="9:24" x14ac:dyDescent="0.25">
      <c r="I3123" s="131"/>
      <c r="J3123" s="131"/>
      <c r="K3123" s="131"/>
      <c r="L3123" s="131"/>
      <c r="U3123" s="131"/>
      <c r="V3123" s="131"/>
      <c r="W3123" s="131"/>
      <c r="X3123" s="131"/>
    </row>
    <row r="3124" spans="9:24" x14ac:dyDescent="0.25">
      <c r="I3124" s="131"/>
      <c r="J3124" s="131"/>
      <c r="K3124" s="131"/>
      <c r="L3124" s="131"/>
      <c r="U3124" s="131"/>
      <c r="V3124" s="131"/>
      <c r="W3124" s="131"/>
      <c r="X3124" s="131"/>
    </row>
    <row r="3125" spans="9:24" x14ac:dyDescent="0.25">
      <c r="I3125" s="131"/>
      <c r="J3125" s="131"/>
      <c r="K3125" s="131"/>
      <c r="L3125" s="131"/>
      <c r="U3125" s="131"/>
      <c r="V3125" s="131"/>
      <c r="W3125" s="131"/>
      <c r="X3125" s="131"/>
    </row>
    <row r="3126" spans="9:24" x14ac:dyDescent="0.25">
      <c r="I3126" s="131"/>
      <c r="J3126" s="131"/>
      <c r="K3126" s="131"/>
      <c r="L3126" s="131"/>
      <c r="U3126" s="131"/>
      <c r="V3126" s="131"/>
      <c r="W3126" s="131"/>
      <c r="X3126" s="131"/>
    </row>
    <row r="3127" spans="9:24" x14ac:dyDescent="0.25">
      <c r="I3127" s="131"/>
      <c r="J3127" s="131"/>
      <c r="K3127" s="131"/>
      <c r="L3127" s="131"/>
      <c r="U3127" s="131"/>
      <c r="V3127" s="131"/>
      <c r="W3127" s="131"/>
      <c r="X3127" s="131"/>
    </row>
    <row r="3128" spans="9:24" x14ac:dyDescent="0.25">
      <c r="I3128" s="131"/>
      <c r="J3128" s="131"/>
      <c r="K3128" s="131"/>
      <c r="L3128" s="131"/>
      <c r="U3128" s="131"/>
      <c r="V3128" s="131"/>
      <c r="W3128" s="131"/>
      <c r="X3128" s="131"/>
    </row>
    <row r="3129" spans="9:24" x14ac:dyDescent="0.25">
      <c r="I3129" s="131"/>
      <c r="J3129" s="131"/>
      <c r="K3129" s="131"/>
      <c r="L3129" s="131"/>
      <c r="U3129" s="131"/>
      <c r="V3129" s="131"/>
      <c r="W3129" s="131"/>
      <c r="X3129" s="131"/>
    </row>
    <row r="3130" spans="9:24" x14ac:dyDescent="0.25">
      <c r="I3130" s="131"/>
      <c r="J3130" s="131"/>
      <c r="K3130" s="131"/>
      <c r="L3130" s="131"/>
      <c r="U3130" s="131"/>
      <c r="V3130" s="131"/>
      <c r="W3130" s="131"/>
      <c r="X3130" s="131"/>
    </row>
    <row r="3131" spans="9:24" x14ac:dyDescent="0.25">
      <c r="I3131" s="131"/>
      <c r="J3131" s="131"/>
      <c r="K3131" s="131"/>
      <c r="L3131" s="131"/>
      <c r="U3131" s="131"/>
      <c r="V3131" s="131"/>
      <c r="W3131" s="131"/>
      <c r="X3131" s="131"/>
    </row>
    <row r="3132" spans="9:24" x14ac:dyDescent="0.25">
      <c r="I3132" s="131"/>
      <c r="J3132" s="131"/>
      <c r="K3132" s="131"/>
      <c r="L3132" s="131"/>
      <c r="U3132" s="131"/>
      <c r="V3132" s="131"/>
      <c r="W3132" s="131"/>
      <c r="X3132" s="131"/>
    </row>
    <row r="3133" spans="9:24" x14ac:dyDescent="0.25">
      <c r="I3133" s="131"/>
      <c r="J3133" s="131"/>
      <c r="K3133" s="131"/>
      <c r="L3133" s="131"/>
      <c r="U3133" s="131"/>
      <c r="V3133" s="131"/>
      <c r="W3133" s="131"/>
      <c r="X3133" s="131"/>
    </row>
    <row r="3134" spans="9:24" x14ac:dyDescent="0.25">
      <c r="I3134" s="131"/>
      <c r="J3134" s="131"/>
      <c r="K3134" s="131"/>
      <c r="L3134" s="131"/>
      <c r="U3134" s="131"/>
      <c r="V3134" s="131"/>
      <c r="W3134" s="131"/>
      <c r="X3134" s="131"/>
    </row>
    <row r="3135" spans="9:24" x14ac:dyDescent="0.25">
      <c r="I3135" s="131"/>
      <c r="J3135" s="131"/>
      <c r="K3135" s="131"/>
      <c r="L3135" s="131"/>
      <c r="U3135" s="131"/>
      <c r="V3135" s="131"/>
      <c r="W3135" s="131"/>
      <c r="X3135" s="131"/>
    </row>
    <row r="3136" spans="9:24" x14ac:dyDescent="0.25">
      <c r="I3136" s="131"/>
      <c r="J3136" s="131"/>
      <c r="K3136" s="131"/>
      <c r="L3136" s="131"/>
      <c r="U3136" s="131"/>
      <c r="V3136" s="131"/>
      <c r="W3136" s="131"/>
      <c r="X3136" s="131"/>
    </row>
    <row r="3137" spans="9:24" x14ac:dyDescent="0.25">
      <c r="I3137" s="131"/>
      <c r="J3137" s="131"/>
      <c r="K3137" s="131"/>
      <c r="L3137" s="131"/>
      <c r="U3137" s="131"/>
      <c r="V3137" s="131"/>
      <c r="W3137" s="131"/>
      <c r="X3137" s="131"/>
    </row>
    <row r="3138" spans="9:24" x14ac:dyDescent="0.25">
      <c r="I3138" s="131"/>
      <c r="J3138" s="131"/>
      <c r="K3138" s="131"/>
      <c r="L3138" s="131"/>
      <c r="U3138" s="131"/>
      <c r="V3138" s="131"/>
      <c r="W3138" s="131"/>
      <c r="X3138" s="131"/>
    </row>
    <row r="3139" spans="9:24" x14ac:dyDescent="0.25">
      <c r="I3139" s="131"/>
      <c r="J3139" s="131"/>
      <c r="K3139" s="131"/>
      <c r="L3139" s="131"/>
      <c r="U3139" s="131"/>
      <c r="V3139" s="131"/>
      <c r="W3139" s="131"/>
      <c r="X3139" s="131"/>
    </row>
    <row r="3140" spans="9:24" x14ac:dyDescent="0.25">
      <c r="I3140" s="131"/>
      <c r="J3140" s="131"/>
      <c r="K3140" s="131"/>
      <c r="L3140" s="131"/>
      <c r="U3140" s="131"/>
      <c r="V3140" s="131"/>
      <c r="W3140" s="131"/>
      <c r="X3140" s="131"/>
    </row>
    <row r="3141" spans="9:24" x14ac:dyDescent="0.25">
      <c r="I3141" s="131"/>
      <c r="J3141" s="131"/>
      <c r="K3141" s="131"/>
      <c r="L3141" s="131"/>
      <c r="U3141" s="131"/>
      <c r="V3141" s="131"/>
      <c r="W3141" s="131"/>
      <c r="X3141" s="131"/>
    </row>
    <row r="3142" spans="9:24" x14ac:dyDescent="0.25">
      <c r="I3142" s="131"/>
      <c r="J3142" s="131"/>
      <c r="K3142" s="131"/>
      <c r="L3142" s="131"/>
      <c r="U3142" s="131"/>
      <c r="V3142" s="131"/>
      <c r="W3142" s="131"/>
      <c r="X3142" s="131"/>
    </row>
    <row r="3143" spans="9:24" x14ac:dyDescent="0.25">
      <c r="I3143" s="131"/>
      <c r="J3143" s="131"/>
      <c r="K3143" s="131"/>
      <c r="L3143" s="131"/>
      <c r="U3143" s="131"/>
      <c r="V3143" s="131"/>
      <c r="W3143" s="131"/>
      <c r="X3143" s="131"/>
    </row>
    <row r="3144" spans="9:24" x14ac:dyDescent="0.25">
      <c r="I3144" s="131"/>
      <c r="J3144" s="131"/>
      <c r="K3144" s="131"/>
      <c r="L3144" s="131"/>
      <c r="U3144" s="131"/>
      <c r="V3144" s="131"/>
      <c r="W3144" s="131"/>
      <c r="X3144" s="131"/>
    </row>
    <row r="3145" spans="9:24" x14ac:dyDescent="0.25">
      <c r="I3145" s="131"/>
      <c r="J3145" s="131"/>
      <c r="K3145" s="131"/>
      <c r="L3145" s="131"/>
      <c r="U3145" s="131"/>
      <c r="V3145" s="131"/>
      <c r="W3145" s="131"/>
      <c r="X3145" s="131"/>
    </row>
    <row r="3146" spans="9:24" x14ac:dyDescent="0.25">
      <c r="I3146" s="131"/>
      <c r="J3146" s="131"/>
      <c r="K3146" s="131"/>
      <c r="L3146" s="131"/>
      <c r="U3146" s="131"/>
      <c r="V3146" s="131"/>
      <c r="W3146" s="131"/>
      <c r="X3146" s="131"/>
    </row>
    <row r="3147" spans="9:24" x14ac:dyDescent="0.25">
      <c r="I3147" s="131"/>
      <c r="J3147" s="131"/>
      <c r="K3147" s="131"/>
      <c r="L3147" s="131"/>
      <c r="U3147" s="131"/>
      <c r="V3147" s="131"/>
      <c r="W3147" s="131"/>
      <c r="X3147" s="131"/>
    </row>
    <row r="3148" spans="9:24" x14ac:dyDescent="0.25">
      <c r="I3148" s="131"/>
      <c r="J3148" s="131"/>
      <c r="K3148" s="131"/>
      <c r="L3148" s="131"/>
      <c r="U3148" s="131"/>
      <c r="V3148" s="131"/>
      <c r="W3148" s="131"/>
      <c r="X3148" s="131"/>
    </row>
    <row r="3149" spans="9:24" x14ac:dyDescent="0.25">
      <c r="I3149" s="131"/>
      <c r="J3149" s="131"/>
      <c r="K3149" s="131"/>
      <c r="L3149" s="131"/>
      <c r="U3149" s="131"/>
      <c r="V3149" s="131"/>
      <c r="W3149" s="131"/>
      <c r="X3149" s="131"/>
    </row>
    <row r="3150" spans="9:24" x14ac:dyDescent="0.25">
      <c r="I3150" s="131"/>
      <c r="J3150" s="131"/>
      <c r="K3150" s="131"/>
      <c r="L3150" s="131"/>
      <c r="U3150" s="131"/>
      <c r="V3150" s="131"/>
      <c r="W3150" s="131"/>
      <c r="X3150" s="131"/>
    </row>
    <row r="3151" spans="9:24" x14ac:dyDescent="0.25">
      <c r="I3151" s="131"/>
      <c r="J3151" s="131"/>
      <c r="K3151" s="131"/>
      <c r="L3151" s="131"/>
      <c r="U3151" s="131"/>
      <c r="V3151" s="131"/>
      <c r="W3151" s="131"/>
      <c r="X3151" s="131"/>
    </row>
    <row r="3152" spans="9:24" x14ac:dyDescent="0.25">
      <c r="I3152" s="131"/>
      <c r="J3152" s="131"/>
      <c r="K3152" s="131"/>
      <c r="L3152" s="131"/>
      <c r="U3152" s="131"/>
      <c r="V3152" s="131"/>
      <c r="W3152" s="131"/>
      <c r="X3152" s="131"/>
    </row>
    <row r="3153" spans="9:24" x14ac:dyDescent="0.25">
      <c r="I3153" s="131"/>
      <c r="J3153" s="131"/>
      <c r="K3153" s="131"/>
      <c r="L3153" s="131"/>
      <c r="U3153" s="131"/>
      <c r="V3153" s="131"/>
      <c r="W3153" s="131"/>
      <c r="X3153" s="131"/>
    </row>
    <row r="3154" spans="9:24" x14ac:dyDescent="0.25">
      <c r="I3154" s="131"/>
      <c r="J3154" s="131"/>
      <c r="K3154" s="131"/>
      <c r="L3154" s="131"/>
      <c r="U3154" s="131"/>
      <c r="V3154" s="131"/>
      <c r="W3154" s="131"/>
      <c r="X3154" s="131"/>
    </row>
    <row r="3155" spans="9:24" x14ac:dyDescent="0.25">
      <c r="I3155" s="131"/>
      <c r="J3155" s="131"/>
      <c r="K3155" s="131"/>
      <c r="L3155" s="131"/>
      <c r="U3155" s="131"/>
      <c r="V3155" s="131"/>
      <c r="W3155" s="131"/>
      <c r="X3155" s="131"/>
    </row>
    <row r="3156" spans="9:24" x14ac:dyDescent="0.25">
      <c r="I3156" s="131"/>
      <c r="J3156" s="131"/>
      <c r="K3156" s="131"/>
      <c r="L3156" s="131"/>
      <c r="U3156" s="131"/>
      <c r="V3156" s="131"/>
      <c r="W3156" s="131"/>
      <c r="X3156" s="131"/>
    </row>
    <row r="3157" spans="9:24" x14ac:dyDescent="0.25">
      <c r="I3157" s="131"/>
      <c r="J3157" s="131"/>
      <c r="K3157" s="131"/>
      <c r="L3157" s="131"/>
      <c r="U3157" s="131"/>
      <c r="V3157" s="131"/>
      <c r="W3157" s="131"/>
      <c r="X3157" s="131"/>
    </row>
    <row r="3158" spans="9:24" x14ac:dyDescent="0.25">
      <c r="I3158" s="131"/>
      <c r="J3158" s="131"/>
      <c r="K3158" s="131"/>
      <c r="L3158" s="131"/>
      <c r="U3158" s="131"/>
      <c r="V3158" s="131"/>
      <c r="W3158" s="131"/>
      <c r="X3158" s="131"/>
    </row>
    <row r="3159" spans="9:24" x14ac:dyDescent="0.25">
      <c r="I3159" s="131"/>
      <c r="J3159" s="131"/>
      <c r="K3159" s="131"/>
      <c r="L3159" s="131"/>
      <c r="U3159" s="131"/>
      <c r="V3159" s="131"/>
      <c r="W3159" s="131"/>
      <c r="X3159" s="131"/>
    </row>
    <row r="3160" spans="9:24" x14ac:dyDescent="0.25">
      <c r="I3160" s="131"/>
      <c r="J3160" s="131"/>
      <c r="K3160" s="131"/>
      <c r="L3160" s="131"/>
      <c r="U3160" s="131"/>
      <c r="V3160" s="131"/>
      <c r="W3160" s="131"/>
      <c r="X3160" s="131"/>
    </row>
    <row r="3161" spans="9:24" x14ac:dyDescent="0.25">
      <c r="I3161" s="131"/>
      <c r="J3161" s="131"/>
      <c r="K3161" s="131"/>
      <c r="L3161" s="131"/>
      <c r="U3161" s="131"/>
      <c r="V3161" s="131"/>
      <c r="W3161" s="131"/>
      <c r="X3161" s="131"/>
    </row>
    <row r="3162" spans="9:24" x14ac:dyDescent="0.25">
      <c r="I3162" s="131"/>
      <c r="J3162" s="131"/>
      <c r="K3162" s="131"/>
      <c r="L3162" s="131"/>
      <c r="U3162" s="131"/>
      <c r="V3162" s="131"/>
      <c r="W3162" s="131"/>
      <c r="X3162" s="131"/>
    </row>
    <row r="3163" spans="9:24" x14ac:dyDescent="0.25">
      <c r="I3163" s="131"/>
      <c r="J3163" s="131"/>
      <c r="K3163" s="131"/>
      <c r="L3163" s="131"/>
      <c r="U3163" s="131"/>
      <c r="V3163" s="131"/>
      <c r="W3163" s="131"/>
      <c r="X3163" s="131"/>
    </row>
    <row r="3164" spans="9:24" x14ac:dyDescent="0.25">
      <c r="I3164" s="131"/>
      <c r="J3164" s="131"/>
      <c r="K3164" s="131"/>
      <c r="L3164" s="131"/>
      <c r="U3164" s="131"/>
      <c r="V3164" s="131"/>
      <c r="W3164" s="131"/>
      <c r="X3164" s="131"/>
    </row>
    <row r="3165" spans="9:24" x14ac:dyDescent="0.25">
      <c r="I3165" s="131"/>
      <c r="J3165" s="131"/>
      <c r="K3165" s="131"/>
      <c r="L3165" s="131"/>
      <c r="U3165" s="131"/>
      <c r="V3165" s="131"/>
      <c r="W3165" s="131"/>
      <c r="X3165" s="131"/>
    </row>
    <row r="3166" spans="9:24" x14ac:dyDescent="0.25">
      <c r="I3166" s="131"/>
      <c r="J3166" s="131"/>
      <c r="K3166" s="131"/>
      <c r="L3166" s="131"/>
      <c r="U3166" s="131"/>
      <c r="V3166" s="131"/>
      <c r="W3166" s="131"/>
      <c r="X3166" s="131"/>
    </row>
    <row r="3167" spans="9:24" x14ac:dyDescent="0.25">
      <c r="I3167" s="131"/>
      <c r="J3167" s="131"/>
      <c r="K3167" s="131"/>
      <c r="L3167" s="131"/>
      <c r="U3167" s="131"/>
      <c r="V3167" s="131"/>
      <c r="W3167" s="131"/>
      <c r="X3167" s="131"/>
    </row>
    <row r="3168" spans="9:24" x14ac:dyDescent="0.25">
      <c r="I3168" s="131"/>
      <c r="J3168" s="131"/>
      <c r="K3168" s="131"/>
      <c r="L3168" s="131"/>
      <c r="U3168" s="131"/>
      <c r="V3168" s="131"/>
      <c r="W3168" s="131"/>
      <c r="X3168" s="131"/>
    </row>
    <row r="3169" spans="9:24" x14ac:dyDescent="0.25">
      <c r="I3169" s="131"/>
      <c r="J3169" s="131"/>
      <c r="K3169" s="131"/>
      <c r="L3169" s="131"/>
      <c r="U3169" s="131"/>
      <c r="V3169" s="131"/>
      <c r="W3169" s="131"/>
      <c r="X3169" s="131"/>
    </row>
    <row r="3170" spans="9:24" x14ac:dyDescent="0.25">
      <c r="I3170" s="131"/>
      <c r="J3170" s="131"/>
      <c r="K3170" s="131"/>
      <c r="L3170" s="131"/>
      <c r="U3170" s="131"/>
      <c r="V3170" s="131"/>
      <c r="W3170" s="131"/>
      <c r="X3170" s="131"/>
    </row>
    <row r="3171" spans="9:24" x14ac:dyDescent="0.25">
      <c r="I3171" s="131"/>
      <c r="J3171" s="131"/>
      <c r="K3171" s="131"/>
      <c r="L3171" s="131"/>
      <c r="U3171" s="131"/>
      <c r="V3171" s="131"/>
      <c r="W3171" s="131"/>
      <c r="X3171" s="131"/>
    </row>
    <row r="3172" spans="9:24" x14ac:dyDescent="0.25">
      <c r="I3172" s="131"/>
      <c r="J3172" s="131"/>
      <c r="K3172" s="131"/>
      <c r="L3172" s="131"/>
      <c r="U3172" s="131"/>
      <c r="V3172" s="131"/>
      <c r="W3172" s="131"/>
      <c r="X3172" s="131"/>
    </row>
    <row r="3173" spans="9:24" x14ac:dyDescent="0.25">
      <c r="I3173" s="131"/>
      <c r="J3173" s="131"/>
      <c r="K3173" s="131"/>
      <c r="L3173" s="131"/>
      <c r="U3173" s="131"/>
      <c r="V3173" s="131"/>
      <c r="W3173" s="131"/>
      <c r="X3173" s="131"/>
    </row>
    <row r="3174" spans="9:24" x14ac:dyDescent="0.25">
      <c r="I3174" s="131"/>
      <c r="J3174" s="131"/>
      <c r="K3174" s="131"/>
      <c r="L3174" s="131"/>
      <c r="U3174" s="131"/>
      <c r="V3174" s="131"/>
      <c r="W3174" s="131"/>
      <c r="X3174" s="131"/>
    </row>
    <row r="3175" spans="9:24" x14ac:dyDescent="0.25">
      <c r="I3175" s="131"/>
      <c r="J3175" s="131"/>
      <c r="K3175" s="131"/>
      <c r="L3175" s="131"/>
      <c r="U3175" s="131"/>
      <c r="V3175" s="131"/>
      <c r="W3175" s="131"/>
      <c r="X3175" s="131"/>
    </row>
    <row r="3176" spans="9:24" x14ac:dyDescent="0.25">
      <c r="I3176" s="131"/>
      <c r="J3176" s="131"/>
      <c r="K3176" s="131"/>
      <c r="L3176" s="131"/>
      <c r="U3176" s="131"/>
      <c r="V3176" s="131"/>
      <c r="W3176" s="131"/>
      <c r="X3176" s="131"/>
    </row>
    <row r="3177" spans="9:24" x14ac:dyDescent="0.25">
      <c r="I3177" s="131"/>
      <c r="J3177" s="131"/>
      <c r="K3177" s="131"/>
      <c r="L3177" s="131"/>
      <c r="U3177" s="131"/>
      <c r="V3177" s="131"/>
      <c r="W3177" s="131"/>
      <c r="X3177" s="131"/>
    </row>
    <row r="3178" spans="9:24" x14ac:dyDescent="0.25">
      <c r="I3178" s="131"/>
      <c r="J3178" s="131"/>
      <c r="K3178" s="131"/>
      <c r="L3178" s="131"/>
      <c r="U3178" s="131"/>
      <c r="V3178" s="131"/>
      <c r="W3178" s="131"/>
      <c r="X3178" s="131"/>
    </row>
    <row r="3179" spans="9:24" x14ac:dyDescent="0.25">
      <c r="I3179" s="131"/>
      <c r="J3179" s="131"/>
      <c r="K3179" s="131"/>
      <c r="L3179" s="131"/>
      <c r="U3179" s="131"/>
      <c r="V3179" s="131"/>
      <c r="W3179" s="131"/>
      <c r="X3179" s="131"/>
    </row>
    <row r="3180" spans="9:24" x14ac:dyDescent="0.25">
      <c r="I3180" s="131"/>
      <c r="J3180" s="131"/>
      <c r="K3180" s="131"/>
      <c r="L3180" s="131"/>
      <c r="U3180" s="131"/>
      <c r="V3180" s="131"/>
      <c r="W3180" s="131"/>
      <c r="X3180" s="131"/>
    </row>
    <row r="3181" spans="9:24" x14ac:dyDescent="0.25">
      <c r="I3181" s="131"/>
      <c r="J3181" s="131"/>
      <c r="K3181" s="131"/>
      <c r="L3181" s="131"/>
      <c r="U3181" s="131"/>
      <c r="V3181" s="131"/>
      <c r="W3181" s="131"/>
      <c r="X3181" s="131"/>
    </row>
    <row r="3182" spans="9:24" x14ac:dyDescent="0.25">
      <c r="I3182" s="131"/>
      <c r="J3182" s="131"/>
      <c r="K3182" s="131"/>
      <c r="L3182" s="131"/>
      <c r="U3182" s="131"/>
      <c r="V3182" s="131"/>
      <c r="W3182" s="131"/>
      <c r="X3182" s="131"/>
    </row>
    <row r="3183" spans="9:24" x14ac:dyDescent="0.25">
      <c r="I3183" s="131"/>
      <c r="J3183" s="131"/>
      <c r="K3183" s="131"/>
      <c r="L3183" s="131"/>
      <c r="U3183" s="131"/>
      <c r="V3183" s="131"/>
      <c r="W3183" s="131"/>
      <c r="X3183" s="131"/>
    </row>
    <row r="3184" spans="9:24" x14ac:dyDescent="0.25">
      <c r="I3184" s="131"/>
      <c r="J3184" s="131"/>
      <c r="K3184" s="131"/>
      <c r="L3184" s="131"/>
      <c r="U3184" s="131"/>
      <c r="V3184" s="131"/>
      <c r="W3184" s="131"/>
      <c r="X3184" s="131"/>
    </row>
    <row r="3185" spans="9:24" x14ac:dyDescent="0.25">
      <c r="I3185" s="131"/>
      <c r="J3185" s="131"/>
      <c r="K3185" s="131"/>
      <c r="L3185" s="131"/>
      <c r="U3185" s="131"/>
      <c r="V3185" s="131"/>
      <c r="W3185" s="131"/>
      <c r="X3185" s="131"/>
    </row>
    <row r="3186" spans="9:24" x14ac:dyDescent="0.25">
      <c r="I3186" s="131"/>
      <c r="J3186" s="131"/>
      <c r="K3186" s="131"/>
      <c r="L3186" s="131"/>
      <c r="U3186" s="131"/>
      <c r="V3186" s="131"/>
      <c r="W3186" s="131"/>
      <c r="X3186" s="131"/>
    </row>
    <row r="3187" spans="9:24" x14ac:dyDescent="0.25">
      <c r="I3187" s="131"/>
      <c r="J3187" s="131"/>
      <c r="K3187" s="131"/>
      <c r="L3187" s="131"/>
      <c r="U3187" s="131"/>
      <c r="V3187" s="131"/>
      <c r="W3187" s="131"/>
      <c r="X3187" s="131"/>
    </row>
    <row r="3188" spans="9:24" x14ac:dyDescent="0.25">
      <c r="I3188" s="131"/>
      <c r="J3188" s="131"/>
      <c r="K3188" s="131"/>
      <c r="L3188" s="131"/>
      <c r="U3188" s="131"/>
      <c r="V3188" s="131"/>
      <c r="W3188" s="131"/>
      <c r="X3188" s="131"/>
    </row>
    <row r="3189" spans="9:24" x14ac:dyDescent="0.25">
      <c r="I3189" s="131"/>
      <c r="J3189" s="131"/>
      <c r="K3189" s="131"/>
      <c r="L3189" s="131"/>
      <c r="U3189" s="131"/>
      <c r="V3189" s="131"/>
      <c r="W3189" s="131"/>
      <c r="X3189" s="131"/>
    </row>
    <row r="3190" spans="9:24" x14ac:dyDescent="0.25">
      <c r="I3190" s="131"/>
      <c r="J3190" s="131"/>
      <c r="K3190" s="131"/>
      <c r="L3190" s="131"/>
      <c r="U3190" s="131"/>
      <c r="V3190" s="131"/>
      <c r="W3190" s="131"/>
      <c r="X3190" s="131"/>
    </row>
    <row r="3191" spans="9:24" x14ac:dyDescent="0.25">
      <c r="I3191" s="131"/>
      <c r="J3191" s="131"/>
      <c r="K3191" s="131"/>
      <c r="L3191" s="131"/>
      <c r="U3191" s="131"/>
      <c r="V3191" s="131"/>
      <c r="W3191" s="131"/>
      <c r="X3191" s="131"/>
    </row>
    <row r="3192" spans="9:24" x14ac:dyDescent="0.25">
      <c r="I3192" s="131"/>
      <c r="J3192" s="131"/>
      <c r="K3192" s="131"/>
      <c r="L3192" s="131"/>
      <c r="U3192" s="131"/>
      <c r="V3192" s="131"/>
      <c r="W3192" s="131"/>
      <c r="X3192" s="131"/>
    </row>
    <row r="3193" spans="9:24" x14ac:dyDescent="0.25">
      <c r="I3193" s="131"/>
      <c r="J3193" s="131"/>
      <c r="K3193" s="131"/>
      <c r="L3193" s="131"/>
      <c r="U3193" s="131"/>
      <c r="V3193" s="131"/>
      <c r="W3193" s="131"/>
      <c r="X3193" s="131"/>
    </row>
    <row r="3194" spans="9:24" x14ac:dyDescent="0.25">
      <c r="I3194" s="131"/>
      <c r="J3194" s="131"/>
      <c r="K3194" s="131"/>
      <c r="L3194" s="131"/>
      <c r="U3194" s="131"/>
      <c r="V3194" s="131"/>
      <c r="W3194" s="131"/>
      <c r="X3194" s="131"/>
    </row>
    <row r="3195" spans="9:24" x14ac:dyDescent="0.25">
      <c r="I3195" s="131"/>
      <c r="J3195" s="131"/>
      <c r="K3195" s="131"/>
      <c r="L3195" s="131"/>
      <c r="U3195" s="131"/>
      <c r="V3195" s="131"/>
      <c r="W3195" s="131"/>
      <c r="X3195" s="131"/>
    </row>
    <row r="3196" spans="9:24" x14ac:dyDescent="0.25">
      <c r="I3196" s="131"/>
      <c r="J3196" s="131"/>
      <c r="K3196" s="131"/>
      <c r="L3196" s="131"/>
      <c r="U3196" s="131"/>
      <c r="V3196" s="131"/>
      <c r="W3196" s="131"/>
      <c r="X3196" s="131"/>
    </row>
    <row r="3197" spans="9:24" x14ac:dyDescent="0.25">
      <c r="I3197" s="131"/>
      <c r="J3197" s="131"/>
      <c r="K3197" s="131"/>
      <c r="L3197" s="131"/>
      <c r="U3197" s="131"/>
      <c r="V3197" s="131"/>
      <c r="W3197" s="131"/>
      <c r="X3197" s="131"/>
    </row>
    <row r="3198" spans="9:24" x14ac:dyDescent="0.25">
      <c r="I3198" s="131"/>
      <c r="J3198" s="131"/>
      <c r="K3198" s="131"/>
      <c r="L3198" s="131"/>
      <c r="U3198" s="131"/>
      <c r="V3198" s="131"/>
      <c r="W3198" s="131"/>
      <c r="X3198" s="131"/>
    </row>
    <row r="3199" spans="9:24" x14ac:dyDescent="0.25">
      <c r="I3199" s="131"/>
      <c r="J3199" s="131"/>
      <c r="K3199" s="131"/>
      <c r="L3199" s="131"/>
      <c r="U3199" s="131"/>
      <c r="V3199" s="131"/>
      <c r="W3199" s="131"/>
      <c r="X3199" s="131"/>
    </row>
    <row r="3200" spans="9:24" x14ac:dyDescent="0.25">
      <c r="I3200" s="131"/>
      <c r="J3200" s="131"/>
      <c r="K3200" s="131"/>
      <c r="L3200" s="131"/>
      <c r="U3200" s="131"/>
      <c r="V3200" s="131"/>
      <c r="W3200" s="131"/>
      <c r="X3200" s="131"/>
    </row>
    <row r="3201" spans="9:24" x14ac:dyDescent="0.25">
      <c r="I3201" s="131"/>
      <c r="J3201" s="131"/>
      <c r="K3201" s="131"/>
      <c r="L3201" s="131"/>
      <c r="U3201" s="131"/>
      <c r="V3201" s="131"/>
      <c r="W3201" s="131"/>
      <c r="X3201" s="131"/>
    </row>
    <row r="3202" spans="9:24" x14ac:dyDescent="0.25">
      <c r="I3202" s="131"/>
      <c r="J3202" s="131"/>
      <c r="K3202" s="131"/>
      <c r="L3202" s="131"/>
      <c r="U3202" s="131"/>
      <c r="V3202" s="131"/>
      <c r="W3202" s="131"/>
      <c r="X3202" s="131"/>
    </row>
    <row r="3203" spans="9:24" x14ac:dyDescent="0.25">
      <c r="I3203" s="131"/>
      <c r="J3203" s="131"/>
      <c r="K3203" s="131"/>
      <c r="L3203" s="131"/>
      <c r="U3203" s="131"/>
      <c r="V3203" s="131"/>
      <c r="W3203" s="131"/>
      <c r="X3203" s="131"/>
    </row>
    <row r="3204" spans="9:24" x14ac:dyDescent="0.25">
      <c r="I3204" s="131"/>
      <c r="J3204" s="131"/>
      <c r="K3204" s="131"/>
      <c r="L3204" s="131"/>
      <c r="U3204" s="131"/>
      <c r="V3204" s="131"/>
      <c r="W3204" s="131"/>
      <c r="X3204" s="131"/>
    </row>
    <row r="3205" spans="9:24" x14ac:dyDescent="0.25">
      <c r="I3205" s="131"/>
      <c r="J3205" s="131"/>
      <c r="K3205" s="131"/>
      <c r="L3205" s="131"/>
      <c r="U3205" s="131"/>
      <c r="V3205" s="131"/>
      <c r="W3205" s="131"/>
      <c r="X3205" s="131"/>
    </row>
    <row r="3206" spans="9:24" x14ac:dyDescent="0.25">
      <c r="I3206" s="131"/>
      <c r="J3206" s="131"/>
      <c r="K3206" s="131"/>
      <c r="L3206" s="131"/>
      <c r="U3206" s="131"/>
      <c r="V3206" s="131"/>
      <c r="W3206" s="131"/>
      <c r="X3206" s="131"/>
    </row>
    <row r="3207" spans="9:24" x14ac:dyDescent="0.25">
      <c r="I3207" s="131"/>
      <c r="J3207" s="131"/>
      <c r="K3207" s="131"/>
      <c r="L3207" s="131"/>
      <c r="U3207" s="131"/>
      <c r="V3207" s="131"/>
      <c r="W3207" s="131"/>
      <c r="X3207" s="131"/>
    </row>
    <row r="3208" spans="9:24" x14ac:dyDescent="0.25">
      <c r="I3208" s="131"/>
      <c r="J3208" s="131"/>
      <c r="K3208" s="131"/>
      <c r="L3208" s="131"/>
      <c r="U3208" s="131"/>
      <c r="V3208" s="131"/>
      <c r="W3208" s="131"/>
      <c r="X3208" s="131"/>
    </row>
    <row r="3209" spans="9:24" x14ac:dyDescent="0.25">
      <c r="I3209" s="131"/>
      <c r="J3209" s="131"/>
      <c r="K3209" s="131"/>
      <c r="L3209" s="131"/>
      <c r="U3209" s="131"/>
      <c r="V3209" s="131"/>
      <c r="W3209" s="131"/>
      <c r="X3209" s="131"/>
    </row>
    <row r="3210" spans="9:24" x14ac:dyDescent="0.25">
      <c r="I3210" s="131"/>
      <c r="J3210" s="131"/>
      <c r="K3210" s="131"/>
      <c r="L3210" s="131"/>
      <c r="U3210" s="131"/>
      <c r="V3210" s="131"/>
      <c r="W3210" s="131"/>
      <c r="X3210" s="131"/>
    </row>
    <row r="3211" spans="9:24" x14ac:dyDescent="0.25">
      <c r="I3211" s="131"/>
      <c r="J3211" s="131"/>
      <c r="K3211" s="131"/>
      <c r="L3211" s="131"/>
      <c r="U3211" s="131"/>
      <c r="V3211" s="131"/>
      <c r="W3211" s="131"/>
      <c r="X3211" s="131"/>
    </row>
    <row r="3212" spans="9:24" x14ac:dyDescent="0.25">
      <c r="I3212" s="131"/>
      <c r="J3212" s="131"/>
      <c r="K3212" s="131"/>
      <c r="L3212" s="131"/>
      <c r="U3212" s="131"/>
      <c r="V3212" s="131"/>
      <c r="W3212" s="131"/>
      <c r="X3212" s="131"/>
    </row>
    <row r="3213" spans="9:24" x14ac:dyDescent="0.25">
      <c r="I3213" s="131"/>
      <c r="J3213" s="131"/>
      <c r="K3213" s="131"/>
      <c r="L3213" s="131"/>
      <c r="U3213" s="131"/>
      <c r="V3213" s="131"/>
      <c r="W3213" s="131"/>
      <c r="X3213" s="131"/>
    </row>
    <row r="3214" spans="9:24" x14ac:dyDescent="0.25">
      <c r="I3214" s="131"/>
      <c r="J3214" s="131"/>
      <c r="K3214" s="131"/>
      <c r="L3214" s="131"/>
      <c r="U3214" s="131"/>
      <c r="V3214" s="131"/>
      <c r="W3214" s="131"/>
      <c r="X3214" s="131"/>
    </row>
    <row r="3215" spans="9:24" x14ac:dyDescent="0.25">
      <c r="I3215" s="131"/>
      <c r="J3215" s="131"/>
      <c r="K3215" s="131"/>
      <c r="L3215" s="131"/>
      <c r="U3215" s="131"/>
      <c r="V3215" s="131"/>
      <c r="W3215" s="131"/>
      <c r="X3215" s="131"/>
    </row>
    <row r="3216" spans="9:24" x14ac:dyDescent="0.25">
      <c r="I3216" s="131"/>
      <c r="J3216" s="131"/>
      <c r="K3216" s="131"/>
      <c r="L3216" s="131"/>
      <c r="U3216" s="131"/>
      <c r="V3216" s="131"/>
      <c r="W3216" s="131"/>
      <c r="X3216" s="131"/>
    </row>
    <row r="3217" spans="9:24" x14ac:dyDescent="0.25">
      <c r="I3217" s="131"/>
      <c r="J3217" s="131"/>
      <c r="K3217" s="131"/>
      <c r="L3217" s="131"/>
      <c r="U3217" s="131"/>
      <c r="V3217" s="131"/>
      <c r="W3217" s="131"/>
      <c r="X3217" s="131"/>
    </row>
    <row r="3218" spans="9:24" x14ac:dyDescent="0.25">
      <c r="I3218" s="131"/>
      <c r="J3218" s="131"/>
      <c r="K3218" s="131"/>
      <c r="L3218" s="131"/>
      <c r="U3218" s="131"/>
      <c r="V3218" s="131"/>
      <c r="W3218" s="131"/>
      <c r="X3218" s="131"/>
    </row>
    <row r="3219" spans="9:24" x14ac:dyDescent="0.25">
      <c r="I3219" s="131"/>
      <c r="J3219" s="131"/>
      <c r="K3219" s="131"/>
      <c r="L3219" s="131"/>
      <c r="U3219" s="131"/>
      <c r="V3219" s="131"/>
      <c r="W3219" s="131"/>
      <c r="X3219" s="131"/>
    </row>
    <row r="3220" spans="9:24" x14ac:dyDescent="0.25">
      <c r="I3220" s="131"/>
      <c r="J3220" s="131"/>
      <c r="K3220" s="131"/>
      <c r="L3220" s="131"/>
      <c r="U3220" s="131"/>
      <c r="V3220" s="131"/>
      <c r="W3220" s="131"/>
      <c r="X3220" s="131"/>
    </row>
    <row r="3221" spans="9:24" x14ac:dyDescent="0.25">
      <c r="I3221" s="131"/>
      <c r="J3221" s="131"/>
      <c r="K3221" s="131"/>
      <c r="L3221" s="131"/>
      <c r="U3221" s="131"/>
      <c r="V3221" s="131"/>
      <c r="W3221" s="131"/>
      <c r="X3221" s="131"/>
    </row>
    <row r="3222" spans="9:24" x14ac:dyDescent="0.25">
      <c r="I3222" s="131"/>
      <c r="J3222" s="131"/>
      <c r="K3222" s="131"/>
      <c r="L3222" s="131"/>
      <c r="U3222" s="131"/>
      <c r="V3222" s="131"/>
      <c r="W3222" s="131"/>
      <c r="X3222" s="131"/>
    </row>
    <row r="3223" spans="9:24" x14ac:dyDescent="0.25">
      <c r="I3223" s="131"/>
      <c r="J3223" s="131"/>
      <c r="K3223" s="131"/>
      <c r="L3223" s="131"/>
      <c r="U3223" s="131"/>
      <c r="V3223" s="131"/>
      <c r="W3223" s="131"/>
      <c r="X3223" s="131"/>
    </row>
    <row r="3224" spans="9:24" x14ac:dyDescent="0.25">
      <c r="I3224" s="131"/>
      <c r="J3224" s="131"/>
      <c r="K3224" s="131"/>
      <c r="L3224" s="131"/>
      <c r="U3224" s="131"/>
      <c r="V3224" s="131"/>
      <c r="W3224" s="131"/>
      <c r="X3224" s="131"/>
    </row>
    <row r="3225" spans="9:24" x14ac:dyDescent="0.25">
      <c r="I3225" s="131"/>
      <c r="J3225" s="131"/>
      <c r="K3225" s="131"/>
      <c r="L3225" s="131"/>
      <c r="U3225" s="131"/>
      <c r="V3225" s="131"/>
      <c r="W3225" s="131"/>
      <c r="X3225" s="131"/>
    </row>
    <row r="3226" spans="9:24" x14ac:dyDescent="0.25">
      <c r="I3226" s="131"/>
      <c r="J3226" s="131"/>
      <c r="K3226" s="131"/>
      <c r="L3226" s="131"/>
      <c r="U3226" s="131"/>
      <c r="V3226" s="131"/>
      <c r="W3226" s="131"/>
      <c r="X3226" s="131"/>
    </row>
    <row r="3227" spans="9:24" x14ac:dyDescent="0.25">
      <c r="I3227" s="131"/>
      <c r="J3227" s="131"/>
      <c r="K3227" s="131"/>
      <c r="L3227" s="131"/>
      <c r="U3227" s="131"/>
      <c r="V3227" s="131"/>
      <c r="W3227" s="131"/>
      <c r="X3227" s="131"/>
    </row>
    <row r="3228" spans="9:24" x14ac:dyDescent="0.25">
      <c r="I3228" s="131"/>
      <c r="J3228" s="131"/>
      <c r="K3228" s="131"/>
      <c r="L3228" s="131"/>
      <c r="U3228" s="131"/>
      <c r="V3228" s="131"/>
      <c r="W3228" s="131"/>
      <c r="X3228" s="131"/>
    </row>
    <row r="3229" spans="9:24" x14ac:dyDescent="0.25">
      <c r="I3229" s="131"/>
      <c r="J3229" s="131"/>
      <c r="K3229" s="131"/>
      <c r="L3229" s="131"/>
      <c r="U3229" s="131"/>
      <c r="V3229" s="131"/>
      <c r="W3229" s="131"/>
      <c r="X3229" s="131"/>
    </row>
    <row r="3230" spans="9:24" x14ac:dyDescent="0.25">
      <c r="I3230" s="131"/>
      <c r="J3230" s="131"/>
      <c r="K3230" s="131"/>
      <c r="L3230" s="131"/>
      <c r="U3230" s="131"/>
      <c r="V3230" s="131"/>
      <c r="W3230" s="131"/>
      <c r="X3230" s="131"/>
    </row>
    <row r="3231" spans="9:24" x14ac:dyDescent="0.25">
      <c r="I3231" s="131"/>
      <c r="J3231" s="131"/>
      <c r="K3231" s="131"/>
      <c r="L3231" s="131"/>
      <c r="U3231" s="131"/>
      <c r="V3231" s="131"/>
      <c r="W3231" s="131"/>
      <c r="X3231" s="131"/>
    </row>
    <row r="3232" spans="9:24" x14ac:dyDescent="0.25">
      <c r="I3232" s="131"/>
      <c r="J3232" s="131"/>
      <c r="K3232" s="131"/>
      <c r="L3232" s="131"/>
      <c r="U3232" s="131"/>
      <c r="V3232" s="131"/>
      <c r="W3232" s="131"/>
      <c r="X3232" s="131"/>
    </row>
    <row r="3233" spans="9:24" x14ac:dyDescent="0.25">
      <c r="I3233" s="131"/>
      <c r="J3233" s="131"/>
      <c r="K3233" s="131"/>
      <c r="L3233" s="131"/>
      <c r="U3233" s="131"/>
      <c r="V3233" s="131"/>
      <c r="W3233" s="131"/>
      <c r="X3233" s="131"/>
    </row>
    <row r="3234" spans="9:24" x14ac:dyDescent="0.25">
      <c r="I3234" s="131"/>
      <c r="J3234" s="131"/>
      <c r="K3234" s="131"/>
      <c r="L3234" s="131"/>
      <c r="U3234" s="131"/>
      <c r="V3234" s="131"/>
      <c r="W3234" s="131"/>
      <c r="X3234" s="131"/>
    </row>
    <row r="3235" spans="9:24" x14ac:dyDescent="0.25">
      <c r="I3235" s="131"/>
      <c r="J3235" s="131"/>
      <c r="K3235" s="131"/>
      <c r="L3235" s="131"/>
      <c r="U3235" s="131"/>
      <c r="V3235" s="131"/>
      <c r="W3235" s="131"/>
      <c r="X3235" s="131"/>
    </row>
    <row r="3236" spans="9:24" x14ac:dyDescent="0.25">
      <c r="I3236" s="131"/>
      <c r="J3236" s="131"/>
      <c r="K3236" s="131"/>
      <c r="L3236" s="131"/>
      <c r="U3236" s="131"/>
      <c r="V3236" s="131"/>
      <c r="W3236" s="131"/>
      <c r="X3236" s="131"/>
    </row>
    <row r="3237" spans="9:24" x14ac:dyDescent="0.25">
      <c r="I3237" s="131"/>
      <c r="J3237" s="131"/>
      <c r="K3237" s="131"/>
      <c r="L3237" s="131"/>
      <c r="U3237" s="131"/>
      <c r="V3237" s="131"/>
      <c r="W3237" s="131"/>
      <c r="X3237" s="131"/>
    </row>
    <row r="3238" spans="9:24" x14ac:dyDescent="0.25">
      <c r="I3238" s="131"/>
      <c r="J3238" s="131"/>
      <c r="K3238" s="131"/>
      <c r="L3238" s="131"/>
      <c r="U3238" s="131"/>
      <c r="V3238" s="131"/>
      <c r="W3238" s="131"/>
      <c r="X3238" s="131"/>
    </row>
    <row r="3239" spans="9:24" x14ac:dyDescent="0.25">
      <c r="I3239" s="131"/>
      <c r="J3239" s="131"/>
      <c r="K3239" s="131"/>
      <c r="L3239" s="131"/>
      <c r="U3239" s="131"/>
      <c r="V3239" s="131"/>
      <c r="W3239" s="131"/>
      <c r="X3239" s="131"/>
    </row>
    <row r="3240" spans="9:24" x14ac:dyDescent="0.25">
      <c r="I3240" s="131"/>
      <c r="J3240" s="131"/>
      <c r="K3240" s="131"/>
      <c r="L3240" s="131"/>
      <c r="U3240" s="131"/>
      <c r="V3240" s="131"/>
      <c r="W3240" s="131"/>
      <c r="X3240" s="131"/>
    </row>
    <row r="3241" spans="9:24" x14ac:dyDescent="0.25">
      <c r="I3241" s="131"/>
      <c r="J3241" s="131"/>
      <c r="K3241" s="131"/>
      <c r="L3241" s="131"/>
      <c r="U3241" s="131"/>
      <c r="V3241" s="131"/>
      <c r="W3241" s="131"/>
      <c r="X3241" s="131"/>
    </row>
    <row r="3242" spans="9:24" x14ac:dyDescent="0.25">
      <c r="I3242" s="131"/>
      <c r="J3242" s="131"/>
      <c r="K3242" s="131"/>
      <c r="L3242" s="131"/>
      <c r="U3242" s="131"/>
      <c r="V3242" s="131"/>
      <c r="W3242" s="131"/>
      <c r="X3242" s="131"/>
    </row>
    <row r="3243" spans="9:24" x14ac:dyDescent="0.25">
      <c r="I3243" s="131"/>
      <c r="J3243" s="131"/>
      <c r="K3243" s="131"/>
      <c r="L3243" s="131"/>
      <c r="U3243" s="131"/>
      <c r="V3243" s="131"/>
      <c r="W3243" s="131"/>
      <c r="X3243" s="131"/>
    </row>
    <row r="3244" spans="9:24" x14ac:dyDescent="0.25">
      <c r="I3244" s="131"/>
      <c r="J3244" s="131"/>
      <c r="K3244" s="131"/>
      <c r="L3244" s="131"/>
      <c r="U3244" s="131"/>
      <c r="V3244" s="131"/>
      <c r="W3244" s="131"/>
      <c r="X3244" s="131"/>
    </row>
    <row r="3245" spans="9:24" x14ac:dyDescent="0.25">
      <c r="I3245" s="131"/>
      <c r="J3245" s="131"/>
      <c r="K3245" s="131"/>
      <c r="L3245" s="131"/>
      <c r="U3245" s="131"/>
      <c r="V3245" s="131"/>
      <c r="W3245" s="131"/>
      <c r="X3245" s="131"/>
    </row>
    <row r="3246" spans="9:24" x14ac:dyDescent="0.25">
      <c r="I3246" s="131"/>
      <c r="J3246" s="131"/>
      <c r="K3246" s="131"/>
      <c r="L3246" s="131"/>
      <c r="U3246" s="131"/>
      <c r="V3246" s="131"/>
      <c r="W3246" s="131"/>
      <c r="X3246" s="131"/>
    </row>
    <row r="3247" spans="9:24" x14ac:dyDescent="0.25">
      <c r="I3247" s="131"/>
      <c r="J3247" s="131"/>
      <c r="K3247" s="131"/>
      <c r="L3247" s="131"/>
      <c r="U3247" s="131"/>
      <c r="V3247" s="131"/>
      <c r="W3247" s="131"/>
      <c r="X3247" s="131"/>
    </row>
    <row r="3248" spans="9:24" x14ac:dyDescent="0.25">
      <c r="I3248" s="131"/>
      <c r="J3248" s="131"/>
      <c r="K3248" s="131"/>
      <c r="L3248" s="131"/>
      <c r="U3248" s="131"/>
      <c r="V3248" s="131"/>
      <c r="W3248" s="131"/>
      <c r="X3248" s="131"/>
    </row>
    <row r="3249" spans="9:24" x14ac:dyDescent="0.25">
      <c r="I3249" s="131"/>
      <c r="J3249" s="131"/>
      <c r="K3249" s="131"/>
      <c r="L3249" s="131"/>
      <c r="U3249" s="131"/>
      <c r="V3249" s="131"/>
      <c r="W3249" s="131"/>
      <c r="X3249" s="131"/>
    </row>
    <row r="3250" spans="9:24" x14ac:dyDescent="0.25">
      <c r="I3250" s="131"/>
      <c r="J3250" s="131"/>
      <c r="K3250" s="131"/>
      <c r="L3250" s="131"/>
      <c r="U3250" s="131"/>
      <c r="V3250" s="131"/>
      <c r="W3250" s="131"/>
      <c r="X3250" s="131"/>
    </row>
    <row r="3251" spans="9:24" x14ac:dyDescent="0.25">
      <c r="I3251" s="131"/>
      <c r="J3251" s="131"/>
      <c r="K3251" s="131"/>
      <c r="L3251" s="131"/>
      <c r="U3251" s="131"/>
      <c r="V3251" s="131"/>
      <c r="W3251" s="131"/>
      <c r="X3251" s="131"/>
    </row>
    <row r="3252" spans="9:24" x14ac:dyDescent="0.25">
      <c r="I3252" s="131"/>
      <c r="J3252" s="131"/>
      <c r="K3252" s="131"/>
      <c r="L3252" s="131"/>
      <c r="U3252" s="131"/>
      <c r="V3252" s="131"/>
      <c r="W3252" s="131"/>
      <c r="X3252" s="131"/>
    </row>
    <row r="3253" spans="9:24" x14ac:dyDescent="0.25">
      <c r="I3253" s="131"/>
      <c r="J3253" s="131"/>
      <c r="K3253" s="131"/>
      <c r="L3253" s="131"/>
      <c r="U3253" s="131"/>
      <c r="V3253" s="131"/>
      <c r="W3253" s="131"/>
      <c r="X3253" s="131"/>
    </row>
    <row r="3254" spans="9:24" x14ac:dyDescent="0.25">
      <c r="I3254" s="131"/>
      <c r="J3254" s="131"/>
      <c r="K3254" s="131"/>
      <c r="L3254" s="131"/>
      <c r="U3254" s="131"/>
      <c r="V3254" s="131"/>
      <c r="W3254" s="131"/>
      <c r="X3254" s="131"/>
    </row>
    <row r="3255" spans="9:24" x14ac:dyDescent="0.25">
      <c r="I3255" s="131"/>
      <c r="J3255" s="131"/>
      <c r="K3255" s="131"/>
      <c r="L3255" s="131"/>
      <c r="U3255" s="131"/>
      <c r="V3255" s="131"/>
      <c r="W3255" s="131"/>
      <c r="X3255" s="131"/>
    </row>
    <row r="3256" spans="9:24" x14ac:dyDescent="0.25">
      <c r="I3256" s="131"/>
      <c r="J3256" s="131"/>
      <c r="K3256" s="131"/>
      <c r="L3256" s="131"/>
      <c r="U3256" s="131"/>
      <c r="V3256" s="131"/>
      <c r="W3256" s="131"/>
      <c r="X3256" s="131"/>
    </row>
    <row r="3257" spans="9:24" x14ac:dyDescent="0.25">
      <c r="I3257" s="131"/>
      <c r="J3257" s="131"/>
      <c r="K3257" s="131"/>
      <c r="L3257" s="131"/>
      <c r="U3257" s="131"/>
      <c r="V3257" s="131"/>
      <c r="W3257" s="131"/>
      <c r="X3257" s="131"/>
    </row>
    <row r="3258" spans="9:24" x14ac:dyDescent="0.25">
      <c r="I3258" s="131"/>
      <c r="J3258" s="131"/>
      <c r="K3258" s="131"/>
      <c r="L3258" s="131"/>
      <c r="U3258" s="131"/>
      <c r="V3258" s="131"/>
      <c r="W3258" s="131"/>
      <c r="X3258" s="131"/>
    </row>
    <row r="3259" spans="9:24" x14ac:dyDescent="0.25">
      <c r="I3259" s="131"/>
      <c r="J3259" s="131"/>
      <c r="K3259" s="131"/>
      <c r="L3259" s="131"/>
      <c r="U3259" s="131"/>
      <c r="V3259" s="131"/>
      <c r="W3259" s="131"/>
      <c r="X3259" s="131"/>
    </row>
    <row r="3260" spans="9:24" x14ac:dyDescent="0.25">
      <c r="I3260" s="131"/>
      <c r="J3260" s="131"/>
      <c r="K3260" s="131"/>
      <c r="L3260" s="131"/>
      <c r="U3260" s="131"/>
      <c r="V3260" s="131"/>
      <c r="W3260" s="131"/>
      <c r="X3260" s="131"/>
    </row>
    <row r="3261" spans="9:24" x14ac:dyDescent="0.25">
      <c r="I3261" s="131"/>
      <c r="J3261" s="131"/>
      <c r="K3261" s="131"/>
      <c r="L3261" s="131"/>
      <c r="U3261" s="131"/>
      <c r="V3261" s="131"/>
      <c r="W3261" s="131"/>
      <c r="X3261" s="131"/>
    </row>
    <row r="3262" spans="9:24" x14ac:dyDescent="0.25">
      <c r="I3262" s="131"/>
      <c r="J3262" s="131"/>
      <c r="K3262" s="131"/>
      <c r="L3262" s="131"/>
      <c r="U3262" s="131"/>
      <c r="V3262" s="131"/>
      <c r="W3262" s="131"/>
      <c r="X3262" s="131"/>
    </row>
    <row r="3263" spans="9:24" x14ac:dyDescent="0.25">
      <c r="I3263" s="131"/>
      <c r="J3263" s="131"/>
      <c r="K3263" s="131"/>
      <c r="L3263" s="131"/>
      <c r="U3263" s="131"/>
      <c r="V3263" s="131"/>
      <c r="W3263" s="131"/>
      <c r="X3263" s="131"/>
    </row>
    <row r="3264" spans="9:24" x14ac:dyDescent="0.25">
      <c r="I3264" s="131"/>
      <c r="J3264" s="131"/>
      <c r="K3264" s="131"/>
      <c r="L3264" s="131"/>
      <c r="U3264" s="131"/>
      <c r="V3264" s="131"/>
      <c r="W3264" s="131"/>
      <c r="X3264" s="131"/>
    </row>
    <row r="3265" spans="9:24" x14ac:dyDescent="0.25">
      <c r="I3265" s="131"/>
      <c r="J3265" s="131"/>
      <c r="K3265" s="131"/>
      <c r="L3265" s="131"/>
      <c r="U3265" s="131"/>
      <c r="V3265" s="131"/>
      <c r="W3265" s="131"/>
      <c r="X3265" s="131"/>
    </row>
    <row r="3266" spans="9:24" x14ac:dyDescent="0.25">
      <c r="I3266" s="131"/>
      <c r="J3266" s="131"/>
      <c r="K3266" s="131"/>
      <c r="L3266" s="131"/>
      <c r="U3266" s="131"/>
      <c r="V3266" s="131"/>
      <c r="W3266" s="131"/>
      <c r="X3266" s="131"/>
    </row>
    <row r="3267" spans="9:24" x14ac:dyDescent="0.25">
      <c r="I3267" s="131"/>
      <c r="J3267" s="131"/>
      <c r="K3267" s="131"/>
      <c r="L3267" s="131"/>
      <c r="U3267" s="131"/>
      <c r="V3267" s="131"/>
      <c r="W3267" s="131"/>
      <c r="X3267" s="131"/>
    </row>
    <row r="3268" spans="9:24" x14ac:dyDescent="0.25">
      <c r="I3268" s="131"/>
      <c r="J3268" s="131"/>
      <c r="K3268" s="131"/>
      <c r="L3268" s="131"/>
      <c r="U3268" s="131"/>
      <c r="V3268" s="131"/>
      <c r="W3268" s="131"/>
      <c r="X3268" s="131"/>
    </row>
    <row r="3269" spans="9:24" x14ac:dyDescent="0.25">
      <c r="I3269" s="131"/>
      <c r="J3269" s="131"/>
      <c r="K3269" s="131"/>
      <c r="L3269" s="131"/>
      <c r="U3269" s="131"/>
      <c r="V3269" s="131"/>
      <c r="W3269" s="131"/>
      <c r="X3269" s="131"/>
    </row>
    <row r="3270" spans="9:24" x14ac:dyDescent="0.25">
      <c r="I3270" s="131"/>
      <c r="J3270" s="131"/>
      <c r="K3270" s="131"/>
      <c r="L3270" s="131"/>
      <c r="U3270" s="131"/>
      <c r="V3270" s="131"/>
      <c r="W3270" s="131"/>
      <c r="X3270" s="131"/>
    </row>
    <row r="3271" spans="9:24" x14ac:dyDescent="0.25">
      <c r="I3271" s="131"/>
      <c r="J3271" s="131"/>
      <c r="K3271" s="131"/>
      <c r="L3271" s="131"/>
      <c r="U3271" s="131"/>
      <c r="V3271" s="131"/>
      <c r="W3271" s="131"/>
      <c r="X3271" s="131"/>
    </row>
    <row r="3272" spans="9:24" x14ac:dyDescent="0.25">
      <c r="I3272" s="131"/>
      <c r="J3272" s="131"/>
      <c r="K3272" s="131"/>
      <c r="L3272" s="131"/>
      <c r="U3272" s="131"/>
      <c r="V3272" s="131"/>
      <c r="W3272" s="131"/>
      <c r="X3272" s="131"/>
    </row>
    <row r="3273" spans="9:24" x14ac:dyDescent="0.25">
      <c r="I3273" s="131"/>
      <c r="J3273" s="131"/>
      <c r="K3273" s="131"/>
      <c r="L3273" s="131"/>
      <c r="U3273" s="131"/>
      <c r="V3273" s="131"/>
      <c r="W3273" s="131"/>
      <c r="X3273" s="131"/>
    </row>
    <row r="3274" spans="9:24" x14ac:dyDescent="0.25">
      <c r="I3274" s="131"/>
      <c r="J3274" s="131"/>
      <c r="K3274" s="131"/>
      <c r="L3274" s="131"/>
      <c r="U3274" s="131"/>
      <c r="V3274" s="131"/>
      <c r="W3274" s="131"/>
      <c r="X3274" s="131"/>
    </row>
    <row r="3275" spans="9:24" x14ac:dyDescent="0.25">
      <c r="I3275" s="131"/>
      <c r="J3275" s="131"/>
      <c r="K3275" s="131"/>
      <c r="L3275" s="131"/>
      <c r="U3275" s="131"/>
      <c r="V3275" s="131"/>
      <c r="W3275" s="131"/>
      <c r="X3275" s="131"/>
    </row>
    <row r="3276" spans="9:24" x14ac:dyDescent="0.25">
      <c r="I3276" s="131"/>
      <c r="J3276" s="131"/>
      <c r="K3276" s="131"/>
      <c r="L3276" s="131"/>
      <c r="U3276" s="131"/>
      <c r="V3276" s="131"/>
      <c r="W3276" s="131"/>
      <c r="X3276" s="131"/>
    </row>
    <row r="3277" spans="9:24" x14ac:dyDescent="0.25">
      <c r="I3277" s="131"/>
      <c r="J3277" s="131"/>
      <c r="K3277" s="131"/>
      <c r="L3277" s="131"/>
      <c r="U3277" s="131"/>
      <c r="V3277" s="131"/>
      <c r="W3277" s="131"/>
      <c r="X3277" s="131"/>
    </row>
    <row r="3278" spans="9:24" x14ac:dyDescent="0.25">
      <c r="I3278" s="131"/>
      <c r="J3278" s="131"/>
      <c r="K3278" s="131"/>
      <c r="L3278" s="131"/>
      <c r="U3278" s="131"/>
      <c r="V3278" s="131"/>
      <c r="W3278" s="131"/>
      <c r="X3278" s="131"/>
    </row>
    <row r="3279" spans="9:24" x14ac:dyDescent="0.25">
      <c r="I3279" s="131"/>
      <c r="J3279" s="131"/>
      <c r="K3279" s="131"/>
      <c r="L3279" s="131"/>
      <c r="U3279" s="131"/>
      <c r="V3279" s="131"/>
      <c r="W3279" s="131"/>
      <c r="X3279" s="131"/>
    </row>
    <row r="3280" spans="9:24" x14ac:dyDescent="0.25">
      <c r="I3280" s="131"/>
      <c r="J3280" s="131"/>
      <c r="K3280" s="131"/>
      <c r="L3280" s="131"/>
      <c r="U3280" s="131"/>
      <c r="V3280" s="131"/>
      <c r="W3280" s="131"/>
      <c r="X3280" s="131"/>
    </row>
    <row r="3281" spans="9:24" x14ac:dyDescent="0.25">
      <c r="I3281" s="131"/>
      <c r="J3281" s="131"/>
      <c r="K3281" s="131"/>
      <c r="L3281" s="131"/>
      <c r="U3281" s="131"/>
      <c r="V3281" s="131"/>
      <c r="W3281" s="131"/>
      <c r="X3281" s="131"/>
    </row>
    <row r="3282" spans="9:24" x14ac:dyDescent="0.25">
      <c r="I3282" s="131"/>
      <c r="J3282" s="131"/>
      <c r="K3282" s="131"/>
      <c r="L3282" s="131"/>
      <c r="U3282" s="131"/>
      <c r="V3282" s="131"/>
      <c r="W3282" s="131"/>
      <c r="X3282" s="131"/>
    </row>
    <row r="3283" spans="9:24" x14ac:dyDescent="0.25">
      <c r="I3283" s="131"/>
      <c r="J3283" s="131"/>
      <c r="K3283" s="131"/>
      <c r="L3283" s="131"/>
      <c r="U3283" s="131"/>
      <c r="V3283" s="131"/>
      <c r="W3283" s="131"/>
      <c r="X3283" s="131"/>
    </row>
    <row r="3284" spans="9:24" x14ac:dyDescent="0.25">
      <c r="I3284" s="131"/>
      <c r="J3284" s="131"/>
      <c r="K3284" s="131"/>
      <c r="L3284" s="131"/>
      <c r="U3284" s="131"/>
      <c r="V3284" s="131"/>
      <c r="W3284" s="131"/>
      <c r="X3284" s="131"/>
    </row>
    <row r="3285" spans="9:24" x14ac:dyDescent="0.25">
      <c r="I3285" s="131"/>
      <c r="J3285" s="131"/>
      <c r="K3285" s="131"/>
      <c r="L3285" s="131"/>
      <c r="U3285" s="131"/>
      <c r="V3285" s="131"/>
      <c r="W3285" s="131"/>
      <c r="X3285" s="131"/>
    </row>
    <row r="3286" spans="9:24" x14ac:dyDescent="0.25">
      <c r="I3286" s="131"/>
      <c r="J3286" s="131"/>
      <c r="K3286" s="131"/>
      <c r="L3286" s="131"/>
      <c r="U3286" s="131"/>
      <c r="V3286" s="131"/>
      <c r="W3286" s="131"/>
      <c r="X3286" s="131"/>
    </row>
    <row r="3287" spans="9:24" x14ac:dyDescent="0.25">
      <c r="I3287" s="131"/>
      <c r="J3287" s="131"/>
      <c r="K3287" s="131"/>
      <c r="L3287" s="131"/>
      <c r="U3287" s="131"/>
      <c r="V3287" s="131"/>
      <c r="W3287" s="131"/>
      <c r="X3287" s="131"/>
    </row>
    <row r="3288" spans="9:24" x14ac:dyDescent="0.25">
      <c r="I3288" s="131"/>
      <c r="J3288" s="131"/>
      <c r="K3288" s="131"/>
      <c r="L3288" s="131"/>
      <c r="U3288" s="131"/>
      <c r="V3288" s="131"/>
      <c r="W3288" s="131"/>
      <c r="X3288" s="131"/>
    </row>
    <row r="3289" spans="9:24" x14ac:dyDescent="0.25">
      <c r="I3289" s="131"/>
      <c r="J3289" s="131"/>
      <c r="K3289" s="131"/>
      <c r="L3289" s="131"/>
      <c r="U3289" s="131"/>
      <c r="V3289" s="131"/>
      <c r="W3289" s="131"/>
      <c r="X3289" s="131"/>
    </row>
    <row r="3290" spans="9:24" x14ac:dyDescent="0.25">
      <c r="I3290" s="131"/>
      <c r="J3290" s="131"/>
      <c r="K3290" s="131"/>
      <c r="L3290" s="131"/>
      <c r="U3290" s="131"/>
      <c r="V3290" s="131"/>
      <c r="W3290" s="131"/>
      <c r="X3290" s="131"/>
    </row>
    <row r="3291" spans="9:24" x14ac:dyDescent="0.25">
      <c r="I3291" s="131"/>
      <c r="J3291" s="131"/>
      <c r="K3291" s="131"/>
      <c r="L3291" s="131"/>
      <c r="U3291" s="131"/>
      <c r="V3291" s="131"/>
      <c r="W3291" s="131"/>
      <c r="X3291" s="131"/>
    </row>
    <row r="3292" spans="9:24" x14ac:dyDescent="0.25">
      <c r="I3292" s="131"/>
      <c r="J3292" s="131"/>
      <c r="K3292" s="131"/>
      <c r="L3292" s="131"/>
      <c r="U3292" s="131"/>
      <c r="V3292" s="131"/>
      <c r="W3292" s="131"/>
      <c r="X3292" s="131"/>
    </row>
    <row r="3293" spans="9:24" x14ac:dyDescent="0.25">
      <c r="I3293" s="131"/>
      <c r="J3293" s="131"/>
      <c r="K3293" s="131"/>
      <c r="L3293" s="131"/>
      <c r="U3293" s="131"/>
      <c r="V3293" s="131"/>
      <c r="W3293" s="131"/>
      <c r="X3293" s="131"/>
    </row>
    <row r="3294" spans="9:24" x14ac:dyDescent="0.25">
      <c r="I3294" s="131"/>
      <c r="J3294" s="131"/>
      <c r="K3294" s="131"/>
      <c r="L3294" s="131"/>
      <c r="U3294" s="131"/>
      <c r="V3294" s="131"/>
      <c r="W3294" s="131"/>
      <c r="X3294" s="131"/>
    </row>
    <row r="3295" spans="9:24" x14ac:dyDescent="0.25">
      <c r="I3295" s="131"/>
      <c r="J3295" s="131"/>
      <c r="K3295" s="131"/>
      <c r="L3295" s="131"/>
      <c r="U3295" s="131"/>
      <c r="V3295" s="131"/>
      <c r="W3295" s="131"/>
      <c r="X3295" s="131"/>
    </row>
    <row r="3296" spans="9:24" x14ac:dyDescent="0.25">
      <c r="I3296" s="131"/>
      <c r="J3296" s="131"/>
      <c r="K3296" s="131"/>
      <c r="L3296" s="131"/>
      <c r="U3296" s="131"/>
      <c r="V3296" s="131"/>
      <c r="W3296" s="131"/>
      <c r="X3296" s="131"/>
    </row>
    <row r="3297" spans="9:24" x14ac:dyDescent="0.25">
      <c r="I3297" s="131"/>
      <c r="J3297" s="131"/>
      <c r="K3297" s="131"/>
      <c r="L3297" s="131"/>
      <c r="U3297" s="131"/>
      <c r="V3297" s="131"/>
      <c r="W3297" s="131"/>
      <c r="X3297" s="131"/>
    </row>
    <row r="3298" spans="9:24" x14ac:dyDescent="0.25">
      <c r="I3298" s="131"/>
      <c r="J3298" s="131"/>
      <c r="K3298" s="131"/>
      <c r="L3298" s="131"/>
      <c r="U3298" s="131"/>
      <c r="V3298" s="131"/>
      <c r="W3298" s="131"/>
      <c r="X3298" s="131"/>
    </row>
    <row r="3299" spans="9:24" x14ac:dyDescent="0.25">
      <c r="I3299" s="131"/>
      <c r="J3299" s="131"/>
      <c r="K3299" s="131"/>
      <c r="L3299" s="131"/>
      <c r="U3299" s="131"/>
      <c r="V3299" s="131"/>
      <c r="W3299" s="131"/>
      <c r="X3299" s="131"/>
    </row>
    <row r="3300" spans="9:24" x14ac:dyDescent="0.25">
      <c r="I3300" s="131"/>
      <c r="J3300" s="131"/>
      <c r="K3300" s="131"/>
      <c r="L3300" s="131"/>
      <c r="U3300" s="131"/>
      <c r="V3300" s="131"/>
      <c r="W3300" s="131"/>
      <c r="X3300" s="131"/>
    </row>
    <row r="3301" spans="9:24" x14ac:dyDescent="0.25">
      <c r="I3301" s="131"/>
      <c r="J3301" s="131"/>
      <c r="K3301" s="131"/>
      <c r="L3301" s="131"/>
      <c r="U3301" s="131"/>
      <c r="V3301" s="131"/>
      <c r="W3301" s="131"/>
      <c r="X3301" s="131"/>
    </row>
    <row r="3302" spans="9:24" x14ac:dyDescent="0.25">
      <c r="I3302" s="131"/>
      <c r="J3302" s="131"/>
      <c r="K3302" s="131"/>
      <c r="L3302" s="131"/>
      <c r="U3302" s="131"/>
      <c r="V3302" s="131"/>
      <c r="W3302" s="131"/>
      <c r="X3302" s="131"/>
    </row>
    <row r="3303" spans="9:24" x14ac:dyDescent="0.25">
      <c r="I3303" s="131"/>
      <c r="J3303" s="131"/>
      <c r="K3303" s="131"/>
      <c r="L3303" s="131"/>
      <c r="U3303" s="131"/>
      <c r="V3303" s="131"/>
      <c r="W3303" s="131"/>
      <c r="X3303" s="131"/>
    </row>
    <row r="3304" spans="9:24" x14ac:dyDescent="0.25">
      <c r="I3304" s="131"/>
      <c r="J3304" s="131"/>
      <c r="K3304" s="131"/>
      <c r="L3304" s="131"/>
      <c r="U3304" s="131"/>
      <c r="V3304" s="131"/>
      <c r="W3304" s="131"/>
      <c r="X3304" s="131"/>
    </row>
    <row r="3305" spans="9:24" x14ac:dyDescent="0.25">
      <c r="I3305" s="131"/>
      <c r="J3305" s="131"/>
      <c r="K3305" s="131"/>
      <c r="L3305" s="131"/>
      <c r="U3305" s="131"/>
      <c r="V3305" s="131"/>
      <c r="W3305" s="131"/>
      <c r="X3305" s="131"/>
    </row>
    <row r="3306" spans="9:24" x14ac:dyDescent="0.25">
      <c r="I3306" s="131"/>
      <c r="J3306" s="131"/>
      <c r="K3306" s="131"/>
      <c r="L3306" s="131"/>
      <c r="U3306" s="131"/>
      <c r="V3306" s="131"/>
      <c r="W3306" s="131"/>
      <c r="X3306" s="131"/>
    </row>
    <row r="3307" spans="9:24" x14ac:dyDescent="0.25">
      <c r="I3307" s="131"/>
      <c r="J3307" s="131"/>
      <c r="K3307" s="131"/>
      <c r="L3307" s="131"/>
      <c r="U3307" s="131"/>
      <c r="V3307" s="131"/>
      <c r="W3307" s="131"/>
      <c r="X3307" s="131"/>
    </row>
    <row r="3308" spans="9:24" x14ac:dyDescent="0.25">
      <c r="I3308" s="131"/>
      <c r="J3308" s="131"/>
      <c r="K3308" s="131"/>
      <c r="L3308" s="131"/>
      <c r="U3308" s="131"/>
      <c r="V3308" s="131"/>
      <c r="W3308" s="131"/>
      <c r="X3308" s="131"/>
    </row>
    <row r="3309" spans="9:24" x14ac:dyDescent="0.25">
      <c r="I3309" s="131"/>
      <c r="J3309" s="131"/>
      <c r="K3309" s="131"/>
      <c r="L3309" s="131"/>
      <c r="U3309" s="131"/>
      <c r="V3309" s="131"/>
      <c r="W3309" s="131"/>
      <c r="X3309" s="131"/>
    </row>
    <row r="3310" spans="9:24" x14ac:dyDescent="0.25">
      <c r="I3310" s="131"/>
      <c r="J3310" s="131"/>
      <c r="K3310" s="131"/>
      <c r="L3310" s="131"/>
      <c r="U3310" s="131"/>
      <c r="V3310" s="131"/>
      <c r="W3310" s="131"/>
      <c r="X3310" s="131"/>
    </row>
    <row r="3311" spans="9:24" x14ac:dyDescent="0.25">
      <c r="I3311" s="131"/>
      <c r="J3311" s="131"/>
      <c r="K3311" s="131"/>
      <c r="L3311" s="131"/>
      <c r="U3311" s="131"/>
      <c r="V3311" s="131"/>
      <c r="W3311" s="131"/>
      <c r="X3311" s="131"/>
    </row>
    <row r="3312" spans="9:24" x14ac:dyDescent="0.25">
      <c r="I3312" s="131"/>
      <c r="J3312" s="131"/>
      <c r="K3312" s="131"/>
      <c r="L3312" s="131"/>
      <c r="U3312" s="131"/>
      <c r="V3312" s="131"/>
      <c r="W3312" s="131"/>
      <c r="X3312" s="131"/>
    </row>
    <row r="3313" spans="9:24" x14ac:dyDescent="0.25">
      <c r="I3313" s="131"/>
      <c r="J3313" s="131"/>
      <c r="K3313" s="131"/>
      <c r="L3313" s="131"/>
      <c r="U3313" s="131"/>
      <c r="V3313" s="131"/>
      <c r="W3313" s="131"/>
      <c r="X3313" s="131"/>
    </row>
    <row r="3314" spans="9:24" x14ac:dyDescent="0.25">
      <c r="I3314" s="131"/>
      <c r="J3314" s="131"/>
      <c r="K3314" s="131"/>
      <c r="L3314" s="131"/>
      <c r="U3314" s="131"/>
      <c r="V3314" s="131"/>
      <c r="W3314" s="131"/>
      <c r="X3314" s="131"/>
    </row>
    <row r="3315" spans="9:24" x14ac:dyDescent="0.25">
      <c r="I3315" s="131"/>
      <c r="J3315" s="131"/>
      <c r="K3315" s="131"/>
      <c r="L3315" s="131"/>
      <c r="U3315" s="131"/>
      <c r="V3315" s="131"/>
      <c r="W3315" s="131"/>
      <c r="X3315" s="131"/>
    </row>
    <row r="3316" spans="9:24" x14ac:dyDescent="0.25">
      <c r="I3316" s="131"/>
      <c r="J3316" s="131"/>
      <c r="K3316" s="131"/>
      <c r="L3316" s="131"/>
      <c r="U3316" s="131"/>
      <c r="V3316" s="131"/>
      <c r="W3316" s="131"/>
      <c r="X3316" s="131"/>
    </row>
    <row r="3317" spans="9:24" x14ac:dyDescent="0.25">
      <c r="I3317" s="131"/>
      <c r="J3317" s="131"/>
      <c r="K3317" s="131"/>
      <c r="L3317" s="131"/>
      <c r="U3317" s="131"/>
      <c r="V3317" s="131"/>
      <c r="W3317" s="131"/>
      <c r="X3317" s="131"/>
    </row>
    <row r="3318" spans="9:24" x14ac:dyDescent="0.25">
      <c r="I3318" s="131"/>
      <c r="J3318" s="131"/>
      <c r="K3318" s="131"/>
      <c r="L3318" s="131"/>
      <c r="U3318" s="131"/>
      <c r="V3318" s="131"/>
      <c r="W3318" s="131"/>
      <c r="X3318" s="131"/>
    </row>
    <row r="3319" spans="9:24" x14ac:dyDescent="0.25">
      <c r="I3319" s="131"/>
      <c r="J3319" s="131"/>
      <c r="K3319" s="131"/>
      <c r="L3319" s="131"/>
      <c r="U3319" s="131"/>
      <c r="V3319" s="131"/>
      <c r="W3319" s="131"/>
      <c r="X3319" s="131"/>
    </row>
    <row r="3320" spans="9:24" x14ac:dyDescent="0.25">
      <c r="I3320" s="131"/>
      <c r="J3320" s="131"/>
      <c r="K3320" s="131"/>
      <c r="L3320" s="131"/>
      <c r="U3320" s="131"/>
      <c r="V3320" s="131"/>
      <c r="W3320" s="131"/>
      <c r="X3320" s="131"/>
    </row>
    <row r="3321" spans="9:24" x14ac:dyDescent="0.25">
      <c r="I3321" s="131"/>
      <c r="J3321" s="131"/>
      <c r="K3321" s="131"/>
      <c r="L3321" s="131"/>
      <c r="U3321" s="131"/>
      <c r="V3321" s="131"/>
      <c r="W3321" s="131"/>
      <c r="X3321" s="131"/>
    </row>
    <row r="3322" spans="9:24" x14ac:dyDescent="0.25">
      <c r="I3322" s="131"/>
      <c r="J3322" s="131"/>
      <c r="K3322" s="131"/>
      <c r="L3322" s="131"/>
      <c r="U3322" s="131"/>
      <c r="V3322" s="131"/>
      <c r="W3322" s="131"/>
      <c r="X3322" s="131"/>
    </row>
    <row r="3323" spans="9:24" x14ac:dyDescent="0.25">
      <c r="I3323" s="131"/>
      <c r="J3323" s="131"/>
      <c r="K3323" s="131"/>
      <c r="L3323" s="131"/>
      <c r="U3323" s="131"/>
      <c r="V3323" s="131"/>
      <c r="W3323" s="131"/>
      <c r="X3323" s="131"/>
    </row>
    <row r="3324" spans="9:24" x14ac:dyDescent="0.25">
      <c r="I3324" s="131"/>
      <c r="J3324" s="131"/>
      <c r="K3324" s="131"/>
      <c r="L3324" s="131"/>
      <c r="U3324" s="131"/>
      <c r="V3324" s="131"/>
      <c r="W3324" s="131"/>
      <c r="X3324" s="131"/>
    </row>
    <row r="3325" spans="9:24" x14ac:dyDescent="0.25">
      <c r="I3325" s="131"/>
      <c r="J3325" s="131"/>
      <c r="K3325" s="131"/>
      <c r="L3325" s="131"/>
      <c r="U3325" s="131"/>
      <c r="V3325" s="131"/>
      <c r="W3325" s="131"/>
      <c r="X3325" s="131"/>
    </row>
    <row r="3326" spans="9:24" x14ac:dyDescent="0.25">
      <c r="I3326" s="131"/>
      <c r="J3326" s="131"/>
      <c r="K3326" s="131"/>
      <c r="L3326" s="131"/>
      <c r="U3326" s="131"/>
      <c r="V3326" s="131"/>
      <c r="W3326" s="131"/>
      <c r="X3326" s="131"/>
    </row>
    <row r="3327" spans="9:24" x14ac:dyDescent="0.25">
      <c r="I3327" s="131"/>
      <c r="J3327" s="131"/>
      <c r="K3327" s="131"/>
      <c r="L3327" s="131"/>
      <c r="U3327" s="131"/>
      <c r="V3327" s="131"/>
      <c r="W3327" s="131"/>
      <c r="X3327" s="131"/>
    </row>
    <row r="3328" spans="9:24" x14ac:dyDescent="0.25">
      <c r="I3328" s="131"/>
      <c r="J3328" s="131"/>
      <c r="K3328" s="131"/>
      <c r="L3328" s="131"/>
      <c r="U3328" s="131"/>
      <c r="V3328" s="131"/>
      <c r="W3328" s="131"/>
      <c r="X3328" s="131"/>
    </row>
    <row r="3329" spans="9:24" x14ac:dyDescent="0.25">
      <c r="I3329" s="131"/>
      <c r="J3329" s="131"/>
      <c r="K3329" s="131"/>
      <c r="L3329" s="131"/>
      <c r="U3329" s="131"/>
      <c r="V3329" s="131"/>
      <c r="W3329" s="131"/>
      <c r="X3329" s="131"/>
    </row>
    <row r="3330" spans="9:24" x14ac:dyDescent="0.25">
      <c r="I3330" s="131"/>
      <c r="J3330" s="131"/>
      <c r="K3330" s="131"/>
      <c r="L3330" s="131"/>
      <c r="U3330" s="131"/>
      <c r="V3330" s="131"/>
      <c r="W3330" s="131"/>
      <c r="X3330" s="131"/>
    </row>
    <row r="3331" spans="9:24" x14ac:dyDescent="0.25">
      <c r="I3331" s="131"/>
      <c r="J3331" s="131"/>
      <c r="K3331" s="131"/>
      <c r="L3331" s="131"/>
      <c r="U3331" s="131"/>
      <c r="V3331" s="131"/>
      <c r="W3331" s="131"/>
      <c r="X3331" s="131"/>
    </row>
    <row r="3332" spans="9:24" x14ac:dyDescent="0.25">
      <c r="I3332" s="131"/>
      <c r="J3332" s="131"/>
      <c r="K3332" s="131"/>
      <c r="L3332" s="131"/>
      <c r="U3332" s="131"/>
      <c r="V3332" s="131"/>
      <c r="W3332" s="131"/>
      <c r="X3332" s="131"/>
    </row>
    <row r="3333" spans="9:24" x14ac:dyDescent="0.25">
      <c r="I3333" s="131"/>
      <c r="J3333" s="131"/>
      <c r="K3333" s="131"/>
      <c r="L3333" s="131"/>
      <c r="U3333" s="131"/>
      <c r="V3333" s="131"/>
      <c r="W3333" s="131"/>
      <c r="X3333" s="131"/>
    </row>
    <row r="3334" spans="9:24" x14ac:dyDescent="0.25">
      <c r="I3334" s="131"/>
      <c r="J3334" s="131"/>
      <c r="K3334" s="131"/>
      <c r="L3334" s="131"/>
      <c r="U3334" s="131"/>
      <c r="V3334" s="131"/>
      <c r="W3334" s="131"/>
      <c r="X3334" s="131"/>
    </row>
    <row r="3335" spans="9:24" x14ac:dyDescent="0.25">
      <c r="I3335" s="131"/>
      <c r="J3335" s="131"/>
      <c r="K3335" s="131"/>
      <c r="L3335" s="131"/>
      <c r="U3335" s="131"/>
      <c r="V3335" s="131"/>
      <c r="W3335" s="131"/>
      <c r="X3335" s="131"/>
    </row>
    <row r="3336" spans="9:24" x14ac:dyDescent="0.25">
      <c r="I3336" s="131"/>
      <c r="J3336" s="131"/>
      <c r="K3336" s="131"/>
      <c r="L3336" s="131"/>
      <c r="U3336" s="131"/>
      <c r="V3336" s="131"/>
      <c r="W3336" s="131"/>
      <c r="X3336" s="131"/>
    </row>
    <row r="3337" spans="9:24" x14ac:dyDescent="0.25">
      <c r="I3337" s="131"/>
      <c r="J3337" s="131"/>
      <c r="K3337" s="131"/>
      <c r="L3337" s="131"/>
      <c r="U3337" s="131"/>
      <c r="V3337" s="131"/>
      <c r="W3337" s="131"/>
      <c r="X3337" s="131"/>
    </row>
    <row r="3338" spans="9:24" x14ac:dyDescent="0.25">
      <c r="I3338" s="131"/>
      <c r="J3338" s="131"/>
      <c r="K3338" s="131"/>
      <c r="L3338" s="131"/>
      <c r="U3338" s="131"/>
      <c r="V3338" s="131"/>
      <c r="W3338" s="131"/>
      <c r="X3338" s="131"/>
    </row>
    <row r="3339" spans="9:24" x14ac:dyDescent="0.25">
      <c r="I3339" s="131"/>
      <c r="J3339" s="131"/>
      <c r="K3339" s="131"/>
      <c r="L3339" s="131"/>
      <c r="U3339" s="131"/>
      <c r="V3339" s="131"/>
      <c r="W3339" s="131"/>
      <c r="X3339" s="131"/>
    </row>
    <row r="3340" spans="9:24" x14ac:dyDescent="0.25">
      <c r="I3340" s="131"/>
      <c r="J3340" s="131"/>
      <c r="K3340" s="131"/>
      <c r="L3340" s="131"/>
      <c r="U3340" s="131"/>
      <c r="V3340" s="131"/>
      <c r="W3340" s="131"/>
      <c r="X3340" s="131"/>
    </row>
    <row r="3341" spans="9:24" x14ac:dyDescent="0.25">
      <c r="I3341" s="131"/>
      <c r="J3341" s="131"/>
      <c r="K3341" s="131"/>
      <c r="L3341" s="131"/>
      <c r="U3341" s="131"/>
      <c r="V3341" s="131"/>
      <c r="W3341" s="131"/>
      <c r="X3341" s="131"/>
    </row>
    <row r="3342" spans="9:24" x14ac:dyDescent="0.25">
      <c r="I3342" s="131"/>
      <c r="J3342" s="131"/>
      <c r="K3342" s="131"/>
      <c r="L3342" s="131"/>
      <c r="U3342" s="131"/>
      <c r="V3342" s="131"/>
      <c r="W3342" s="131"/>
      <c r="X3342" s="131"/>
    </row>
    <row r="3343" spans="9:24" x14ac:dyDescent="0.25">
      <c r="I3343" s="131"/>
      <c r="J3343" s="131"/>
      <c r="K3343" s="131"/>
      <c r="L3343" s="131"/>
      <c r="U3343" s="131"/>
      <c r="V3343" s="131"/>
      <c r="W3343" s="131"/>
      <c r="X3343" s="131"/>
    </row>
    <row r="3344" spans="9:24" x14ac:dyDescent="0.25">
      <c r="I3344" s="131"/>
      <c r="J3344" s="131"/>
      <c r="K3344" s="131"/>
      <c r="L3344" s="131"/>
      <c r="U3344" s="131"/>
      <c r="V3344" s="131"/>
      <c r="W3344" s="131"/>
      <c r="X3344" s="131"/>
    </row>
    <row r="3345" spans="9:24" x14ac:dyDescent="0.25">
      <c r="I3345" s="131"/>
      <c r="J3345" s="131"/>
      <c r="K3345" s="131"/>
      <c r="L3345" s="131"/>
      <c r="U3345" s="131"/>
      <c r="V3345" s="131"/>
      <c r="W3345" s="131"/>
      <c r="X3345" s="131"/>
    </row>
    <row r="3346" spans="9:24" x14ac:dyDescent="0.25">
      <c r="I3346" s="131"/>
      <c r="J3346" s="131"/>
      <c r="K3346" s="131"/>
      <c r="L3346" s="131"/>
      <c r="U3346" s="131"/>
      <c r="V3346" s="131"/>
      <c r="W3346" s="131"/>
      <c r="X3346" s="131"/>
    </row>
    <row r="3347" spans="9:24" x14ac:dyDescent="0.25">
      <c r="I3347" s="131"/>
      <c r="J3347" s="131"/>
      <c r="K3347" s="131"/>
      <c r="L3347" s="131"/>
      <c r="U3347" s="131"/>
      <c r="V3347" s="131"/>
      <c r="W3347" s="131"/>
      <c r="X3347" s="131"/>
    </row>
    <row r="3348" spans="9:24" x14ac:dyDescent="0.25">
      <c r="I3348" s="131"/>
      <c r="J3348" s="131"/>
      <c r="K3348" s="131"/>
      <c r="L3348" s="131"/>
      <c r="U3348" s="131"/>
      <c r="V3348" s="131"/>
      <c r="W3348" s="131"/>
      <c r="X3348" s="131"/>
    </row>
    <row r="3349" spans="9:24" x14ac:dyDescent="0.25">
      <c r="I3349" s="131"/>
      <c r="J3349" s="131"/>
      <c r="K3349" s="131"/>
      <c r="L3349" s="131"/>
      <c r="U3349" s="131"/>
      <c r="V3349" s="131"/>
      <c r="W3349" s="131"/>
      <c r="X3349" s="131"/>
    </row>
    <row r="3350" spans="9:24" x14ac:dyDescent="0.25">
      <c r="I3350" s="131"/>
      <c r="J3350" s="131"/>
      <c r="K3350" s="131"/>
      <c r="L3350" s="131"/>
      <c r="U3350" s="131"/>
      <c r="V3350" s="131"/>
      <c r="W3350" s="131"/>
      <c r="X3350" s="131"/>
    </row>
    <row r="3351" spans="9:24" x14ac:dyDescent="0.25">
      <c r="I3351" s="131"/>
      <c r="J3351" s="131"/>
      <c r="K3351" s="131"/>
      <c r="L3351" s="131"/>
      <c r="U3351" s="131"/>
      <c r="V3351" s="131"/>
      <c r="W3351" s="131"/>
      <c r="X3351" s="131"/>
    </row>
    <row r="3352" spans="9:24" x14ac:dyDescent="0.25">
      <c r="I3352" s="131"/>
      <c r="J3352" s="131"/>
      <c r="K3352" s="131"/>
      <c r="L3352" s="131"/>
      <c r="U3352" s="131"/>
      <c r="V3352" s="131"/>
      <c r="W3352" s="131"/>
      <c r="X3352" s="131"/>
    </row>
    <row r="3353" spans="9:24" x14ac:dyDescent="0.25">
      <c r="I3353" s="131"/>
      <c r="J3353" s="131"/>
      <c r="K3353" s="131"/>
      <c r="L3353" s="131"/>
      <c r="U3353" s="131"/>
      <c r="V3353" s="131"/>
      <c r="W3353" s="131"/>
      <c r="X3353" s="131"/>
    </row>
    <row r="3354" spans="9:24" x14ac:dyDescent="0.25">
      <c r="I3354" s="131"/>
      <c r="J3354" s="131"/>
      <c r="K3354" s="131"/>
      <c r="L3354" s="131"/>
      <c r="U3354" s="131"/>
      <c r="V3354" s="131"/>
      <c r="W3354" s="131"/>
      <c r="X3354" s="131"/>
    </row>
    <row r="3355" spans="9:24" x14ac:dyDescent="0.25">
      <c r="I3355" s="131"/>
      <c r="J3355" s="131"/>
      <c r="K3355" s="131"/>
      <c r="L3355" s="131"/>
      <c r="U3355" s="131"/>
      <c r="V3355" s="131"/>
      <c r="W3355" s="131"/>
      <c r="X3355" s="131"/>
    </row>
    <row r="3356" spans="9:24" x14ac:dyDescent="0.25">
      <c r="I3356" s="131"/>
      <c r="J3356" s="131"/>
      <c r="K3356" s="131"/>
      <c r="L3356" s="131"/>
      <c r="U3356" s="131"/>
      <c r="V3356" s="131"/>
      <c r="W3356" s="131"/>
      <c r="X3356" s="131"/>
    </row>
    <row r="3357" spans="9:24" x14ac:dyDescent="0.25">
      <c r="I3357" s="131"/>
      <c r="J3357" s="131"/>
      <c r="K3357" s="131"/>
      <c r="L3357" s="131"/>
      <c r="U3357" s="131"/>
      <c r="V3357" s="131"/>
      <c r="W3357" s="131"/>
      <c r="X3357" s="131"/>
    </row>
    <row r="3358" spans="9:24" x14ac:dyDescent="0.25">
      <c r="I3358" s="131"/>
      <c r="J3358" s="131"/>
      <c r="K3358" s="131"/>
      <c r="L3358" s="131"/>
      <c r="U3358" s="131"/>
      <c r="V3358" s="131"/>
      <c r="W3358" s="131"/>
      <c r="X3358" s="131"/>
    </row>
    <row r="3359" spans="9:24" x14ac:dyDescent="0.25">
      <c r="I3359" s="131"/>
      <c r="J3359" s="131"/>
      <c r="K3359" s="131"/>
      <c r="L3359" s="131"/>
      <c r="U3359" s="131"/>
      <c r="V3359" s="131"/>
      <c r="W3359" s="131"/>
      <c r="X3359" s="131"/>
    </row>
    <row r="3360" spans="9:24" x14ac:dyDescent="0.25">
      <c r="I3360" s="131"/>
      <c r="J3360" s="131"/>
      <c r="K3360" s="131"/>
      <c r="L3360" s="131"/>
      <c r="U3360" s="131"/>
      <c r="V3360" s="131"/>
      <c r="W3360" s="131"/>
      <c r="X3360" s="131"/>
    </row>
    <row r="3361" spans="9:24" x14ac:dyDescent="0.25">
      <c r="I3361" s="131"/>
      <c r="J3361" s="131"/>
      <c r="K3361" s="131"/>
      <c r="L3361" s="131"/>
      <c r="U3361" s="131"/>
      <c r="V3361" s="131"/>
      <c r="W3361" s="131"/>
      <c r="X3361" s="131"/>
    </row>
    <row r="3362" spans="9:24" x14ac:dyDescent="0.25">
      <c r="I3362" s="131"/>
      <c r="J3362" s="131"/>
      <c r="K3362" s="131"/>
      <c r="L3362" s="131"/>
      <c r="U3362" s="131"/>
      <c r="V3362" s="131"/>
      <c r="W3362" s="131"/>
      <c r="X3362" s="131"/>
    </row>
    <row r="3363" spans="9:24" x14ac:dyDescent="0.25">
      <c r="I3363" s="131"/>
      <c r="J3363" s="131"/>
      <c r="K3363" s="131"/>
      <c r="L3363" s="131"/>
      <c r="U3363" s="131"/>
      <c r="V3363" s="131"/>
      <c r="W3363" s="131"/>
      <c r="X3363" s="131"/>
    </row>
    <row r="3364" spans="9:24" x14ac:dyDescent="0.25">
      <c r="I3364" s="131"/>
      <c r="J3364" s="131"/>
      <c r="K3364" s="131"/>
      <c r="L3364" s="131"/>
      <c r="U3364" s="131"/>
      <c r="V3364" s="131"/>
      <c r="W3364" s="131"/>
      <c r="X3364" s="131"/>
    </row>
    <row r="3365" spans="9:24" x14ac:dyDescent="0.25">
      <c r="I3365" s="131"/>
      <c r="J3365" s="131"/>
      <c r="K3365" s="131"/>
      <c r="L3365" s="131"/>
      <c r="U3365" s="131"/>
      <c r="V3365" s="131"/>
      <c r="W3365" s="131"/>
      <c r="X3365" s="131"/>
    </row>
    <row r="3366" spans="9:24" x14ac:dyDescent="0.25">
      <c r="I3366" s="131"/>
      <c r="J3366" s="131"/>
      <c r="K3366" s="131"/>
      <c r="L3366" s="131"/>
      <c r="U3366" s="131"/>
      <c r="V3366" s="131"/>
      <c r="W3366" s="131"/>
      <c r="X3366" s="131"/>
    </row>
    <row r="3367" spans="9:24" x14ac:dyDescent="0.25">
      <c r="I3367" s="131"/>
      <c r="J3367" s="131"/>
      <c r="K3367" s="131"/>
      <c r="L3367" s="131"/>
      <c r="U3367" s="131"/>
      <c r="V3367" s="131"/>
      <c r="W3367" s="131"/>
      <c r="X3367" s="131"/>
    </row>
    <row r="3368" spans="9:24" x14ac:dyDescent="0.25">
      <c r="I3368" s="131"/>
      <c r="J3368" s="131"/>
      <c r="K3368" s="131"/>
      <c r="L3368" s="131"/>
      <c r="U3368" s="131"/>
      <c r="V3368" s="131"/>
      <c r="W3368" s="131"/>
      <c r="X3368" s="131"/>
    </row>
    <row r="3369" spans="9:24" x14ac:dyDescent="0.25">
      <c r="I3369" s="131"/>
      <c r="J3369" s="131"/>
      <c r="K3369" s="131"/>
      <c r="L3369" s="131"/>
      <c r="U3369" s="131"/>
      <c r="V3369" s="131"/>
      <c r="W3369" s="131"/>
      <c r="X3369" s="131"/>
    </row>
    <row r="3370" spans="9:24" x14ac:dyDescent="0.25">
      <c r="I3370" s="131"/>
      <c r="J3370" s="131"/>
      <c r="K3370" s="131"/>
      <c r="L3370" s="131"/>
      <c r="U3370" s="131"/>
      <c r="V3370" s="131"/>
      <c r="W3370" s="131"/>
      <c r="X3370" s="131"/>
    </row>
    <row r="3371" spans="9:24" x14ac:dyDescent="0.25">
      <c r="I3371" s="131"/>
      <c r="J3371" s="131"/>
      <c r="K3371" s="131"/>
      <c r="L3371" s="131"/>
      <c r="U3371" s="131"/>
      <c r="V3371" s="131"/>
      <c r="W3371" s="131"/>
      <c r="X3371" s="131"/>
    </row>
    <row r="3372" spans="9:24" x14ac:dyDescent="0.25">
      <c r="I3372" s="131"/>
      <c r="J3372" s="131"/>
      <c r="K3372" s="131"/>
      <c r="L3372" s="131"/>
      <c r="U3372" s="131"/>
      <c r="V3372" s="131"/>
      <c r="W3372" s="131"/>
      <c r="X3372" s="131"/>
    </row>
    <row r="3373" spans="9:24" x14ac:dyDescent="0.25">
      <c r="I3373" s="131"/>
      <c r="J3373" s="131"/>
      <c r="K3373" s="131"/>
      <c r="L3373" s="131"/>
      <c r="U3373" s="131"/>
      <c r="V3373" s="131"/>
      <c r="W3373" s="131"/>
      <c r="X3373" s="131"/>
    </row>
    <row r="3374" spans="9:24" x14ac:dyDescent="0.25">
      <c r="I3374" s="131"/>
      <c r="J3374" s="131"/>
      <c r="K3374" s="131"/>
      <c r="L3374" s="131"/>
      <c r="U3374" s="131"/>
      <c r="V3374" s="131"/>
      <c r="W3374" s="131"/>
      <c r="X3374" s="131"/>
    </row>
    <row r="3375" spans="9:24" x14ac:dyDescent="0.25">
      <c r="I3375" s="131"/>
      <c r="J3375" s="131"/>
      <c r="K3375" s="131"/>
      <c r="L3375" s="131"/>
      <c r="U3375" s="131"/>
      <c r="V3375" s="131"/>
      <c r="W3375" s="131"/>
      <c r="X3375" s="131"/>
    </row>
    <row r="3376" spans="9:24" x14ac:dyDescent="0.25">
      <c r="I3376" s="131"/>
      <c r="J3376" s="131"/>
      <c r="K3376" s="131"/>
      <c r="L3376" s="131"/>
      <c r="U3376" s="131"/>
      <c r="V3376" s="131"/>
      <c r="W3376" s="131"/>
      <c r="X3376" s="131"/>
    </row>
    <row r="3377" spans="9:24" x14ac:dyDescent="0.25">
      <c r="I3377" s="131"/>
      <c r="J3377" s="131"/>
      <c r="K3377" s="131"/>
      <c r="L3377" s="131"/>
      <c r="U3377" s="131"/>
      <c r="V3377" s="131"/>
      <c r="W3377" s="131"/>
      <c r="X3377" s="131"/>
    </row>
    <row r="3378" spans="9:24" x14ac:dyDescent="0.25">
      <c r="I3378" s="131"/>
      <c r="J3378" s="131"/>
      <c r="K3378" s="131"/>
      <c r="L3378" s="131"/>
      <c r="U3378" s="131"/>
      <c r="V3378" s="131"/>
      <c r="W3378" s="131"/>
      <c r="X3378" s="131"/>
    </row>
    <row r="3379" spans="9:24" x14ac:dyDescent="0.25">
      <c r="I3379" s="131"/>
      <c r="J3379" s="131"/>
      <c r="K3379" s="131"/>
      <c r="L3379" s="131"/>
      <c r="U3379" s="131"/>
      <c r="V3379" s="131"/>
      <c r="W3379" s="131"/>
      <c r="X3379" s="131"/>
    </row>
    <row r="3380" spans="9:24" x14ac:dyDescent="0.25">
      <c r="I3380" s="131"/>
      <c r="J3380" s="131"/>
      <c r="K3380" s="131"/>
      <c r="L3380" s="131"/>
      <c r="U3380" s="131"/>
      <c r="V3380" s="131"/>
      <c r="W3380" s="131"/>
      <c r="X3380" s="131"/>
    </row>
    <row r="3381" spans="9:24" x14ac:dyDescent="0.25">
      <c r="I3381" s="131"/>
      <c r="J3381" s="131"/>
      <c r="K3381" s="131"/>
      <c r="L3381" s="131"/>
      <c r="U3381" s="131"/>
      <c r="V3381" s="131"/>
      <c r="W3381" s="131"/>
      <c r="X3381" s="131"/>
    </row>
    <row r="3382" spans="9:24" x14ac:dyDescent="0.25">
      <c r="I3382" s="131"/>
      <c r="J3382" s="131"/>
      <c r="K3382" s="131"/>
      <c r="L3382" s="131"/>
      <c r="U3382" s="131"/>
      <c r="V3382" s="131"/>
      <c r="W3382" s="131"/>
      <c r="X3382" s="131"/>
    </row>
    <row r="3383" spans="9:24" x14ac:dyDescent="0.25">
      <c r="I3383" s="131"/>
      <c r="J3383" s="131"/>
      <c r="K3383" s="131"/>
      <c r="L3383" s="131"/>
      <c r="U3383" s="131"/>
      <c r="V3383" s="131"/>
      <c r="W3383" s="131"/>
      <c r="X3383" s="131"/>
    </row>
    <row r="3384" spans="9:24" x14ac:dyDescent="0.25">
      <c r="I3384" s="131"/>
      <c r="J3384" s="131"/>
      <c r="K3384" s="131"/>
      <c r="L3384" s="131"/>
      <c r="U3384" s="131"/>
      <c r="V3384" s="131"/>
      <c r="W3384" s="131"/>
      <c r="X3384" s="131"/>
    </row>
    <row r="3385" spans="9:24" x14ac:dyDescent="0.25">
      <c r="I3385" s="131"/>
      <c r="J3385" s="131"/>
      <c r="K3385" s="131"/>
      <c r="L3385" s="131"/>
      <c r="U3385" s="131"/>
      <c r="V3385" s="131"/>
      <c r="W3385" s="131"/>
      <c r="X3385" s="131"/>
    </row>
    <row r="3386" spans="9:24" x14ac:dyDescent="0.25">
      <c r="I3386" s="131"/>
      <c r="J3386" s="131"/>
      <c r="K3386" s="131"/>
      <c r="L3386" s="131"/>
      <c r="U3386" s="131"/>
      <c r="V3386" s="131"/>
      <c r="W3386" s="131"/>
      <c r="X3386" s="131"/>
    </row>
    <row r="3387" spans="9:24" x14ac:dyDescent="0.25">
      <c r="I3387" s="131"/>
      <c r="J3387" s="131"/>
      <c r="K3387" s="131"/>
      <c r="L3387" s="131"/>
      <c r="U3387" s="131"/>
      <c r="V3387" s="131"/>
      <c r="W3387" s="131"/>
      <c r="X3387" s="131"/>
    </row>
    <row r="3388" spans="9:24" x14ac:dyDescent="0.25">
      <c r="I3388" s="131"/>
      <c r="J3388" s="131"/>
      <c r="K3388" s="131"/>
      <c r="L3388" s="131"/>
      <c r="U3388" s="131"/>
      <c r="V3388" s="131"/>
      <c r="W3388" s="131"/>
      <c r="X3388" s="131"/>
    </row>
    <row r="3389" spans="9:24" x14ac:dyDescent="0.25">
      <c r="I3389" s="131"/>
      <c r="J3389" s="131"/>
      <c r="K3389" s="131"/>
      <c r="L3389" s="131"/>
      <c r="U3389" s="131"/>
      <c r="V3389" s="131"/>
      <c r="W3389" s="131"/>
      <c r="X3389" s="131"/>
    </row>
    <row r="3390" spans="9:24" x14ac:dyDescent="0.25">
      <c r="I3390" s="131"/>
      <c r="J3390" s="131"/>
      <c r="K3390" s="131"/>
      <c r="L3390" s="131"/>
      <c r="U3390" s="131"/>
      <c r="V3390" s="131"/>
      <c r="W3390" s="131"/>
      <c r="X3390" s="131"/>
    </row>
    <row r="3391" spans="9:24" x14ac:dyDescent="0.25">
      <c r="I3391" s="131"/>
      <c r="J3391" s="131"/>
      <c r="K3391" s="131"/>
      <c r="L3391" s="131"/>
      <c r="U3391" s="131"/>
      <c r="V3391" s="131"/>
      <c r="W3391" s="131"/>
      <c r="X3391" s="131"/>
    </row>
    <row r="3392" spans="9:24" x14ac:dyDescent="0.25">
      <c r="I3392" s="131"/>
      <c r="J3392" s="131"/>
      <c r="K3392" s="131"/>
      <c r="L3392" s="131"/>
      <c r="U3392" s="131"/>
      <c r="V3392" s="131"/>
      <c r="W3392" s="131"/>
      <c r="X3392" s="131"/>
    </row>
    <row r="3393" spans="9:24" x14ac:dyDescent="0.25">
      <c r="I3393" s="131"/>
      <c r="J3393" s="131"/>
      <c r="K3393" s="131"/>
      <c r="L3393" s="131"/>
      <c r="U3393" s="131"/>
      <c r="V3393" s="131"/>
      <c r="W3393" s="131"/>
      <c r="X3393" s="131"/>
    </row>
    <row r="3394" spans="9:24" x14ac:dyDescent="0.25">
      <c r="I3394" s="131"/>
      <c r="J3394" s="131"/>
      <c r="K3394" s="131"/>
      <c r="L3394" s="131"/>
      <c r="U3394" s="131"/>
      <c r="V3394" s="131"/>
      <c r="W3394" s="131"/>
      <c r="X3394" s="131"/>
    </row>
    <row r="3395" spans="9:24" x14ac:dyDescent="0.25">
      <c r="I3395" s="131"/>
      <c r="J3395" s="131"/>
      <c r="K3395" s="131"/>
      <c r="L3395" s="131"/>
      <c r="U3395" s="131"/>
      <c r="V3395" s="131"/>
      <c r="W3395" s="131"/>
      <c r="X3395" s="131"/>
    </row>
    <row r="3396" spans="9:24" x14ac:dyDescent="0.25">
      <c r="I3396" s="131"/>
      <c r="J3396" s="131"/>
      <c r="K3396" s="131"/>
      <c r="L3396" s="131"/>
      <c r="U3396" s="131"/>
      <c r="V3396" s="131"/>
      <c r="W3396" s="131"/>
      <c r="X3396" s="131"/>
    </row>
    <row r="3397" spans="9:24" x14ac:dyDescent="0.25">
      <c r="I3397" s="131"/>
      <c r="J3397" s="131"/>
      <c r="K3397" s="131"/>
      <c r="L3397" s="131"/>
      <c r="U3397" s="131"/>
      <c r="V3397" s="131"/>
      <c r="W3397" s="131"/>
      <c r="X3397" s="131"/>
    </row>
    <row r="3398" spans="9:24" x14ac:dyDescent="0.25">
      <c r="I3398" s="131"/>
      <c r="J3398" s="131"/>
      <c r="K3398" s="131"/>
      <c r="L3398" s="131"/>
      <c r="U3398" s="131"/>
      <c r="V3398" s="131"/>
      <c r="W3398" s="131"/>
      <c r="X3398" s="131"/>
    </row>
    <row r="3399" spans="9:24" x14ac:dyDescent="0.25">
      <c r="I3399" s="131"/>
      <c r="J3399" s="131"/>
      <c r="K3399" s="131"/>
      <c r="L3399" s="131"/>
      <c r="U3399" s="131"/>
      <c r="V3399" s="131"/>
      <c r="W3399" s="131"/>
      <c r="X3399" s="131"/>
    </row>
    <row r="3400" spans="9:24" x14ac:dyDescent="0.25">
      <c r="I3400" s="131"/>
      <c r="J3400" s="131"/>
      <c r="K3400" s="131"/>
      <c r="L3400" s="131"/>
      <c r="U3400" s="131"/>
      <c r="V3400" s="131"/>
      <c r="W3400" s="131"/>
      <c r="X3400" s="131"/>
    </row>
    <row r="3401" spans="9:24" x14ac:dyDescent="0.25">
      <c r="I3401" s="131"/>
      <c r="J3401" s="131"/>
      <c r="K3401" s="131"/>
      <c r="L3401" s="131"/>
      <c r="U3401" s="131"/>
      <c r="V3401" s="131"/>
      <c r="W3401" s="131"/>
      <c r="X3401" s="131"/>
    </row>
    <row r="3402" spans="9:24" x14ac:dyDescent="0.25">
      <c r="I3402" s="131"/>
      <c r="J3402" s="131"/>
      <c r="K3402" s="131"/>
      <c r="L3402" s="131"/>
      <c r="U3402" s="131"/>
      <c r="V3402" s="131"/>
      <c r="W3402" s="131"/>
      <c r="X3402" s="131"/>
    </row>
    <row r="3403" spans="9:24" x14ac:dyDescent="0.25">
      <c r="I3403" s="131"/>
      <c r="J3403" s="131"/>
      <c r="K3403" s="131"/>
      <c r="L3403" s="131"/>
      <c r="U3403" s="131"/>
      <c r="V3403" s="131"/>
      <c r="W3403" s="131"/>
      <c r="X3403" s="131"/>
    </row>
    <row r="3404" spans="9:24" x14ac:dyDescent="0.25">
      <c r="I3404" s="131"/>
      <c r="J3404" s="131"/>
      <c r="K3404" s="131"/>
      <c r="L3404" s="131"/>
      <c r="U3404" s="131"/>
      <c r="V3404" s="131"/>
      <c r="W3404" s="131"/>
      <c r="X3404" s="131"/>
    </row>
    <row r="3405" spans="9:24" x14ac:dyDescent="0.25">
      <c r="I3405" s="131"/>
      <c r="J3405" s="131"/>
      <c r="K3405" s="131"/>
      <c r="L3405" s="131"/>
      <c r="U3405" s="131"/>
      <c r="V3405" s="131"/>
      <c r="W3405" s="131"/>
      <c r="X3405" s="131"/>
    </row>
    <row r="3406" spans="9:24" x14ac:dyDescent="0.25">
      <c r="I3406" s="131"/>
      <c r="J3406" s="131"/>
      <c r="K3406" s="131"/>
      <c r="L3406" s="131"/>
      <c r="U3406" s="131"/>
      <c r="V3406" s="131"/>
      <c r="W3406" s="131"/>
      <c r="X3406" s="131"/>
    </row>
    <row r="3407" spans="9:24" x14ac:dyDescent="0.25">
      <c r="I3407" s="131"/>
      <c r="J3407" s="131"/>
      <c r="K3407" s="131"/>
      <c r="L3407" s="131"/>
      <c r="U3407" s="131"/>
      <c r="V3407" s="131"/>
      <c r="W3407" s="131"/>
      <c r="X3407" s="131"/>
    </row>
    <row r="3408" spans="9:24" x14ac:dyDescent="0.25">
      <c r="I3408" s="131"/>
      <c r="J3408" s="131"/>
      <c r="K3408" s="131"/>
      <c r="L3408" s="131"/>
      <c r="U3408" s="131"/>
      <c r="V3408" s="131"/>
      <c r="W3408" s="131"/>
      <c r="X3408" s="131"/>
    </row>
    <row r="3409" spans="9:24" x14ac:dyDescent="0.25">
      <c r="I3409" s="131"/>
      <c r="J3409" s="131"/>
      <c r="K3409" s="131"/>
      <c r="L3409" s="131"/>
      <c r="U3409" s="131"/>
      <c r="V3409" s="131"/>
      <c r="W3409" s="131"/>
      <c r="X3409" s="131"/>
    </row>
    <row r="3410" spans="9:24" x14ac:dyDescent="0.25">
      <c r="I3410" s="131"/>
      <c r="J3410" s="131"/>
      <c r="K3410" s="131"/>
      <c r="L3410" s="131"/>
      <c r="U3410" s="131"/>
      <c r="V3410" s="131"/>
      <c r="W3410" s="131"/>
      <c r="X3410" s="131"/>
    </row>
    <row r="3411" spans="9:24" x14ac:dyDescent="0.25">
      <c r="I3411" s="131"/>
      <c r="J3411" s="131"/>
      <c r="K3411" s="131"/>
      <c r="L3411" s="131"/>
      <c r="U3411" s="131"/>
      <c r="V3411" s="131"/>
      <c r="W3411" s="131"/>
      <c r="X3411" s="131"/>
    </row>
    <row r="3412" spans="9:24" x14ac:dyDescent="0.25">
      <c r="I3412" s="131"/>
      <c r="J3412" s="131"/>
      <c r="K3412" s="131"/>
      <c r="L3412" s="131"/>
      <c r="U3412" s="131"/>
      <c r="V3412" s="131"/>
      <c r="W3412" s="131"/>
      <c r="X3412" s="131"/>
    </row>
    <row r="3413" spans="9:24" x14ac:dyDescent="0.25">
      <c r="I3413" s="131"/>
      <c r="J3413" s="131"/>
      <c r="K3413" s="131"/>
      <c r="L3413" s="131"/>
      <c r="U3413" s="131"/>
      <c r="V3413" s="131"/>
      <c r="W3413" s="131"/>
      <c r="X3413" s="131"/>
    </row>
    <row r="3414" spans="9:24" x14ac:dyDescent="0.25">
      <c r="I3414" s="131"/>
      <c r="J3414" s="131"/>
      <c r="K3414" s="131"/>
      <c r="L3414" s="131"/>
      <c r="U3414" s="131"/>
      <c r="V3414" s="131"/>
      <c r="W3414" s="131"/>
      <c r="X3414" s="131"/>
    </row>
    <row r="3415" spans="9:24" x14ac:dyDescent="0.25">
      <c r="I3415" s="131"/>
      <c r="J3415" s="131"/>
      <c r="K3415" s="131"/>
      <c r="L3415" s="131"/>
      <c r="U3415" s="131"/>
      <c r="V3415" s="131"/>
      <c r="W3415" s="131"/>
      <c r="X3415" s="131"/>
    </row>
    <row r="3416" spans="9:24" x14ac:dyDescent="0.25">
      <c r="I3416" s="131"/>
      <c r="J3416" s="131"/>
      <c r="K3416" s="131"/>
      <c r="L3416" s="131"/>
      <c r="U3416" s="131"/>
      <c r="V3416" s="131"/>
      <c r="W3416" s="131"/>
      <c r="X3416" s="131"/>
    </row>
    <row r="3417" spans="9:24" x14ac:dyDescent="0.25">
      <c r="I3417" s="131"/>
      <c r="J3417" s="131"/>
      <c r="K3417" s="131"/>
      <c r="L3417" s="131"/>
      <c r="U3417" s="131"/>
      <c r="V3417" s="131"/>
      <c r="W3417" s="131"/>
      <c r="X3417" s="131"/>
    </row>
    <row r="3418" spans="9:24" x14ac:dyDescent="0.25">
      <c r="I3418" s="131"/>
      <c r="J3418" s="131"/>
      <c r="K3418" s="131"/>
      <c r="L3418" s="131"/>
      <c r="U3418" s="131"/>
      <c r="V3418" s="131"/>
      <c r="W3418" s="131"/>
      <c r="X3418" s="131"/>
    </row>
    <row r="3419" spans="9:24" x14ac:dyDescent="0.25">
      <c r="I3419" s="131"/>
      <c r="J3419" s="131"/>
      <c r="K3419" s="131"/>
      <c r="L3419" s="131"/>
      <c r="U3419" s="131"/>
      <c r="V3419" s="131"/>
      <c r="W3419" s="131"/>
      <c r="X3419" s="131"/>
    </row>
    <row r="3420" spans="9:24" x14ac:dyDescent="0.25">
      <c r="I3420" s="131"/>
      <c r="J3420" s="131"/>
      <c r="K3420" s="131"/>
      <c r="L3420" s="131"/>
      <c r="U3420" s="131"/>
      <c r="V3420" s="131"/>
      <c r="W3420" s="131"/>
      <c r="X3420" s="131"/>
    </row>
    <row r="3421" spans="9:24" x14ac:dyDescent="0.25">
      <c r="I3421" s="131"/>
      <c r="J3421" s="131"/>
      <c r="K3421" s="131"/>
      <c r="L3421" s="131"/>
      <c r="U3421" s="131"/>
      <c r="V3421" s="131"/>
      <c r="W3421" s="131"/>
      <c r="X3421" s="131"/>
    </row>
    <row r="3422" spans="9:24" x14ac:dyDescent="0.25">
      <c r="I3422" s="131"/>
      <c r="J3422" s="131"/>
      <c r="K3422" s="131"/>
      <c r="L3422" s="131"/>
      <c r="U3422" s="131"/>
      <c r="V3422" s="131"/>
      <c r="W3422" s="131"/>
      <c r="X3422" s="131"/>
    </row>
    <row r="3423" spans="9:24" x14ac:dyDescent="0.25">
      <c r="I3423" s="131"/>
      <c r="J3423" s="131"/>
      <c r="K3423" s="131"/>
      <c r="L3423" s="131"/>
      <c r="U3423" s="131"/>
      <c r="V3423" s="131"/>
      <c r="W3423" s="131"/>
      <c r="X3423" s="131"/>
    </row>
    <row r="3424" spans="9:24" x14ac:dyDescent="0.25">
      <c r="I3424" s="131"/>
      <c r="J3424" s="131"/>
      <c r="K3424" s="131"/>
      <c r="L3424" s="131"/>
      <c r="U3424" s="131"/>
      <c r="V3424" s="131"/>
      <c r="W3424" s="131"/>
      <c r="X3424" s="131"/>
    </row>
    <row r="3425" spans="9:24" x14ac:dyDescent="0.25">
      <c r="I3425" s="131"/>
      <c r="J3425" s="131"/>
      <c r="K3425" s="131"/>
      <c r="L3425" s="131"/>
      <c r="U3425" s="131"/>
      <c r="V3425" s="131"/>
      <c r="W3425" s="131"/>
      <c r="X3425" s="131"/>
    </row>
    <row r="3426" spans="9:24" x14ac:dyDescent="0.25">
      <c r="I3426" s="131"/>
      <c r="J3426" s="131"/>
      <c r="K3426" s="131"/>
      <c r="L3426" s="131"/>
      <c r="U3426" s="131"/>
      <c r="V3426" s="131"/>
      <c r="W3426" s="131"/>
      <c r="X3426" s="131"/>
    </row>
    <row r="3427" spans="9:24" x14ac:dyDescent="0.25">
      <c r="I3427" s="131"/>
      <c r="J3427" s="131"/>
      <c r="K3427" s="131"/>
      <c r="L3427" s="131"/>
      <c r="U3427" s="131"/>
      <c r="V3427" s="131"/>
      <c r="W3427" s="131"/>
      <c r="X3427" s="131"/>
    </row>
    <row r="3428" spans="9:24" x14ac:dyDescent="0.25">
      <c r="I3428" s="131"/>
      <c r="J3428" s="131"/>
      <c r="K3428" s="131"/>
      <c r="L3428" s="131"/>
      <c r="U3428" s="131"/>
      <c r="V3428" s="131"/>
      <c r="W3428" s="131"/>
      <c r="X3428" s="131"/>
    </row>
    <row r="3429" spans="9:24" x14ac:dyDescent="0.25">
      <c r="I3429" s="131"/>
      <c r="J3429" s="131"/>
      <c r="K3429" s="131"/>
      <c r="L3429" s="131"/>
      <c r="U3429" s="131"/>
      <c r="V3429" s="131"/>
      <c r="W3429" s="131"/>
      <c r="X3429" s="131"/>
    </row>
    <row r="3430" spans="9:24" x14ac:dyDescent="0.25">
      <c r="I3430" s="131"/>
      <c r="J3430" s="131"/>
      <c r="K3430" s="131"/>
      <c r="L3430" s="131"/>
      <c r="U3430" s="131"/>
      <c r="V3430" s="131"/>
      <c r="W3430" s="131"/>
      <c r="X3430" s="131"/>
    </row>
    <row r="3431" spans="9:24" x14ac:dyDescent="0.25">
      <c r="I3431" s="131"/>
      <c r="J3431" s="131"/>
      <c r="K3431" s="131"/>
      <c r="L3431" s="131"/>
      <c r="U3431" s="131"/>
      <c r="V3431" s="131"/>
      <c r="W3431" s="131"/>
      <c r="X3431" s="131"/>
    </row>
    <row r="3432" spans="9:24" x14ac:dyDescent="0.25">
      <c r="I3432" s="131"/>
      <c r="J3432" s="131"/>
      <c r="K3432" s="131"/>
      <c r="L3432" s="131"/>
      <c r="U3432" s="131"/>
      <c r="V3432" s="131"/>
      <c r="W3432" s="131"/>
      <c r="X3432" s="131"/>
    </row>
    <row r="3433" spans="9:24" x14ac:dyDescent="0.25">
      <c r="I3433" s="131"/>
      <c r="J3433" s="131"/>
      <c r="K3433" s="131"/>
      <c r="L3433" s="131"/>
      <c r="U3433" s="131"/>
      <c r="V3433" s="131"/>
      <c r="W3433" s="131"/>
      <c r="X3433" s="131"/>
    </row>
    <row r="3434" spans="9:24" x14ac:dyDescent="0.25">
      <c r="I3434" s="131"/>
      <c r="J3434" s="131"/>
      <c r="K3434" s="131"/>
      <c r="L3434" s="131"/>
      <c r="U3434" s="131"/>
      <c r="V3434" s="131"/>
      <c r="W3434" s="131"/>
      <c r="X3434" s="131"/>
    </row>
    <row r="3435" spans="9:24" x14ac:dyDescent="0.25">
      <c r="I3435" s="131"/>
      <c r="J3435" s="131"/>
      <c r="K3435" s="131"/>
      <c r="L3435" s="131"/>
      <c r="U3435" s="131"/>
      <c r="V3435" s="131"/>
      <c r="W3435" s="131"/>
      <c r="X3435" s="131"/>
    </row>
    <row r="3436" spans="9:24" x14ac:dyDescent="0.25">
      <c r="I3436" s="131"/>
      <c r="J3436" s="131"/>
      <c r="K3436" s="131"/>
      <c r="L3436" s="131"/>
      <c r="U3436" s="131"/>
      <c r="V3436" s="131"/>
      <c r="W3436" s="131"/>
      <c r="X3436" s="131"/>
    </row>
    <row r="3437" spans="9:24" x14ac:dyDescent="0.25">
      <c r="I3437" s="131"/>
      <c r="J3437" s="131"/>
      <c r="K3437" s="131"/>
      <c r="L3437" s="131"/>
      <c r="U3437" s="131"/>
      <c r="V3437" s="131"/>
      <c r="W3437" s="131"/>
      <c r="X3437" s="131"/>
    </row>
    <row r="3438" spans="9:24" x14ac:dyDescent="0.25">
      <c r="I3438" s="131"/>
      <c r="J3438" s="131"/>
      <c r="K3438" s="131"/>
      <c r="L3438" s="131"/>
      <c r="U3438" s="131"/>
      <c r="V3438" s="131"/>
      <c r="W3438" s="131"/>
      <c r="X3438" s="131"/>
    </row>
    <row r="3439" spans="9:24" x14ac:dyDescent="0.25">
      <c r="I3439" s="131"/>
      <c r="J3439" s="131"/>
      <c r="K3439" s="131"/>
      <c r="L3439" s="131"/>
      <c r="U3439" s="131"/>
      <c r="V3439" s="131"/>
      <c r="W3439" s="131"/>
      <c r="X3439" s="131"/>
    </row>
    <row r="3440" spans="9:24" x14ac:dyDescent="0.25">
      <c r="I3440" s="131"/>
      <c r="J3440" s="131"/>
      <c r="K3440" s="131"/>
      <c r="L3440" s="131"/>
      <c r="U3440" s="131"/>
      <c r="V3440" s="131"/>
      <c r="W3440" s="131"/>
      <c r="X3440" s="131"/>
    </row>
    <row r="3441" spans="9:24" x14ac:dyDescent="0.25">
      <c r="I3441" s="131"/>
      <c r="J3441" s="131"/>
      <c r="K3441" s="131"/>
      <c r="L3441" s="131"/>
      <c r="U3441" s="131"/>
      <c r="V3441" s="131"/>
      <c r="W3441" s="131"/>
      <c r="X3441" s="131"/>
    </row>
    <row r="3442" spans="9:24" x14ac:dyDescent="0.25">
      <c r="I3442" s="131"/>
      <c r="J3442" s="131"/>
      <c r="K3442" s="131"/>
      <c r="L3442" s="131"/>
      <c r="U3442" s="131"/>
      <c r="V3442" s="131"/>
      <c r="W3442" s="131"/>
      <c r="X3442" s="131"/>
    </row>
    <row r="3443" spans="9:24" x14ac:dyDescent="0.25">
      <c r="I3443" s="131"/>
      <c r="J3443" s="131"/>
      <c r="K3443" s="131"/>
      <c r="L3443" s="131"/>
      <c r="U3443" s="131"/>
      <c r="V3443" s="131"/>
      <c r="W3443" s="131"/>
      <c r="X3443" s="131"/>
    </row>
    <row r="3444" spans="9:24" x14ac:dyDescent="0.25">
      <c r="I3444" s="131"/>
      <c r="J3444" s="131"/>
      <c r="K3444" s="131"/>
      <c r="L3444" s="131"/>
      <c r="U3444" s="131"/>
      <c r="V3444" s="131"/>
      <c r="W3444" s="131"/>
      <c r="X3444" s="131"/>
    </row>
    <row r="3445" spans="9:24" x14ac:dyDescent="0.25">
      <c r="I3445" s="131"/>
      <c r="J3445" s="131"/>
      <c r="K3445" s="131"/>
      <c r="L3445" s="131"/>
      <c r="U3445" s="131"/>
      <c r="V3445" s="131"/>
      <c r="W3445" s="131"/>
      <c r="X3445" s="131"/>
    </row>
    <row r="3446" spans="9:24" x14ac:dyDescent="0.25">
      <c r="I3446" s="131"/>
      <c r="J3446" s="131"/>
      <c r="K3446" s="131"/>
      <c r="L3446" s="131"/>
      <c r="U3446" s="131"/>
      <c r="V3446" s="131"/>
      <c r="W3446" s="131"/>
      <c r="X3446" s="131"/>
    </row>
    <row r="3447" spans="9:24" x14ac:dyDescent="0.25">
      <c r="I3447" s="131"/>
      <c r="J3447" s="131"/>
      <c r="K3447" s="131"/>
      <c r="L3447" s="131"/>
      <c r="U3447" s="131"/>
      <c r="V3447" s="131"/>
      <c r="W3447" s="131"/>
      <c r="X3447" s="131"/>
    </row>
    <row r="3448" spans="9:24" x14ac:dyDescent="0.25">
      <c r="I3448" s="131"/>
      <c r="J3448" s="131"/>
      <c r="K3448" s="131"/>
      <c r="L3448" s="131"/>
      <c r="U3448" s="131"/>
      <c r="V3448" s="131"/>
      <c r="W3448" s="131"/>
      <c r="X3448" s="131"/>
    </row>
    <row r="3449" spans="9:24" x14ac:dyDescent="0.25">
      <c r="I3449" s="131"/>
      <c r="J3449" s="131"/>
      <c r="K3449" s="131"/>
      <c r="L3449" s="131"/>
      <c r="U3449" s="131"/>
      <c r="V3449" s="131"/>
      <c r="W3449" s="131"/>
      <c r="X3449" s="131"/>
    </row>
    <row r="3450" spans="9:24" x14ac:dyDescent="0.25">
      <c r="I3450" s="131"/>
      <c r="J3450" s="131"/>
      <c r="K3450" s="131"/>
      <c r="L3450" s="131"/>
      <c r="U3450" s="131"/>
      <c r="V3450" s="131"/>
      <c r="W3450" s="131"/>
      <c r="X3450" s="131"/>
    </row>
    <row r="3451" spans="9:24" x14ac:dyDescent="0.25">
      <c r="I3451" s="131"/>
      <c r="J3451" s="131"/>
      <c r="K3451" s="131"/>
      <c r="L3451" s="131"/>
      <c r="U3451" s="131"/>
      <c r="V3451" s="131"/>
      <c r="W3451" s="131"/>
      <c r="X3451" s="131"/>
    </row>
    <row r="3452" spans="9:24" x14ac:dyDescent="0.25">
      <c r="I3452" s="131"/>
      <c r="J3452" s="131"/>
      <c r="K3452" s="131"/>
      <c r="L3452" s="131"/>
      <c r="U3452" s="131"/>
      <c r="V3452" s="131"/>
      <c r="W3452" s="131"/>
      <c r="X3452" s="131"/>
    </row>
    <row r="3453" spans="9:24" x14ac:dyDescent="0.25">
      <c r="I3453" s="131"/>
      <c r="J3453" s="131"/>
      <c r="K3453" s="131"/>
      <c r="L3453" s="131"/>
      <c r="U3453" s="131"/>
      <c r="V3453" s="131"/>
      <c r="W3453" s="131"/>
      <c r="X3453" s="131"/>
    </row>
    <row r="3454" spans="9:24" x14ac:dyDescent="0.25">
      <c r="I3454" s="131"/>
      <c r="J3454" s="131"/>
      <c r="K3454" s="131"/>
      <c r="L3454" s="131"/>
      <c r="U3454" s="131"/>
      <c r="V3454" s="131"/>
      <c r="W3454" s="131"/>
      <c r="X3454" s="131"/>
    </row>
    <row r="3455" spans="9:24" x14ac:dyDescent="0.25">
      <c r="I3455" s="131"/>
      <c r="J3455" s="131"/>
      <c r="K3455" s="131"/>
      <c r="L3455" s="131"/>
      <c r="U3455" s="131"/>
      <c r="V3455" s="131"/>
      <c r="W3455" s="131"/>
      <c r="X3455" s="131"/>
    </row>
    <row r="3456" spans="9:24" x14ac:dyDescent="0.25">
      <c r="I3456" s="131"/>
      <c r="J3456" s="131"/>
      <c r="K3456" s="131"/>
      <c r="L3456" s="131"/>
      <c r="U3456" s="131"/>
      <c r="V3456" s="131"/>
      <c r="W3456" s="131"/>
      <c r="X3456" s="131"/>
    </row>
    <row r="3457" spans="9:24" x14ac:dyDescent="0.25">
      <c r="I3457" s="131"/>
      <c r="J3457" s="131"/>
      <c r="K3457" s="131"/>
      <c r="L3457" s="131"/>
      <c r="U3457" s="131"/>
      <c r="V3457" s="131"/>
      <c r="W3457" s="131"/>
      <c r="X3457" s="131"/>
    </row>
    <row r="3458" spans="9:24" x14ac:dyDescent="0.25">
      <c r="I3458" s="131"/>
      <c r="J3458" s="131"/>
      <c r="K3458" s="131"/>
      <c r="L3458" s="131"/>
      <c r="U3458" s="131"/>
      <c r="V3458" s="131"/>
      <c r="W3458" s="131"/>
      <c r="X3458" s="131"/>
    </row>
    <row r="3459" spans="9:24" x14ac:dyDescent="0.25">
      <c r="I3459" s="131"/>
      <c r="J3459" s="131"/>
      <c r="K3459" s="131"/>
      <c r="L3459" s="131"/>
      <c r="U3459" s="131"/>
      <c r="V3459" s="131"/>
      <c r="W3459" s="131"/>
      <c r="X3459" s="131"/>
    </row>
    <row r="3460" spans="9:24" x14ac:dyDescent="0.25">
      <c r="I3460" s="131"/>
      <c r="J3460" s="131"/>
      <c r="K3460" s="131"/>
      <c r="L3460" s="131"/>
      <c r="U3460" s="131"/>
      <c r="V3460" s="131"/>
      <c r="W3460" s="131"/>
      <c r="X3460" s="131"/>
    </row>
    <row r="3461" spans="9:24" x14ac:dyDescent="0.25">
      <c r="I3461" s="131"/>
      <c r="J3461" s="131"/>
      <c r="K3461" s="131"/>
      <c r="L3461" s="131"/>
      <c r="U3461" s="131"/>
      <c r="V3461" s="131"/>
      <c r="W3461" s="131"/>
      <c r="X3461" s="131"/>
    </row>
    <row r="3462" spans="9:24" x14ac:dyDescent="0.25">
      <c r="I3462" s="131"/>
      <c r="J3462" s="131"/>
      <c r="K3462" s="131"/>
      <c r="L3462" s="131"/>
      <c r="U3462" s="131"/>
      <c r="V3462" s="131"/>
      <c r="W3462" s="131"/>
      <c r="X3462" s="131"/>
    </row>
    <row r="3463" spans="9:24" x14ac:dyDescent="0.25">
      <c r="I3463" s="131"/>
      <c r="J3463" s="131"/>
      <c r="K3463" s="131"/>
      <c r="L3463" s="131"/>
      <c r="U3463" s="131"/>
      <c r="V3463" s="131"/>
      <c r="W3463" s="131"/>
      <c r="X3463" s="131"/>
    </row>
    <row r="3464" spans="9:24" x14ac:dyDescent="0.25">
      <c r="I3464" s="131"/>
      <c r="J3464" s="131"/>
      <c r="K3464" s="131"/>
      <c r="L3464" s="131"/>
      <c r="U3464" s="131"/>
      <c r="V3464" s="131"/>
      <c r="W3464" s="131"/>
      <c r="X3464" s="131"/>
    </row>
    <row r="3465" spans="9:24" x14ac:dyDescent="0.25">
      <c r="I3465" s="131"/>
      <c r="J3465" s="131"/>
      <c r="K3465" s="131"/>
      <c r="L3465" s="131"/>
      <c r="U3465" s="131"/>
      <c r="V3465" s="131"/>
      <c r="W3465" s="131"/>
      <c r="X3465" s="131"/>
    </row>
    <row r="3466" spans="9:24" x14ac:dyDescent="0.25">
      <c r="I3466" s="131"/>
      <c r="J3466" s="131"/>
      <c r="K3466" s="131"/>
      <c r="L3466" s="131"/>
      <c r="U3466" s="131"/>
      <c r="V3466" s="131"/>
      <c r="W3466" s="131"/>
      <c r="X3466" s="131"/>
    </row>
    <row r="3467" spans="9:24" x14ac:dyDescent="0.25">
      <c r="I3467" s="131"/>
      <c r="J3467" s="131"/>
      <c r="K3467" s="131"/>
      <c r="L3467" s="131"/>
      <c r="U3467" s="131"/>
      <c r="V3467" s="131"/>
      <c r="W3467" s="131"/>
      <c r="X3467" s="131"/>
    </row>
    <row r="3468" spans="9:24" x14ac:dyDescent="0.25">
      <c r="I3468" s="131"/>
      <c r="J3468" s="131"/>
      <c r="K3468" s="131"/>
      <c r="L3468" s="131"/>
      <c r="U3468" s="131"/>
      <c r="V3468" s="131"/>
      <c r="W3468" s="131"/>
      <c r="X3468" s="131"/>
    </row>
    <row r="3469" spans="9:24" x14ac:dyDescent="0.25">
      <c r="I3469" s="131"/>
      <c r="J3469" s="131"/>
      <c r="K3469" s="131"/>
      <c r="L3469" s="131"/>
      <c r="U3469" s="131"/>
      <c r="V3469" s="131"/>
      <c r="W3469" s="131"/>
      <c r="X3469" s="131"/>
    </row>
    <row r="3470" spans="9:24" x14ac:dyDescent="0.25">
      <c r="I3470" s="131"/>
      <c r="J3470" s="131"/>
      <c r="K3470" s="131"/>
      <c r="L3470" s="131"/>
      <c r="U3470" s="131"/>
      <c r="V3470" s="131"/>
      <c r="W3470" s="131"/>
      <c r="X3470" s="131"/>
    </row>
    <row r="3471" spans="9:24" x14ac:dyDescent="0.25">
      <c r="I3471" s="131"/>
      <c r="J3471" s="131"/>
      <c r="K3471" s="131"/>
      <c r="L3471" s="131"/>
      <c r="U3471" s="131"/>
      <c r="V3471" s="131"/>
      <c r="W3471" s="131"/>
      <c r="X3471" s="131"/>
    </row>
    <row r="3472" spans="9:24" x14ac:dyDescent="0.25">
      <c r="I3472" s="131"/>
      <c r="J3472" s="131"/>
      <c r="K3472" s="131"/>
      <c r="L3472" s="131"/>
      <c r="U3472" s="131"/>
      <c r="V3472" s="131"/>
      <c r="W3472" s="131"/>
      <c r="X3472" s="131"/>
    </row>
    <row r="3473" spans="9:24" x14ac:dyDescent="0.25">
      <c r="I3473" s="131"/>
      <c r="J3473" s="131"/>
      <c r="K3473" s="131"/>
      <c r="L3473" s="131"/>
      <c r="U3473" s="131"/>
      <c r="V3473" s="131"/>
      <c r="W3473" s="131"/>
      <c r="X3473" s="131"/>
    </row>
    <row r="3474" spans="9:24" x14ac:dyDescent="0.25">
      <c r="I3474" s="131"/>
      <c r="J3474" s="131"/>
      <c r="K3474" s="131"/>
      <c r="L3474" s="131"/>
      <c r="U3474" s="131"/>
      <c r="V3474" s="131"/>
      <c r="W3474" s="131"/>
      <c r="X3474" s="131"/>
    </row>
    <row r="3475" spans="9:24" x14ac:dyDescent="0.25">
      <c r="I3475" s="131"/>
      <c r="J3475" s="131"/>
      <c r="K3475" s="131"/>
      <c r="L3475" s="131"/>
      <c r="U3475" s="131"/>
      <c r="V3475" s="131"/>
      <c r="W3475" s="131"/>
      <c r="X3475" s="131"/>
    </row>
    <row r="3476" spans="9:24" x14ac:dyDescent="0.25">
      <c r="I3476" s="131"/>
      <c r="J3476" s="131"/>
      <c r="K3476" s="131"/>
      <c r="L3476" s="131"/>
      <c r="U3476" s="131"/>
      <c r="V3476" s="131"/>
      <c r="W3476" s="131"/>
      <c r="X3476" s="131"/>
    </row>
    <row r="3477" spans="9:24" x14ac:dyDescent="0.25">
      <c r="I3477" s="131"/>
      <c r="J3477" s="131"/>
      <c r="K3477" s="131"/>
      <c r="L3477" s="131"/>
      <c r="U3477" s="131"/>
      <c r="V3477" s="131"/>
      <c r="W3477" s="131"/>
      <c r="X3477" s="131"/>
    </row>
    <row r="3478" spans="9:24" x14ac:dyDescent="0.25">
      <c r="I3478" s="131"/>
      <c r="J3478" s="131"/>
      <c r="K3478" s="131"/>
      <c r="L3478" s="131"/>
      <c r="U3478" s="131"/>
      <c r="V3478" s="131"/>
      <c r="W3478" s="131"/>
      <c r="X3478" s="131"/>
    </row>
    <row r="3479" spans="9:24" x14ac:dyDescent="0.25">
      <c r="I3479" s="131"/>
      <c r="J3479" s="131"/>
      <c r="K3479" s="131"/>
      <c r="L3479" s="131"/>
      <c r="U3479" s="131"/>
      <c r="V3479" s="131"/>
      <c r="W3479" s="131"/>
      <c r="X3479" s="131"/>
    </row>
    <row r="3480" spans="9:24" x14ac:dyDescent="0.25">
      <c r="I3480" s="131"/>
      <c r="J3480" s="131"/>
      <c r="K3480" s="131"/>
      <c r="L3480" s="131"/>
      <c r="U3480" s="131"/>
      <c r="V3480" s="131"/>
      <c r="W3480" s="131"/>
      <c r="X3480" s="131"/>
    </row>
    <row r="3481" spans="9:24" x14ac:dyDescent="0.25">
      <c r="I3481" s="131"/>
      <c r="J3481" s="131"/>
      <c r="K3481" s="131"/>
      <c r="L3481" s="131"/>
      <c r="U3481" s="131"/>
      <c r="V3481" s="131"/>
      <c r="W3481" s="131"/>
      <c r="X3481" s="131"/>
    </row>
    <row r="3482" spans="9:24" x14ac:dyDescent="0.25">
      <c r="I3482" s="131"/>
      <c r="J3482" s="131"/>
      <c r="K3482" s="131"/>
      <c r="L3482" s="131"/>
      <c r="U3482" s="131"/>
      <c r="V3482" s="131"/>
      <c r="W3482" s="131"/>
      <c r="X3482" s="131"/>
    </row>
    <row r="3483" spans="9:24" x14ac:dyDescent="0.25">
      <c r="I3483" s="131"/>
      <c r="J3483" s="131"/>
      <c r="K3483" s="131"/>
      <c r="L3483" s="131"/>
      <c r="U3483" s="131"/>
      <c r="V3483" s="131"/>
      <c r="W3483" s="131"/>
      <c r="X3483" s="131"/>
    </row>
    <row r="3484" spans="9:24" x14ac:dyDescent="0.25">
      <c r="I3484" s="131"/>
      <c r="J3484" s="131"/>
      <c r="K3484" s="131"/>
      <c r="L3484" s="131"/>
      <c r="U3484" s="131"/>
      <c r="V3484" s="131"/>
      <c r="W3484" s="131"/>
      <c r="X3484" s="131"/>
    </row>
    <row r="3485" spans="9:24" x14ac:dyDescent="0.25">
      <c r="I3485" s="131"/>
      <c r="J3485" s="131"/>
      <c r="K3485" s="131"/>
      <c r="L3485" s="131"/>
      <c r="U3485" s="131"/>
      <c r="V3485" s="131"/>
      <c r="W3485" s="131"/>
      <c r="X3485" s="131"/>
    </row>
    <row r="3486" spans="9:24" x14ac:dyDescent="0.25">
      <c r="I3486" s="131"/>
      <c r="J3486" s="131"/>
      <c r="K3486" s="131"/>
      <c r="L3486" s="131"/>
      <c r="U3486" s="131"/>
      <c r="V3486" s="131"/>
      <c r="W3486" s="131"/>
      <c r="X3486" s="131"/>
    </row>
    <row r="3487" spans="9:24" x14ac:dyDescent="0.25">
      <c r="I3487" s="131"/>
      <c r="J3487" s="131"/>
      <c r="K3487" s="131"/>
      <c r="L3487" s="131"/>
      <c r="U3487" s="131"/>
      <c r="V3487" s="131"/>
      <c r="W3487" s="131"/>
      <c r="X3487" s="131"/>
    </row>
    <row r="3488" spans="9:24" x14ac:dyDescent="0.25">
      <c r="I3488" s="131"/>
      <c r="J3488" s="131"/>
      <c r="K3488" s="131"/>
      <c r="L3488" s="131"/>
      <c r="U3488" s="131"/>
      <c r="V3488" s="131"/>
      <c r="W3488" s="131"/>
      <c r="X3488" s="131"/>
    </row>
    <row r="3489" spans="9:24" x14ac:dyDescent="0.25">
      <c r="I3489" s="131"/>
      <c r="J3489" s="131"/>
      <c r="K3489" s="131"/>
      <c r="L3489" s="131"/>
      <c r="U3489" s="131"/>
      <c r="V3489" s="131"/>
      <c r="W3489" s="131"/>
      <c r="X3489" s="131"/>
    </row>
    <row r="3490" spans="9:24" x14ac:dyDescent="0.25">
      <c r="I3490" s="131"/>
      <c r="J3490" s="131"/>
      <c r="K3490" s="131"/>
      <c r="L3490" s="131"/>
      <c r="U3490" s="131"/>
      <c r="V3490" s="131"/>
      <c r="W3490" s="131"/>
      <c r="X3490" s="131"/>
    </row>
    <row r="3491" spans="9:24" x14ac:dyDescent="0.25">
      <c r="I3491" s="131"/>
      <c r="J3491" s="131"/>
      <c r="K3491" s="131"/>
      <c r="L3491" s="131"/>
      <c r="U3491" s="131"/>
      <c r="V3491" s="131"/>
      <c r="W3491" s="131"/>
      <c r="X3491" s="131"/>
    </row>
    <row r="3492" spans="9:24" x14ac:dyDescent="0.25">
      <c r="I3492" s="131"/>
      <c r="J3492" s="131"/>
      <c r="K3492" s="131"/>
      <c r="L3492" s="131"/>
      <c r="U3492" s="131"/>
      <c r="V3492" s="131"/>
      <c r="W3492" s="131"/>
      <c r="X3492" s="131"/>
    </row>
    <row r="3493" spans="9:24" x14ac:dyDescent="0.25">
      <c r="I3493" s="131"/>
      <c r="J3493" s="131"/>
      <c r="K3493" s="131"/>
      <c r="L3493" s="131"/>
      <c r="U3493" s="131"/>
      <c r="V3493" s="131"/>
      <c r="W3493" s="131"/>
      <c r="X3493" s="131"/>
    </row>
    <row r="3494" spans="9:24" x14ac:dyDescent="0.25">
      <c r="I3494" s="131"/>
      <c r="J3494" s="131"/>
      <c r="K3494" s="131"/>
      <c r="L3494" s="131"/>
      <c r="U3494" s="131"/>
      <c r="V3494" s="131"/>
      <c r="W3494" s="131"/>
      <c r="X3494" s="131"/>
    </row>
    <row r="3495" spans="9:24" x14ac:dyDescent="0.25">
      <c r="I3495" s="131"/>
      <c r="J3495" s="131"/>
      <c r="K3495" s="131"/>
      <c r="L3495" s="131"/>
      <c r="U3495" s="131"/>
      <c r="V3495" s="131"/>
      <c r="W3495" s="131"/>
      <c r="X3495" s="131"/>
    </row>
    <row r="3496" spans="9:24" x14ac:dyDescent="0.25">
      <c r="I3496" s="131"/>
      <c r="J3496" s="131"/>
      <c r="K3496" s="131"/>
      <c r="L3496" s="131"/>
      <c r="U3496" s="131"/>
      <c r="V3496" s="131"/>
      <c r="W3496" s="131"/>
      <c r="X3496" s="131"/>
    </row>
    <row r="3497" spans="9:24" x14ac:dyDescent="0.25">
      <c r="I3497" s="131"/>
      <c r="J3497" s="131"/>
      <c r="K3497" s="131"/>
      <c r="L3497" s="131"/>
      <c r="U3497" s="131"/>
      <c r="V3497" s="131"/>
      <c r="W3497" s="131"/>
      <c r="X3497" s="131"/>
    </row>
    <row r="3498" spans="9:24" x14ac:dyDescent="0.25">
      <c r="I3498" s="131"/>
      <c r="J3498" s="131"/>
      <c r="K3498" s="131"/>
      <c r="L3498" s="131"/>
      <c r="U3498" s="131"/>
      <c r="V3498" s="131"/>
      <c r="W3498" s="131"/>
      <c r="X3498" s="131"/>
    </row>
    <row r="3499" spans="9:24" x14ac:dyDescent="0.25">
      <c r="I3499" s="131"/>
      <c r="J3499" s="131"/>
      <c r="K3499" s="131"/>
      <c r="L3499" s="131"/>
      <c r="U3499" s="131"/>
      <c r="V3499" s="131"/>
      <c r="W3499" s="131"/>
      <c r="X3499" s="131"/>
    </row>
    <row r="3500" spans="9:24" x14ac:dyDescent="0.25">
      <c r="I3500" s="131"/>
      <c r="J3500" s="131"/>
      <c r="K3500" s="131"/>
      <c r="L3500" s="131"/>
      <c r="U3500" s="131"/>
      <c r="V3500" s="131"/>
      <c r="W3500" s="131"/>
      <c r="X3500" s="131"/>
    </row>
    <row r="3501" spans="9:24" x14ac:dyDescent="0.25">
      <c r="I3501" s="131"/>
      <c r="J3501" s="131"/>
      <c r="K3501" s="131"/>
      <c r="L3501" s="131"/>
      <c r="U3501" s="131"/>
      <c r="V3501" s="131"/>
      <c r="W3501" s="131"/>
      <c r="X3501" s="131"/>
    </row>
    <row r="3502" spans="9:24" x14ac:dyDescent="0.25">
      <c r="I3502" s="131"/>
      <c r="J3502" s="131"/>
      <c r="K3502" s="131"/>
      <c r="L3502" s="131"/>
      <c r="U3502" s="131"/>
      <c r="V3502" s="131"/>
      <c r="W3502" s="131"/>
      <c r="X3502" s="131"/>
    </row>
    <row r="3503" spans="9:24" x14ac:dyDescent="0.25">
      <c r="I3503" s="131"/>
      <c r="J3503" s="131"/>
      <c r="K3503" s="131"/>
      <c r="L3503" s="131"/>
      <c r="U3503" s="131"/>
      <c r="V3503" s="131"/>
      <c r="W3503" s="131"/>
      <c r="X3503" s="131"/>
    </row>
    <row r="3504" spans="9:24" x14ac:dyDescent="0.25">
      <c r="I3504" s="131"/>
      <c r="J3504" s="131"/>
      <c r="K3504" s="131"/>
      <c r="L3504" s="131"/>
      <c r="U3504" s="131"/>
      <c r="V3504" s="131"/>
      <c r="W3504" s="131"/>
      <c r="X3504" s="131"/>
    </row>
    <row r="3505" spans="9:24" x14ac:dyDescent="0.25">
      <c r="I3505" s="131"/>
      <c r="J3505" s="131"/>
      <c r="K3505" s="131"/>
      <c r="L3505" s="131"/>
      <c r="U3505" s="131"/>
      <c r="V3505" s="131"/>
      <c r="W3505" s="131"/>
      <c r="X3505" s="131"/>
    </row>
    <row r="3506" spans="9:24" x14ac:dyDescent="0.25">
      <c r="I3506" s="131"/>
      <c r="J3506" s="131"/>
      <c r="K3506" s="131"/>
      <c r="L3506" s="131"/>
      <c r="U3506" s="131"/>
      <c r="V3506" s="131"/>
      <c r="W3506" s="131"/>
      <c r="X3506" s="131"/>
    </row>
    <row r="3507" spans="9:24" x14ac:dyDescent="0.25">
      <c r="I3507" s="131"/>
      <c r="J3507" s="131"/>
      <c r="K3507" s="131"/>
      <c r="L3507" s="131"/>
      <c r="U3507" s="131"/>
      <c r="V3507" s="131"/>
      <c r="W3507" s="131"/>
      <c r="X3507" s="131"/>
    </row>
    <row r="3508" spans="9:24" x14ac:dyDescent="0.25">
      <c r="I3508" s="131"/>
      <c r="J3508" s="131"/>
      <c r="K3508" s="131"/>
      <c r="L3508" s="131"/>
      <c r="U3508" s="131"/>
      <c r="V3508" s="131"/>
      <c r="W3508" s="131"/>
      <c r="X3508" s="131"/>
    </row>
    <row r="3509" spans="9:24" x14ac:dyDescent="0.25">
      <c r="I3509" s="131"/>
      <c r="J3509" s="131"/>
      <c r="K3509" s="131"/>
      <c r="L3509" s="131"/>
      <c r="U3509" s="131"/>
      <c r="V3509" s="131"/>
      <c r="W3509" s="131"/>
      <c r="X3509" s="131"/>
    </row>
    <row r="3510" spans="9:24" x14ac:dyDescent="0.25">
      <c r="I3510" s="131"/>
      <c r="J3510" s="131"/>
      <c r="K3510" s="131"/>
      <c r="L3510" s="131"/>
      <c r="U3510" s="131"/>
      <c r="V3510" s="131"/>
      <c r="W3510" s="131"/>
      <c r="X3510" s="131"/>
    </row>
    <row r="3511" spans="9:24" x14ac:dyDescent="0.25">
      <c r="I3511" s="131"/>
      <c r="J3511" s="131"/>
      <c r="K3511" s="131"/>
      <c r="L3511" s="131"/>
      <c r="U3511" s="131"/>
      <c r="V3511" s="131"/>
      <c r="W3511" s="131"/>
      <c r="X3511" s="131"/>
    </row>
    <row r="3512" spans="9:24" x14ac:dyDescent="0.25">
      <c r="I3512" s="131"/>
      <c r="J3512" s="131"/>
      <c r="K3512" s="131"/>
      <c r="L3512" s="131"/>
      <c r="U3512" s="131"/>
      <c r="V3512" s="131"/>
      <c r="W3512" s="131"/>
      <c r="X3512" s="131"/>
    </row>
    <row r="3513" spans="9:24" x14ac:dyDescent="0.25">
      <c r="I3513" s="131"/>
      <c r="J3513" s="131"/>
      <c r="K3513" s="131"/>
      <c r="L3513" s="131"/>
      <c r="U3513" s="131"/>
      <c r="V3513" s="131"/>
      <c r="W3513" s="131"/>
      <c r="X3513" s="131"/>
    </row>
    <row r="3514" spans="9:24" x14ac:dyDescent="0.25">
      <c r="I3514" s="131"/>
      <c r="J3514" s="131"/>
      <c r="K3514" s="131"/>
      <c r="L3514" s="131"/>
      <c r="U3514" s="131"/>
      <c r="V3514" s="131"/>
      <c r="W3514" s="131"/>
      <c r="X3514" s="131"/>
    </row>
    <row r="3515" spans="9:24" x14ac:dyDescent="0.25">
      <c r="I3515" s="131"/>
      <c r="J3515" s="131"/>
      <c r="K3515" s="131"/>
      <c r="L3515" s="131"/>
      <c r="U3515" s="131"/>
      <c r="V3515" s="131"/>
      <c r="W3515" s="131"/>
      <c r="X3515" s="131"/>
    </row>
    <row r="3516" spans="9:24" x14ac:dyDescent="0.25">
      <c r="I3516" s="131"/>
      <c r="J3516" s="131"/>
      <c r="K3516" s="131"/>
      <c r="L3516" s="131"/>
      <c r="U3516" s="131"/>
      <c r="V3516" s="131"/>
      <c r="W3516" s="131"/>
      <c r="X3516" s="131"/>
    </row>
    <row r="3517" spans="9:24" x14ac:dyDescent="0.25">
      <c r="I3517" s="131"/>
      <c r="J3517" s="131"/>
      <c r="K3517" s="131"/>
      <c r="L3517" s="131"/>
      <c r="U3517" s="131"/>
      <c r="V3517" s="131"/>
      <c r="W3517" s="131"/>
      <c r="X3517" s="131"/>
    </row>
    <row r="3518" spans="9:24" x14ac:dyDescent="0.25">
      <c r="I3518" s="131"/>
      <c r="J3518" s="131"/>
      <c r="K3518" s="131"/>
      <c r="L3518" s="131"/>
      <c r="U3518" s="131"/>
      <c r="V3518" s="131"/>
      <c r="W3518" s="131"/>
      <c r="X3518" s="131"/>
    </row>
    <row r="3519" spans="9:24" x14ac:dyDescent="0.25">
      <c r="I3519" s="131"/>
      <c r="J3519" s="131"/>
      <c r="K3519" s="131"/>
      <c r="L3519" s="131"/>
      <c r="U3519" s="131"/>
      <c r="V3519" s="131"/>
      <c r="W3519" s="131"/>
      <c r="X3519" s="131"/>
    </row>
    <row r="3520" spans="9:24" x14ac:dyDescent="0.25">
      <c r="I3520" s="131"/>
      <c r="J3520" s="131"/>
      <c r="K3520" s="131"/>
      <c r="L3520" s="131"/>
      <c r="U3520" s="131"/>
      <c r="V3520" s="131"/>
      <c r="W3520" s="131"/>
      <c r="X3520" s="131"/>
    </row>
    <row r="3521" spans="9:24" x14ac:dyDescent="0.25">
      <c r="I3521" s="131"/>
      <c r="J3521" s="131"/>
      <c r="K3521" s="131"/>
      <c r="L3521" s="131"/>
      <c r="U3521" s="131"/>
      <c r="V3521" s="131"/>
      <c r="W3521" s="131"/>
      <c r="X3521" s="131"/>
    </row>
    <row r="3522" spans="9:24" x14ac:dyDescent="0.25">
      <c r="I3522" s="131"/>
      <c r="J3522" s="131"/>
      <c r="K3522" s="131"/>
      <c r="L3522" s="131"/>
      <c r="U3522" s="131"/>
      <c r="V3522" s="131"/>
      <c r="W3522" s="131"/>
      <c r="X3522" s="131"/>
    </row>
    <row r="3523" spans="9:24" x14ac:dyDescent="0.25">
      <c r="I3523" s="131"/>
      <c r="J3523" s="131"/>
      <c r="K3523" s="131"/>
      <c r="L3523" s="131"/>
      <c r="U3523" s="131"/>
      <c r="V3523" s="131"/>
      <c r="W3523" s="131"/>
      <c r="X3523" s="131"/>
    </row>
    <row r="3524" spans="9:24" x14ac:dyDescent="0.25">
      <c r="I3524" s="131"/>
      <c r="J3524" s="131"/>
      <c r="K3524" s="131"/>
      <c r="L3524" s="131"/>
      <c r="U3524" s="131"/>
      <c r="V3524" s="131"/>
      <c r="W3524" s="131"/>
      <c r="X3524" s="131"/>
    </row>
    <row r="3525" spans="9:24" x14ac:dyDescent="0.25">
      <c r="I3525" s="131"/>
      <c r="J3525" s="131"/>
      <c r="K3525" s="131"/>
      <c r="L3525" s="131"/>
      <c r="U3525" s="131"/>
      <c r="V3525" s="131"/>
      <c r="W3525" s="131"/>
      <c r="X3525" s="131"/>
    </row>
    <row r="3526" spans="9:24" x14ac:dyDescent="0.25">
      <c r="I3526" s="131"/>
      <c r="J3526" s="131"/>
      <c r="K3526" s="131"/>
      <c r="L3526" s="131"/>
      <c r="U3526" s="131"/>
      <c r="V3526" s="131"/>
      <c r="W3526" s="131"/>
      <c r="X3526" s="131"/>
    </row>
    <row r="3527" spans="9:24" x14ac:dyDescent="0.25">
      <c r="I3527" s="131"/>
      <c r="J3527" s="131"/>
      <c r="K3527" s="131"/>
      <c r="L3527" s="131"/>
      <c r="U3527" s="131"/>
      <c r="V3527" s="131"/>
      <c r="W3527" s="131"/>
      <c r="X3527" s="131"/>
    </row>
    <row r="3528" spans="9:24" x14ac:dyDescent="0.25">
      <c r="I3528" s="131"/>
      <c r="J3528" s="131"/>
      <c r="K3528" s="131"/>
      <c r="L3528" s="131"/>
      <c r="U3528" s="131"/>
      <c r="V3528" s="131"/>
      <c r="W3528" s="131"/>
      <c r="X3528" s="131"/>
    </row>
    <row r="3529" spans="9:24" x14ac:dyDescent="0.25">
      <c r="I3529" s="131"/>
      <c r="J3529" s="131"/>
      <c r="K3529" s="131"/>
      <c r="L3529" s="131"/>
      <c r="U3529" s="131"/>
      <c r="V3529" s="131"/>
      <c r="W3529" s="131"/>
      <c r="X3529" s="131"/>
    </row>
    <row r="3530" spans="9:24" x14ac:dyDescent="0.25">
      <c r="I3530" s="131"/>
      <c r="J3530" s="131"/>
      <c r="K3530" s="131"/>
      <c r="L3530" s="131"/>
      <c r="U3530" s="131"/>
      <c r="V3530" s="131"/>
      <c r="W3530" s="131"/>
      <c r="X3530" s="131"/>
    </row>
    <row r="3531" spans="9:24" x14ac:dyDescent="0.25">
      <c r="I3531" s="131"/>
      <c r="J3531" s="131"/>
      <c r="K3531" s="131"/>
      <c r="L3531" s="131"/>
      <c r="U3531" s="131"/>
      <c r="V3531" s="131"/>
      <c r="W3531" s="131"/>
      <c r="X3531" s="131"/>
    </row>
    <row r="3532" spans="9:24" x14ac:dyDescent="0.25">
      <c r="I3532" s="131"/>
      <c r="J3532" s="131"/>
      <c r="K3532" s="131"/>
      <c r="L3532" s="131"/>
      <c r="U3532" s="131"/>
      <c r="V3532" s="131"/>
      <c r="W3532" s="131"/>
      <c r="X3532" s="131"/>
    </row>
    <row r="3533" spans="9:24" x14ac:dyDescent="0.25">
      <c r="I3533" s="131"/>
      <c r="J3533" s="131"/>
      <c r="K3533" s="131"/>
      <c r="L3533" s="131"/>
      <c r="U3533" s="131"/>
      <c r="V3533" s="131"/>
      <c r="W3533" s="131"/>
      <c r="X3533" s="131"/>
    </row>
    <row r="3534" spans="9:24" x14ac:dyDescent="0.25">
      <c r="I3534" s="131"/>
      <c r="J3534" s="131"/>
      <c r="K3534" s="131"/>
      <c r="L3534" s="131"/>
      <c r="U3534" s="131"/>
      <c r="V3534" s="131"/>
      <c r="W3534" s="131"/>
      <c r="X3534" s="131"/>
    </row>
    <row r="3535" spans="9:24" x14ac:dyDescent="0.25">
      <c r="I3535" s="131"/>
      <c r="J3535" s="131"/>
      <c r="K3535" s="131"/>
      <c r="L3535" s="131"/>
      <c r="U3535" s="131"/>
      <c r="V3535" s="131"/>
      <c r="W3535" s="131"/>
      <c r="X3535" s="131"/>
    </row>
    <row r="3536" spans="9:24" x14ac:dyDescent="0.25">
      <c r="I3536" s="131"/>
      <c r="J3536" s="131"/>
      <c r="K3536" s="131"/>
      <c r="L3536" s="131"/>
      <c r="U3536" s="131"/>
      <c r="V3536" s="131"/>
      <c r="W3536" s="131"/>
      <c r="X3536" s="131"/>
    </row>
    <row r="3537" spans="9:24" x14ac:dyDescent="0.25">
      <c r="I3537" s="131"/>
      <c r="J3537" s="131"/>
      <c r="K3537" s="131"/>
      <c r="L3537" s="131"/>
      <c r="U3537" s="131"/>
      <c r="V3537" s="131"/>
      <c r="W3537" s="131"/>
      <c r="X3537" s="131"/>
    </row>
    <row r="3538" spans="9:24" x14ac:dyDescent="0.25">
      <c r="I3538" s="131"/>
      <c r="J3538" s="131"/>
      <c r="K3538" s="131"/>
      <c r="L3538" s="131"/>
      <c r="U3538" s="131"/>
      <c r="V3538" s="131"/>
      <c r="W3538" s="131"/>
      <c r="X3538" s="131"/>
    </row>
    <row r="3539" spans="9:24" x14ac:dyDescent="0.25">
      <c r="I3539" s="131"/>
      <c r="J3539" s="131"/>
      <c r="K3539" s="131"/>
      <c r="L3539" s="131"/>
      <c r="U3539" s="131"/>
      <c r="V3539" s="131"/>
      <c r="W3539" s="131"/>
      <c r="X3539" s="131"/>
    </row>
    <row r="3540" spans="9:24" x14ac:dyDescent="0.25">
      <c r="I3540" s="131"/>
      <c r="J3540" s="131"/>
      <c r="K3540" s="131"/>
      <c r="L3540" s="131"/>
      <c r="U3540" s="131"/>
      <c r="V3540" s="131"/>
      <c r="W3540" s="131"/>
      <c r="X3540" s="131"/>
    </row>
    <row r="3541" spans="9:24" x14ac:dyDescent="0.25">
      <c r="I3541" s="131"/>
      <c r="J3541" s="131"/>
      <c r="K3541" s="131"/>
      <c r="L3541" s="131"/>
      <c r="U3541" s="131"/>
      <c r="V3541" s="131"/>
      <c r="W3541" s="131"/>
      <c r="X3541" s="131"/>
    </row>
    <row r="3542" spans="9:24" x14ac:dyDescent="0.25">
      <c r="I3542" s="131"/>
      <c r="J3542" s="131"/>
      <c r="K3542" s="131"/>
      <c r="L3542" s="131"/>
      <c r="U3542" s="131"/>
      <c r="V3542" s="131"/>
      <c r="W3542" s="131"/>
      <c r="X3542" s="131"/>
    </row>
    <row r="3543" spans="9:24" x14ac:dyDescent="0.25">
      <c r="I3543" s="131"/>
      <c r="J3543" s="131"/>
      <c r="K3543" s="131"/>
      <c r="L3543" s="131"/>
      <c r="U3543" s="131"/>
      <c r="V3543" s="131"/>
      <c r="W3543" s="131"/>
      <c r="X3543" s="131"/>
    </row>
    <row r="3544" spans="9:24" x14ac:dyDescent="0.25">
      <c r="I3544" s="131"/>
      <c r="J3544" s="131"/>
      <c r="K3544" s="131"/>
      <c r="L3544" s="131"/>
      <c r="U3544" s="131"/>
      <c r="V3544" s="131"/>
      <c r="W3544" s="131"/>
      <c r="X3544" s="131"/>
    </row>
    <row r="3545" spans="9:24" x14ac:dyDescent="0.25">
      <c r="I3545" s="131"/>
      <c r="J3545" s="131"/>
      <c r="K3545" s="131"/>
      <c r="L3545" s="131"/>
      <c r="U3545" s="131"/>
      <c r="V3545" s="131"/>
      <c r="W3545" s="131"/>
      <c r="X3545" s="131"/>
    </row>
    <row r="3546" spans="9:24" x14ac:dyDescent="0.25">
      <c r="I3546" s="131"/>
      <c r="J3546" s="131"/>
      <c r="K3546" s="131"/>
      <c r="L3546" s="131"/>
      <c r="U3546" s="131"/>
      <c r="V3546" s="131"/>
      <c r="W3546" s="131"/>
      <c r="X3546" s="131"/>
    </row>
    <row r="3547" spans="9:24" x14ac:dyDescent="0.25">
      <c r="I3547" s="131"/>
      <c r="J3547" s="131"/>
      <c r="K3547" s="131"/>
      <c r="L3547" s="131"/>
      <c r="U3547" s="131"/>
      <c r="V3547" s="131"/>
      <c r="W3547" s="131"/>
      <c r="X3547" s="131"/>
    </row>
    <row r="3548" spans="9:24" x14ac:dyDescent="0.25">
      <c r="I3548" s="131"/>
      <c r="J3548" s="131"/>
      <c r="K3548" s="131"/>
      <c r="L3548" s="131"/>
      <c r="U3548" s="131"/>
      <c r="V3548" s="131"/>
      <c r="W3548" s="131"/>
      <c r="X3548" s="131"/>
    </row>
    <row r="3549" spans="9:24" x14ac:dyDescent="0.25">
      <c r="I3549" s="131"/>
      <c r="J3549" s="131"/>
      <c r="K3549" s="131"/>
      <c r="L3549" s="131"/>
      <c r="U3549" s="131"/>
      <c r="V3549" s="131"/>
      <c r="W3549" s="131"/>
      <c r="X3549" s="131"/>
    </row>
    <row r="3550" spans="9:24" x14ac:dyDescent="0.25">
      <c r="I3550" s="131"/>
      <c r="J3550" s="131"/>
      <c r="K3550" s="131"/>
      <c r="L3550" s="131"/>
      <c r="U3550" s="131"/>
      <c r="V3550" s="131"/>
      <c r="W3550" s="131"/>
      <c r="X3550" s="131"/>
    </row>
    <row r="3551" spans="9:24" x14ac:dyDescent="0.25">
      <c r="I3551" s="131"/>
      <c r="J3551" s="131"/>
      <c r="K3551" s="131"/>
      <c r="L3551" s="131"/>
      <c r="U3551" s="131"/>
      <c r="V3551" s="131"/>
      <c r="W3551" s="131"/>
      <c r="X3551" s="131"/>
    </row>
    <row r="3552" spans="9:24" x14ac:dyDescent="0.25">
      <c r="I3552" s="131"/>
      <c r="J3552" s="131"/>
      <c r="K3552" s="131"/>
      <c r="L3552" s="131"/>
      <c r="U3552" s="131"/>
      <c r="V3552" s="131"/>
      <c r="W3552" s="131"/>
      <c r="X3552" s="131"/>
    </row>
    <row r="3553" spans="9:24" x14ac:dyDescent="0.25">
      <c r="I3553" s="131"/>
      <c r="J3553" s="131"/>
      <c r="K3553" s="131"/>
      <c r="L3553" s="131"/>
      <c r="U3553" s="131"/>
      <c r="V3553" s="131"/>
      <c r="W3553" s="131"/>
      <c r="X3553" s="131"/>
    </row>
    <row r="3554" spans="9:24" x14ac:dyDescent="0.25">
      <c r="I3554" s="131"/>
      <c r="J3554" s="131"/>
      <c r="K3554" s="131"/>
      <c r="L3554" s="131"/>
      <c r="U3554" s="131"/>
      <c r="V3554" s="131"/>
      <c r="W3554" s="131"/>
      <c r="X3554" s="131"/>
    </row>
    <row r="3555" spans="9:24" x14ac:dyDescent="0.25">
      <c r="I3555" s="131"/>
      <c r="J3555" s="131"/>
      <c r="K3555" s="131"/>
      <c r="L3555" s="131"/>
      <c r="U3555" s="131"/>
      <c r="V3555" s="131"/>
      <c r="W3555" s="131"/>
      <c r="X3555" s="131"/>
    </row>
    <row r="3556" spans="9:24" x14ac:dyDescent="0.25">
      <c r="I3556" s="131"/>
      <c r="J3556" s="131"/>
      <c r="K3556" s="131"/>
      <c r="L3556" s="131"/>
      <c r="U3556" s="131"/>
      <c r="V3556" s="131"/>
      <c r="W3556" s="131"/>
      <c r="X3556" s="131"/>
    </row>
    <row r="3557" spans="9:24" x14ac:dyDescent="0.25">
      <c r="I3557" s="131"/>
      <c r="J3557" s="131"/>
      <c r="K3557" s="131"/>
      <c r="L3557" s="131"/>
      <c r="U3557" s="131"/>
      <c r="V3557" s="131"/>
      <c r="W3557" s="131"/>
      <c r="X3557" s="131"/>
    </row>
    <row r="3558" spans="9:24" x14ac:dyDescent="0.25">
      <c r="I3558" s="131"/>
      <c r="J3558" s="131"/>
      <c r="K3558" s="131"/>
      <c r="L3558" s="131"/>
      <c r="U3558" s="131"/>
      <c r="V3558" s="131"/>
      <c r="W3558" s="131"/>
      <c r="X3558" s="131"/>
    </row>
    <row r="3559" spans="9:24" x14ac:dyDescent="0.25">
      <c r="I3559" s="131"/>
      <c r="J3559" s="131"/>
      <c r="K3559" s="131"/>
      <c r="L3559" s="131"/>
      <c r="U3559" s="131"/>
      <c r="V3559" s="131"/>
      <c r="W3559" s="131"/>
      <c r="X3559" s="131"/>
    </row>
    <row r="3560" spans="9:24" x14ac:dyDescent="0.25">
      <c r="I3560" s="131"/>
      <c r="J3560" s="131"/>
      <c r="K3560" s="131"/>
      <c r="L3560" s="131"/>
      <c r="U3560" s="131"/>
      <c r="V3560" s="131"/>
      <c r="W3560" s="131"/>
      <c r="X3560" s="131"/>
    </row>
    <row r="3561" spans="9:24" x14ac:dyDescent="0.25">
      <c r="I3561" s="131"/>
      <c r="J3561" s="131"/>
      <c r="K3561" s="131"/>
      <c r="L3561" s="131"/>
      <c r="U3561" s="131"/>
      <c r="V3561" s="131"/>
      <c r="W3561" s="131"/>
      <c r="X3561" s="131"/>
    </row>
    <row r="3562" spans="9:24" x14ac:dyDescent="0.25">
      <c r="I3562" s="131"/>
      <c r="J3562" s="131"/>
      <c r="K3562" s="131"/>
      <c r="L3562" s="131"/>
      <c r="U3562" s="131"/>
      <c r="V3562" s="131"/>
      <c r="W3562" s="131"/>
      <c r="X3562" s="131"/>
    </row>
    <row r="3563" spans="9:24" x14ac:dyDescent="0.25">
      <c r="I3563" s="131"/>
      <c r="J3563" s="131"/>
      <c r="K3563" s="131"/>
      <c r="L3563" s="131"/>
      <c r="U3563" s="131"/>
      <c r="V3563" s="131"/>
      <c r="W3563" s="131"/>
      <c r="X3563" s="131"/>
    </row>
    <row r="3564" spans="9:24" x14ac:dyDescent="0.25">
      <c r="I3564" s="131"/>
      <c r="J3564" s="131"/>
      <c r="K3564" s="131"/>
      <c r="L3564" s="131"/>
      <c r="U3564" s="131"/>
      <c r="V3564" s="131"/>
      <c r="W3564" s="131"/>
      <c r="X3564" s="131"/>
    </row>
    <row r="3565" spans="9:24" x14ac:dyDescent="0.25">
      <c r="I3565" s="131"/>
      <c r="J3565" s="131"/>
      <c r="K3565" s="131"/>
      <c r="L3565" s="131"/>
      <c r="U3565" s="131"/>
      <c r="V3565" s="131"/>
      <c r="W3565" s="131"/>
      <c r="X3565" s="131"/>
    </row>
    <row r="3566" spans="9:24" x14ac:dyDescent="0.25">
      <c r="I3566" s="131"/>
      <c r="J3566" s="131"/>
      <c r="K3566" s="131"/>
      <c r="L3566" s="131"/>
      <c r="U3566" s="131"/>
      <c r="V3566" s="131"/>
      <c r="W3566" s="131"/>
      <c r="X3566" s="131"/>
    </row>
    <row r="3567" spans="9:24" x14ac:dyDescent="0.25">
      <c r="I3567" s="131"/>
      <c r="J3567" s="131"/>
      <c r="K3567" s="131"/>
      <c r="L3567" s="131"/>
      <c r="U3567" s="131"/>
      <c r="V3567" s="131"/>
      <c r="W3567" s="131"/>
      <c r="X3567" s="131"/>
    </row>
    <row r="3568" spans="9:24" x14ac:dyDescent="0.25">
      <c r="I3568" s="131"/>
      <c r="J3568" s="131"/>
      <c r="K3568" s="131"/>
      <c r="L3568" s="131"/>
      <c r="U3568" s="131"/>
      <c r="V3568" s="131"/>
      <c r="W3568" s="131"/>
      <c r="X3568" s="131"/>
    </row>
    <row r="3569" spans="9:24" x14ac:dyDescent="0.25">
      <c r="I3569" s="131"/>
      <c r="J3569" s="131"/>
      <c r="K3569" s="131"/>
      <c r="L3569" s="131"/>
      <c r="U3569" s="131"/>
      <c r="V3569" s="131"/>
      <c r="W3569" s="131"/>
      <c r="X3569" s="131"/>
    </row>
    <row r="3570" spans="9:24" x14ac:dyDescent="0.25">
      <c r="I3570" s="131"/>
      <c r="J3570" s="131"/>
      <c r="K3570" s="131"/>
      <c r="L3570" s="131"/>
      <c r="U3570" s="131"/>
      <c r="V3570" s="131"/>
      <c r="W3570" s="131"/>
      <c r="X3570" s="131"/>
    </row>
    <row r="3571" spans="9:24" x14ac:dyDescent="0.25">
      <c r="I3571" s="131"/>
      <c r="J3571" s="131"/>
      <c r="K3571" s="131"/>
      <c r="L3571" s="131"/>
      <c r="U3571" s="131"/>
      <c r="V3571" s="131"/>
      <c r="W3571" s="131"/>
      <c r="X3571" s="131"/>
    </row>
    <row r="3572" spans="9:24" x14ac:dyDescent="0.25">
      <c r="I3572" s="131"/>
      <c r="J3572" s="131"/>
      <c r="K3572" s="131"/>
      <c r="L3572" s="131"/>
      <c r="U3572" s="131"/>
      <c r="V3572" s="131"/>
      <c r="W3572" s="131"/>
      <c r="X3572" s="131"/>
    </row>
    <row r="3573" spans="9:24" x14ac:dyDescent="0.25">
      <c r="I3573" s="131"/>
      <c r="J3573" s="131"/>
      <c r="K3573" s="131"/>
      <c r="L3573" s="131"/>
      <c r="U3573" s="131"/>
      <c r="V3573" s="131"/>
      <c r="W3573" s="131"/>
      <c r="X3573" s="131"/>
    </row>
    <row r="3574" spans="9:24" x14ac:dyDescent="0.25">
      <c r="I3574" s="131"/>
      <c r="J3574" s="131"/>
      <c r="K3574" s="131"/>
      <c r="L3574" s="131"/>
      <c r="U3574" s="131"/>
      <c r="V3574" s="131"/>
      <c r="W3574" s="131"/>
      <c r="X3574" s="131"/>
    </row>
    <row r="3575" spans="9:24" x14ac:dyDescent="0.25">
      <c r="I3575" s="131"/>
      <c r="J3575" s="131"/>
      <c r="K3575" s="131"/>
      <c r="L3575" s="131"/>
      <c r="U3575" s="131"/>
      <c r="V3575" s="131"/>
      <c r="W3575" s="131"/>
      <c r="X3575" s="131"/>
    </row>
    <row r="3576" spans="9:24" x14ac:dyDescent="0.25">
      <c r="I3576" s="131"/>
      <c r="J3576" s="131"/>
      <c r="K3576" s="131"/>
      <c r="L3576" s="131"/>
      <c r="U3576" s="131"/>
      <c r="V3576" s="131"/>
      <c r="W3576" s="131"/>
      <c r="X3576" s="131"/>
    </row>
    <row r="3577" spans="9:24" x14ac:dyDescent="0.25">
      <c r="I3577" s="131"/>
      <c r="J3577" s="131"/>
      <c r="K3577" s="131"/>
      <c r="L3577" s="131"/>
      <c r="U3577" s="131"/>
      <c r="V3577" s="131"/>
      <c r="W3577" s="131"/>
      <c r="X3577" s="131"/>
    </row>
    <row r="3578" spans="9:24" x14ac:dyDescent="0.25">
      <c r="I3578" s="131"/>
      <c r="J3578" s="131"/>
      <c r="K3578" s="131"/>
      <c r="L3578" s="131"/>
      <c r="U3578" s="131"/>
      <c r="V3578" s="131"/>
      <c r="W3578" s="131"/>
      <c r="X3578" s="131"/>
    </row>
    <row r="3579" spans="9:24" x14ac:dyDescent="0.25">
      <c r="I3579" s="131"/>
      <c r="J3579" s="131"/>
      <c r="K3579" s="131"/>
      <c r="L3579" s="131"/>
      <c r="U3579" s="131"/>
      <c r="V3579" s="131"/>
      <c r="W3579" s="131"/>
      <c r="X3579" s="131"/>
    </row>
    <row r="3580" spans="9:24" x14ac:dyDescent="0.25">
      <c r="I3580" s="131"/>
      <c r="J3580" s="131"/>
      <c r="K3580" s="131"/>
      <c r="L3580" s="131"/>
      <c r="U3580" s="131"/>
      <c r="V3580" s="131"/>
      <c r="W3580" s="131"/>
      <c r="X3580" s="131"/>
    </row>
    <row r="3581" spans="9:24" x14ac:dyDescent="0.25">
      <c r="I3581" s="131"/>
      <c r="J3581" s="131"/>
      <c r="K3581" s="131"/>
      <c r="L3581" s="131"/>
      <c r="U3581" s="131"/>
      <c r="V3581" s="131"/>
      <c r="W3581" s="131"/>
      <c r="X3581" s="131"/>
    </row>
    <row r="3582" spans="9:24" x14ac:dyDescent="0.25">
      <c r="I3582" s="131"/>
      <c r="J3582" s="131"/>
      <c r="K3582" s="131"/>
      <c r="L3582" s="131"/>
      <c r="U3582" s="131"/>
      <c r="V3582" s="131"/>
      <c r="W3582" s="131"/>
      <c r="X3582" s="131"/>
    </row>
    <row r="3583" spans="9:24" x14ac:dyDescent="0.25">
      <c r="I3583" s="131"/>
      <c r="J3583" s="131"/>
      <c r="K3583" s="131"/>
      <c r="L3583" s="131"/>
      <c r="U3583" s="131"/>
      <c r="V3583" s="131"/>
      <c r="W3583" s="131"/>
      <c r="X3583" s="131"/>
    </row>
    <row r="3584" spans="9:24" x14ac:dyDescent="0.25">
      <c r="I3584" s="131"/>
      <c r="J3584" s="131"/>
      <c r="K3584" s="131"/>
      <c r="L3584" s="131"/>
      <c r="U3584" s="131"/>
      <c r="V3584" s="131"/>
      <c r="W3584" s="131"/>
      <c r="X3584" s="131"/>
    </row>
    <row r="3585" spans="9:24" x14ac:dyDescent="0.25">
      <c r="I3585" s="131"/>
      <c r="J3585" s="131"/>
      <c r="K3585" s="131"/>
      <c r="L3585" s="131"/>
      <c r="U3585" s="131"/>
      <c r="V3585" s="131"/>
      <c r="W3585" s="131"/>
      <c r="X3585" s="131"/>
    </row>
    <row r="3586" spans="9:24" x14ac:dyDescent="0.25">
      <c r="I3586" s="131"/>
      <c r="J3586" s="131"/>
      <c r="K3586" s="131"/>
      <c r="L3586" s="131"/>
      <c r="U3586" s="131"/>
      <c r="V3586" s="131"/>
      <c r="W3586" s="131"/>
      <c r="X3586" s="131"/>
    </row>
    <row r="3587" spans="9:24" x14ac:dyDescent="0.25">
      <c r="I3587" s="131"/>
      <c r="J3587" s="131"/>
      <c r="K3587" s="131"/>
      <c r="L3587" s="131"/>
      <c r="U3587" s="131"/>
      <c r="V3587" s="131"/>
      <c r="W3587" s="131"/>
      <c r="X3587" s="131"/>
    </row>
    <row r="3588" spans="9:24" x14ac:dyDescent="0.25">
      <c r="I3588" s="131"/>
      <c r="J3588" s="131"/>
      <c r="K3588" s="131"/>
      <c r="L3588" s="131"/>
      <c r="U3588" s="131"/>
      <c r="V3588" s="131"/>
      <c r="W3588" s="131"/>
      <c r="X3588" s="131"/>
    </row>
    <row r="3589" spans="9:24" x14ac:dyDescent="0.25">
      <c r="I3589" s="131"/>
      <c r="J3589" s="131"/>
      <c r="K3589" s="131"/>
      <c r="L3589" s="131"/>
      <c r="U3589" s="131"/>
      <c r="V3589" s="131"/>
      <c r="W3589" s="131"/>
      <c r="X3589" s="131"/>
    </row>
    <row r="3590" spans="9:24" x14ac:dyDescent="0.25">
      <c r="I3590" s="131"/>
      <c r="J3590" s="131"/>
      <c r="K3590" s="131"/>
      <c r="L3590" s="131"/>
      <c r="U3590" s="131"/>
      <c r="V3590" s="131"/>
      <c r="W3590" s="131"/>
      <c r="X3590" s="131"/>
    </row>
    <row r="3591" spans="9:24" x14ac:dyDescent="0.25">
      <c r="I3591" s="131"/>
      <c r="J3591" s="131"/>
      <c r="K3591" s="131"/>
      <c r="L3591" s="131"/>
      <c r="U3591" s="131"/>
      <c r="V3591" s="131"/>
      <c r="W3591" s="131"/>
      <c r="X3591" s="131"/>
    </row>
    <row r="3592" spans="9:24" x14ac:dyDescent="0.25">
      <c r="I3592" s="131"/>
      <c r="J3592" s="131"/>
      <c r="K3592" s="131"/>
      <c r="L3592" s="131"/>
      <c r="U3592" s="131"/>
      <c r="V3592" s="131"/>
      <c r="W3592" s="131"/>
      <c r="X3592" s="131"/>
    </row>
    <row r="3593" spans="9:24" x14ac:dyDescent="0.25">
      <c r="I3593" s="131"/>
      <c r="J3593" s="131"/>
      <c r="K3593" s="131"/>
      <c r="L3593" s="131"/>
      <c r="U3593" s="131"/>
      <c r="V3593" s="131"/>
      <c r="W3593" s="131"/>
      <c r="X3593" s="131"/>
    </row>
    <row r="3594" spans="9:24" x14ac:dyDescent="0.25">
      <c r="I3594" s="131"/>
      <c r="J3594" s="131"/>
      <c r="K3594" s="131"/>
      <c r="L3594" s="131"/>
      <c r="U3594" s="131"/>
      <c r="V3594" s="131"/>
      <c r="W3594" s="131"/>
      <c r="X3594" s="131"/>
    </row>
    <row r="3595" spans="9:24" x14ac:dyDescent="0.25">
      <c r="I3595" s="131"/>
      <c r="J3595" s="131"/>
      <c r="K3595" s="131"/>
      <c r="L3595" s="131"/>
      <c r="U3595" s="131"/>
      <c r="V3595" s="131"/>
      <c r="W3595" s="131"/>
      <c r="X3595" s="131"/>
    </row>
    <row r="3596" spans="9:24" x14ac:dyDescent="0.25">
      <c r="I3596" s="131"/>
      <c r="J3596" s="131"/>
      <c r="K3596" s="131"/>
      <c r="L3596" s="131"/>
      <c r="U3596" s="131"/>
      <c r="V3596" s="131"/>
      <c r="W3596" s="131"/>
      <c r="X3596" s="131"/>
    </row>
    <row r="3597" spans="9:24" x14ac:dyDescent="0.25">
      <c r="I3597" s="131"/>
      <c r="J3597" s="131"/>
      <c r="K3597" s="131"/>
      <c r="L3597" s="131"/>
      <c r="U3597" s="131"/>
      <c r="V3597" s="131"/>
      <c r="W3597" s="131"/>
      <c r="X3597" s="131"/>
    </row>
    <row r="3598" spans="9:24" x14ac:dyDescent="0.25">
      <c r="I3598" s="131"/>
      <c r="J3598" s="131"/>
      <c r="K3598" s="131"/>
      <c r="L3598" s="131"/>
      <c r="U3598" s="131"/>
      <c r="V3598" s="131"/>
      <c r="W3598" s="131"/>
      <c r="X3598" s="131"/>
    </row>
    <row r="3599" spans="9:24" x14ac:dyDescent="0.25">
      <c r="I3599" s="131"/>
      <c r="J3599" s="131"/>
      <c r="K3599" s="131"/>
      <c r="L3599" s="131"/>
      <c r="U3599" s="131"/>
      <c r="V3599" s="131"/>
      <c r="W3599" s="131"/>
      <c r="X3599" s="131"/>
    </row>
    <row r="3600" spans="9:24" x14ac:dyDescent="0.25">
      <c r="I3600" s="131"/>
      <c r="J3600" s="131"/>
      <c r="K3600" s="131"/>
      <c r="L3600" s="131"/>
      <c r="U3600" s="131"/>
      <c r="V3600" s="131"/>
      <c r="W3600" s="131"/>
      <c r="X3600" s="131"/>
    </row>
    <row r="3601" spans="9:24" x14ac:dyDescent="0.25">
      <c r="I3601" s="131"/>
      <c r="J3601" s="131"/>
      <c r="K3601" s="131"/>
      <c r="L3601" s="131"/>
      <c r="U3601" s="131"/>
      <c r="V3601" s="131"/>
      <c r="W3601" s="131"/>
      <c r="X3601" s="131"/>
    </row>
    <row r="3602" spans="9:24" x14ac:dyDescent="0.25">
      <c r="I3602" s="131"/>
      <c r="J3602" s="131"/>
      <c r="K3602" s="131"/>
      <c r="L3602" s="131"/>
      <c r="U3602" s="131"/>
      <c r="V3602" s="131"/>
      <c r="W3602" s="131"/>
      <c r="X3602" s="131"/>
    </row>
    <row r="3603" spans="9:24" x14ac:dyDescent="0.25">
      <c r="I3603" s="131"/>
      <c r="J3603" s="131"/>
      <c r="K3603" s="131"/>
      <c r="L3603" s="131"/>
      <c r="U3603" s="131"/>
      <c r="V3603" s="131"/>
      <c r="W3603" s="131"/>
      <c r="X3603" s="131"/>
    </row>
    <row r="3604" spans="9:24" x14ac:dyDescent="0.25">
      <c r="I3604" s="131"/>
      <c r="J3604" s="131"/>
      <c r="K3604" s="131"/>
      <c r="L3604" s="131"/>
      <c r="U3604" s="131"/>
      <c r="V3604" s="131"/>
      <c r="W3604" s="131"/>
      <c r="X3604" s="131"/>
    </row>
    <row r="3605" spans="9:24" x14ac:dyDescent="0.25">
      <c r="I3605" s="131"/>
      <c r="J3605" s="131"/>
      <c r="K3605" s="131"/>
      <c r="L3605" s="131"/>
      <c r="U3605" s="131"/>
      <c r="V3605" s="131"/>
      <c r="W3605" s="131"/>
      <c r="X3605" s="131"/>
    </row>
    <row r="3606" spans="9:24" x14ac:dyDescent="0.25">
      <c r="I3606" s="131"/>
      <c r="J3606" s="131"/>
      <c r="K3606" s="131"/>
      <c r="L3606" s="131"/>
      <c r="U3606" s="131"/>
      <c r="V3606" s="131"/>
      <c r="W3606" s="131"/>
      <c r="X3606" s="131"/>
    </row>
    <row r="3607" spans="9:24" x14ac:dyDescent="0.25">
      <c r="I3607" s="131"/>
      <c r="J3607" s="131"/>
      <c r="K3607" s="131"/>
      <c r="L3607" s="131"/>
      <c r="U3607" s="131"/>
      <c r="V3607" s="131"/>
      <c r="W3607" s="131"/>
      <c r="X3607" s="131"/>
    </row>
    <row r="3608" spans="9:24" x14ac:dyDescent="0.25">
      <c r="I3608" s="131"/>
      <c r="J3608" s="131"/>
      <c r="K3608" s="131"/>
      <c r="L3608" s="131"/>
      <c r="U3608" s="131"/>
      <c r="V3608" s="131"/>
      <c r="W3608" s="131"/>
      <c r="X3608" s="131"/>
    </row>
    <row r="3609" spans="9:24" x14ac:dyDescent="0.25">
      <c r="I3609" s="131"/>
      <c r="J3609" s="131"/>
      <c r="K3609" s="131"/>
      <c r="L3609" s="131"/>
      <c r="U3609" s="131"/>
      <c r="V3609" s="131"/>
      <c r="W3609" s="131"/>
      <c r="X3609" s="131"/>
    </row>
    <row r="3610" spans="9:24" x14ac:dyDescent="0.25">
      <c r="I3610" s="131"/>
      <c r="J3610" s="131"/>
      <c r="K3610" s="131"/>
      <c r="L3610" s="131"/>
      <c r="U3610" s="131"/>
      <c r="V3610" s="131"/>
      <c r="W3610" s="131"/>
      <c r="X3610" s="131"/>
    </row>
    <row r="3611" spans="9:24" x14ac:dyDescent="0.25">
      <c r="I3611" s="131"/>
      <c r="J3611" s="131"/>
      <c r="K3611" s="131"/>
      <c r="L3611" s="131"/>
      <c r="U3611" s="131"/>
      <c r="V3611" s="131"/>
      <c r="W3611" s="131"/>
      <c r="X3611" s="131"/>
    </row>
    <row r="3612" spans="9:24" x14ac:dyDescent="0.25">
      <c r="I3612" s="131"/>
      <c r="J3612" s="131"/>
      <c r="K3612" s="131"/>
      <c r="L3612" s="131"/>
      <c r="U3612" s="131"/>
      <c r="V3612" s="131"/>
      <c r="W3612" s="131"/>
      <c r="X3612" s="131"/>
    </row>
    <row r="3613" spans="9:24" x14ac:dyDescent="0.25">
      <c r="I3613" s="131"/>
      <c r="J3613" s="131"/>
      <c r="K3613" s="131"/>
      <c r="L3613" s="131"/>
      <c r="U3613" s="131"/>
      <c r="V3613" s="131"/>
      <c r="W3613" s="131"/>
      <c r="X3613" s="131"/>
    </row>
    <row r="3614" spans="9:24" x14ac:dyDescent="0.25">
      <c r="I3614" s="131"/>
      <c r="J3614" s="131"/>
      <c r="K3614" s="131"/>
      <c r="L3614" s="131"/>
      <c r="U3614" s="131"/>
      <c r="V3614" s="131"/>
      <c r="W3614" s="131"/>
      <c r="X3614" s="131"/>
    </row>
    <row r="3615" spans="9:24" x14ac:dyDescent="0.25">
      <c r="I3615" s="131"/>
      <c r="J3615" s="131"/>
      <c r="K3615" s="131"/>
      <c r="L3615" s="131"/>
      <c r="U3615" s="131"/>
      <c r="V3615" s="131"/>
      <c r="W3615" s="131"/>
      <c r="X3615" s="131"/>
    </row>
    <row r="3616" spans="9:24" x14ac:dyDescent="0.25">
      <c r="I3616" s="131"/>
      <c r="J3616" s="131"/>
      <c r="K3616" s="131"/>
      <c r="L3616" s="131"/>
      <c r="U3616" s="131"/>
      <c r="V3616" s="131"/>
      <c r="W3616" s="131"/>
      <c r="X3616" s="131"/>
    </row>
    <row r="3617" spans="9:24" x14ac:dyDescent="0.25">
      <c r="I3617" s="131"/>
      <c r="J3617" s="131"/>
      <c r="K3617" s="131"/>
      <c r="L3617" s="131"/>
      <c r="U3617" s="131"/>
      <c r="V3617" s="131"/>
      <c r="W3617" s="131"/>
      <c r="X3617" s="131"/>
    </row>
    <row r="3618" spans="9:24" x14ac:dyDescent="0.25">
      <c r="I3618" s="131"/>
      <c r="J3618" s="131"/>
      <c r="K3618" s="131"/>
      <c r="L3618" s="131"/>
      <c r="U3618" s="131"/>
      <c r="V3618" s="131"/>
      <c r="W3618" s="131"/>
      <c r="X3618" s="131"/>
    </row>
    <row r="3619" spans="9:24" x14ac:dyDescent="0.25">
      <c r="I3619" s="131"/>
      <c r="J3619" s="131"/>
      <c r="K3619" s="131"/>
      <c r="L3619" s="131"/>
      <c r="U3619" s="131"/>
      <c r="V3619" s="131"/>
      <c r="W3619" s="131"/>
      <c r="X3619" s="131"/>
    </row>
    <row r="3620" spans="9:24" x14ac:dyDescent="0.25">
      <c r="I3620" s="131"/>
      <c r="J3620" s="131"/>
      <c r="K3620" s="131"/>
      <c r="L3620" s="131"/>
      <c r="U3620" s="131"/>
      <c r="V3620" s="131"/>
      <c r="W3620" s="131"/>
      <c r="X3620" s="131"/>
    </row>
    <row r="3621" spans="9:24" x14ac:dyDescent="0.25">
      <c r="I3621" s="131"/>
      <c r="J3621" s="131"/>
      <c r="K3621" s="131"/>
      <c r="L3621" s="131"/>
      <c r="U3621" s="131"/>
      <c r="V3621" s="131"/>
      <c r="W3621" s="131"/>
      <c r="X3621" s="131"/>
    </row>
    <row r="3622" spans="9:24" x14ac:dyDescent="0.25">
      <c r="I3622" s="131"/>
      <c r="J3622" s="131"/>
      <c r="K3622" s="131"/>
      <c r="L3622" s="131"/>
      <c r="U3622" s="131"/>
      <c r="V3622" s="131"/>
      <c r="W3622" s="131"/>
      <c r="X3622" s="131"/>
    </row>
    <row r="3623" spans="9:24" x14ac:dyDescent="0.25">
      <c r="I3623" s="131"/>
      <c r="J3623" s="131"/>
      <c r="K3623" s="131"/>
      <c r="L3623" s="131"/>
      <c r="U3623" s="131"/>
      <c r="V3623" s="131"/>
      <c r="W3623" s="131"/>
      <c r="X3623" s="131"/>
    </row>
    <row r="3624" spans="9:24" x14ac:dyDescent="0.25">
      <c r="I3624" s="131"/>
      <c r="J3624" s="131"/>
      <c r="K3624" s="131"/>
      <c r="L3624" s="131"/>
      <c r="U3624" s="131"/>
      <c r="V3624" s="131"/>
      <c r="W3624" s="131"/>
      <c r="X3624" s="131"/>
    </row>
    <row r="3625" spans="9:24" x14ac:dyDescent="0.25">
      <c r="I3625" s="131"/>
      <c r="J3625" s="131"/>
      <c r="K3625" s="131"/>
      <c r="L3625" s="131"/>
      <c r="U3625" s="131"/>
      <c r="V3625" s="131"/>
      <c r="W3625" s="131"/>
      <c r="X3625" s="131"/>
    </row>
    <row r="3626" spans="9:24" x14ac:dyDescent="0.25">
      <c r="I3626" s="131"/>
      <c r="J3626" s="131"/>
      <c r="K3626" s="131"/>
      <c r="L3626" s="131"/>
      <c r="U3626" s="131"/>
      <c r="V3626" s="131"/>
      <c r="W3626" s="131"/>
      <c r="X3626" s="131"/>
    </row>
    <row r="3627" spans="9:24" x14ac:dyDescent="0.25">
      <c r="I3627" s="131"/>
      <c r="J3627" s="131"/>
      <c r="K3627" s="131"/>
      <c r="L3627" s="131"/>
      <c r="U3627" s="131"/>
      <c r="V3627" s="131"/>
      <c r="W3627" s="131"/>
      <c r="X3627" s="131"/>
    </row>
    <row r="3628" spans="9:24" x14ac:dyDescent="0.25">
      <c r="I3628" s="131"/>
      <c r="J3628" s="131"/>
      <c r="K3628" s="131"/>
      <c r="L3628" s="131"/>
      <c r="U3628" s="131"/>
      <c r="V3628" s="131"/>
      <c r="W3628" s="131"/>
      <c r="X3628" s="131"/>
    </row>
    <row r="3629" spans="9:24" x14ac:dyDescent="0.25">
      <c r="I3629" s="131"/>
      <c r="J3629" s="131"/>
      <c r="K3629" s="131"/>
      <c r="L3629" s="131"/>
      <c r="U3629" s="131"/>
      <c r="V3629" s="131"/>
      <c r="W3629" s="131"/>
      <c r="X3629" s="131"/>
    </row>
    <row r="3630" spans="9:24" x14ac:dyDescent="0.25">
      <c r="I3630" s="131"/>
      <c r="J3630" s="131"/>
      <c r="K3630" s="131"/>
      <c r="L3630" s="131"/>
      <c r="U3630" s="131"/>
      <c r="V3630" s="131"/>
      <c r="W3630" s="131"/>
      <c r="X3630" s="131"/>
    </row>
    <row r="3631" spans="9:24" x14ac:dyDescent="0.25">
      <c r="I3631" s="131"/>
      <c r="J3631" s="131"/>
      <c r="K3631" s="131"/>
      <c r="L3631" s="131"/>
      <c r="U3631" s="131"/>
      <c r="V3631" s="131"/>
      <c r="W3631" s="131"/>
      <c r="X3631" s="131"/>
    </row>
    <row r="3632" spans="9:24" x14ac:dyDescent="0.25">
      <c r="I3632" s="131"/>
      <c r="J3632" s="131"/>
      <c r="K3632" s="131"/>
      <c r="L3632" s="131"/>
      <c r="U3632" s="131"/>
      <c r="V3632" s="131"/>
      <c r="W3632" s="131"/>
      <c r="X3632" s="131"/>
    </row>
    <row r="3633" spans="9:24" x14ac:dyDescent="0.25">
      <c r="I3633" s="131"/>
      <c r="J3633" s="131"/>
      <c r="K3633" s="131"/>
      <c r="L3633" s="131"/>
      <c r="U3633" s="131"/>
      <c r="V3633" s="131"/>
      <c r="W3633" s="131"/>
      <c r="X3633" s="131"/>
    </row>
    <row r="3634" spans="9:24" x14ac:dyDescent="0.25">
      <c r="I3634" s="131"/>
      <c r="J3634" s="131"/>
      <c r="K3634" s="131"/>
      <c r="L3634" s="131"/>
      <c r="U3634" s="131"/>
      <c r="V3634" s="131"/>
      <c r="W3634" s="131"/>
      <c r="X3634" s="131"/>
    </row>
    <row r="3635" spans="9:24" x14ac:dyDescent="0.25">
      <c r="I3635" s="131"/>
      <c r="J3635" s="131"/>
      <c r="K3635" s="131"/>
      <c r="L3635" s="131"/>
      <c r="U3635" s="131"/>
      <c r="V3635" s="131"/>
      <c r="W3635" s="131"/>
      <c r="X3635" s="131"/>
    </row>
    <row r="3636" spans="9:24" x14ac:dyDescent="0.25">
      <c r="I3636" s="131"/>
      <c r="J3636" s="131"/>
      <c r="K3636" s="131"/>
      <c r="L3636" s="131"/>
      <c r="U3636" s="131"/>
      <c r="V3636" s="131"/>
      <c r="W3636" s="131"/>
      <c r="X3636" s="131"/>
    </row>
    <row r="3637" spans="9:24" x14ac:dyDescent="0.25">
      <c r="I3637" s="131"/>
      <c r="J3637" s="131"/>
      <c r="K3637" s="131"/>
      <c r="L3637" s="131"/>
      <c r="U3637" s="131"/>
      <c r="V3637" s="131"/>
      <c r="W3637" s="131"/>
      <c r="X3637" s="131"/>
    </row>
    <row r="3638" spans="9:24" x14ac:dyDescent="0.25">
      <c r="I3638" s="131"/>
      <c r="J3638" s="131"/>
      <c r="K3638" s="131"/>
      <c r="L3638" s="131"/>
      <c r="U3638" s="131"/>
      <c r="V3638" s="131"/>
      <c r="W3638" s="131"/>
      <c r="X3638" s="131"/>
    </row>
    <row r="3639" spans="9:24" x14ac:dyDescent="0.25">
      <c r="I3639" s="131"/>
      <c r="J3639" s="131"/>
      <c r="K3639" s="131"/>
      <c r="L3639" s="131"/>
      <c r="U3639" s="131"/>
      <c r="V3639" s="131"/>
      <c r="W3639" s="131"/>
      <c r="X3639" s="131"/>
    </row>
    <row r="3640" spans="9:24" x14ac:dyDescent="0.25">
      <c r="I3640" s="131"/>
      <c r="J3640" s="131"/>
      <c r="K3640" s="131"/>
      <c r="L3640" s="131"/>
      <c r="U3640" s="131"/>
      <c r="V3640" s="131"/>
      <c r="W3640" s="131"/>
      <c r="X3640" s="131"/>
    </row>
    <row r="3641" spans="9:24" x14ac:dyDescent="0.25">
      <c r="I3641" s="131"/>
      <c r="J3641" s="131"/>
      <c r="K3641" s="131"/>
      <c r="L3641" s="131"/>
      <c r="U3641" s="131"/>
      <c r="V3641" s="131"/>
      <c r="W3641" s="131"/>
      <c r="X3641" s="131"/>
    </row>
    <row r="3642" spans="9:24" x14ac:dyDescent="0.25">
      <c r="I3642" s="131"/>
      <c r="J3642" s="131"/>
      <c r="K3642" s="131"/>
      <c r="L3642" s="131"/>
      <c r="U3642" s="131"/>
      <c r="V3642" s="131"/>
      <c r="W3642" s="131"/>
      <c r="X3642" s="131"/>
    </row>
    <row r="3643" spans="9:24" x14ac:dyDescent="0.25">
      <c r="I3643" s="131"/>
      <c r="J3643" s="131"/>
      <c r="K3643" s="131"/>
      <c r="L3643" s="131"/>
      <c r="U3643" s="131"/>
      <c r="V3643" s="131"/>
      <c r="W3643" s="131"/>
      <c r="X3643" s="131"/>
    </row>
    <row r="3644" spans="9:24" x14ac:dyDescent="0.25">
      <c r="I3644" s="131"/>
      <c r="J3644" s="131"/>
      <c r="K3644" s="131"/>
      <c r="L3644" s="131"/>
      <c r="U3644" s="131"/>
      <c r="V3644" s="131"/>
      <c r="W3644" s="131"/>
      <c r="X3644" s="131"/>
    </row>
    <row r="3645" spans="9:24" x14ac:dyDescent="0.25">
      <c r="I3645" s="131"/>
      <c r="J3645" s="131"/>
      <c r="K3645" s="131"/>
      <c r="L3645" s="131"/>
      <c r="U3645" s="131"/>
      <c r="V3645" s="131"/>
      <c r="W3645" s="131"/>
      <c r="X3645" s="131"/>
    </row>
    <row r="3646" spans="9:24" x14ac:dyDescent="0.25">
      <c r="I3646" s="131"/>
      <c r="J3646" s="131"/>
      <c r="K3646" s="131"/>
      <c r="L3646" s="131"/>
      <c r="U3646" s="131"/>
      <c r="V3646" s="131"/>
      <c r="W3646" s="131"/>
      <c r="X3646" s="131"/>
    </row>
    <row r="3647" spans="9:24" x14ac:dyDescent="0.25">
      <c r="I3647" s="131"/>
      <c r="J3647" s="131"/>
      <c r="K3647" s="131"/>
      <c r="L3647" s="131"/>
      <c r="U3647" s="131"/>
      <c r="V3647" s="131"/>
      <c r="W3647" s="131"/>
      <c r="X3647" s="131"/>
    </row>
    <row r="3648" spans="9:24" x14ac:dyDescent="0.25">
      <c r="I3648" s="131"/>
      <c r="J3648" s="131"/>
      <c r="K3648" s="131"/>
      <c r="L3648" s="131"/>
      <c r="U3648" s="131"/>
      <c r="V3648" s="131"/>
      <c r="W3648" s="131"/>
      <c r="X3648" s="131"/>
    </row>
    <row r="3649" spans="9:24" x14ac:dyDescent="0.25">
      <c r="I3649" s="131"/>
      <c r="J3649" s="131"/>
      <c r="K3649" s="131"/>
      <c r="L3649" s="131"/>
      <c r="U3649" s="131"/>
      <c r="V3649" s="131"/>
      <c r="W3649" s="131"/>
      <c r="X3649" s="131"/>
    </row>
    <row r="3650" spans="9:24" x14ac:dyDescent="0.25">
      <c r="I3650" s="131"/>
      <c r="J3650" s="131"/>
      <c r="K3650" s="131"/>
      <c r="L3650" s="131"/>
      <c r="U3650" s="131"/>
      <c r="V3650" s="131"/>
      <c r="W3650" s="131"/>
      <c r="X3650" s="131"/>
    </row>
    <row r="3651" spans="9:24" x14ac:dyDescent="0.25">
      <c r="I3651" s="131"/>
      <c r="J3651" s="131"/>
      <c r="K3651" s="131"/>
      <c r="L3651" s="131"/>
      <c r="U3651" s="131"/>
      <c r="V3651" s="131"/>
      <c r="W3651" s="131"/>
      <c r="X3651" s="131"/>
    </row>
    <row r="3652" spans="9:24" x14ac:dyDescent="0.25">
      <c r="I3652" s="131"/>
      <c r="J3652" s="131"/>
      <c r="K3652" s="131"/>
      <c r="L3652" s="131"/>
      <c r="U3652" s="131"/>
      <c r="V3652" s="131"/>
      <c r="W3652" s="131"/>
      <c r="X3652" s="131"/>
    </row>
    <row r="3653" spans="9:24" x14ac:dyDescent="0.25">
      <c r="I3653" s="131"/>
      <c r="J3653" s="131"/>
      <c r="K3653" s="131"/>
      <c r="L3653" s="131"/>
      <c r="U3653" s="131"/>
      <c r="V3653" s="131"/>
      <c r="W3653" s="131"/>
      <c r="X3653" s="131"/>
    </row>
    <row r="3654" spans="9:24" x14ac:dyDescent="0.25">
      <c r="I3654" s="131"/>
      <c r="J3654" s="131"/>
      <c r="K3654" s="131"/>
      <c r="L3654" s="131"/>
      <c r="U3654" s="131"/>
      <c r="V3654" s="131"/>
      <c r="W3654" s="131"/>
      <c r="X3654" s="131"/>
    </row>
    <row r="3655" spans="9:24" x14ac:dyDescent="0.25">
      <c r="I3655" s="131"/>
      <c r="J3655" s="131"/>
      <c r="K3655" s="131"/>
      <c r="L3655" s="131"/>
      <c r="U3655" s="131"/>
      <c r="V3655" s="131"/>
      <c r="W3655" s="131"/>
      <c r="X3655" s="131"/>
    </row>
    <row r="3656" spans="9:24" x14ac:dyDescent="0.25">
      <c r="I3656" s="131"/>
      <c r="J3656" s="131"/>
      <c r="K3656" s="131"/>
      <c r="L3656" s="131"/>
      <c r="U3656" s="131"/>
      <c r="V3656" s="131"/>
      <c r="W3656" s="131"/>
      <c r="X3656" s="131"/>
    </row>
    <row r="3657" spans="9:24" x14ac:dyDescent="0.25">
      <c r="I3657" s="131"/>
      <c r="J3657" s="131"/>
      <c r="K3657" s="131"/>
      <c r="L3657" s="131"/>
      <c r="U3657" s="131"/>
      <c r="V3657" s="131"/>
      <c r="W3657" s="131"/>
      <c r="X3657" s="131"/>
    </row>
    <row r="3658" spans="9:24" x14ac:dyDescent="0.25">
      <c r="I3658" s="131"/>
      <c r="J3658" s="131"/>
      <c r="K3658" s="131"/>
      <c r="L3658" s="131"/>
      <c r="U3658" s="131"/>
      <c r="V3658" s="131"/>
      <c r="W3658" s="131"/>
      <c r="X3658" s="131"/>
    </row>
    <row r="3659" spans="9:24" x14ac:dyDescent="0.25">
      <c r="I3659" s="131"/>
      <c r="J3659" s="131"/>
      <c r="K3659" s="131"/>
      <c r="L3659" s="131"/>
      <c r="U3659" s="131"/>
      <c r="V3659" s="131"/>
      <c r="W3659" s="131"/>
      <c r="X3659" s="131"/>
    </row>
    <row r="3660" spans="9:24" x14ac:dyDescent="0.25">
      <c r="I3660" s="131"/>
      <c r="J3660" s="131"/>
      <c r="K3660" s="131"/>
      <c r="L3660" s="131"/>
      <c r="U3660" s="131"/>
      <c r="V3660" s="131"/>
      <c r="W3660" s="131"/>
      <c r="X3660" s="131"/>
    </row>
    <row r="3661" spans="9:24" x14ac:dyDescent="0.25">
      <c r="I3661" s="131"/>
      <c r="J3661" s="131"/>
      <c r="K3661" s="131"/>
      <c r="L3661" s="131"/>
      <c r="U3661" s="131"/>
      <c r="V3661" s="131"/>
      <c r="W3661" s="131"/>
      <c r="X3661" s="131"/>
    </row>
    <row r="3662" spans="9:24" x14ac:dyDescent="0.25">
      <c r="I3662" s="131"/>
      <c r="J3662" s="131"/>
      <c r="K3662" s="131"/>
      <c r="L3662" s="131"/>
      <c r="U3662" s="131"/>
      <c r="V3662" s="131"/>
      <c r="W3662" s="131"/>
      <c r="X3662" s="131"/>
    </row>
    <row r="3663" spans="9:24" x14ac:dyDescent="0.25">
      <c r="I3663" s="131"/>
      <c r="J3663" s="131"/>
      <c r="K3663" s="131"/>
      <c r="L3663" s="131"/>
      <c r="U3663" s="131"/>
      <c r="V3663" s="131"/>
      <c r="W3663" s="131"/>
      <c r="X3663" s="131"/>
    </row>
    <row r="3664" spans="9:24" x14ac:dyDescent="0.25">
      <c r="I3664" s="131"/>
      <c r="J3664" s="131"/>
      <c r="K3664" s="131"/>
      <c r="L3664" s="131"/>
      <c r="U3664" s="131"/>
      <c r="V3664" s="131"/>
      <c r="W3664" s="131"/>
      <c r="X3664" s="131"/>
    </row>
    <row r="3665" spans="9:24" x14ac:dyDescent="0.25">
      <c r="I3665" s="131"/>
      <c r="J3665" s="131"/>
      <c r="K3665" s="131"/>
      <c r="L3665" s="131"/>
      <c r="U3665" s="131"/>
      <c r="V3665" s="131"/>
      <c r="W3665" s="131"/>
      <c r="X3665" s="131"/>
    </row>
    <row r="3666" spans="9:24" x14ac:dyDescent="0.25">
      <c r="I3666" s="131"/>
      <c r="J3666" s="131"/>
      <c r="K3666" s="131"/>
      <c r="L3666" s="131"/>
      <c r="U3666" s="131"/>
      <c r="V3666" s="131"/>
      <c r="W3666" s="131"/>
      <c r="X3666" s="131"/>
    </row>
    <row r="3667" spans="9:24" x14ac:dyDescent="0.25">
      <c r="I3667" s="131"/>
      <c r="J3667" s="131"/>
      <c r="K3667" s="131"/>
      <c r="L3667" s="131"/>
      <c r="U3667" s="131"/>
      <c r="V3667" s="131"/>
      <c r="W3667" s="131"/>
      <c r="X3667" s="131"/>
    </row>
    <row r="3668" spans="9:24" x14ac:dyDescent="0.25">
      <c r="I3668" s="131"/>
      <c r="J3668" s="131"/>
      <c r="K3668" s="131"/>
      <c r="L3668" s="131"/>
      <c r="U3668" s="131"/>
      <c r="V3668" s="131"/>
      <c r="W3668" s="131"/>
      <c r="X3668" s="131"/>
    </row>
    <row r="3669" spans="9:24" x14ac:dyDescent="0.25">
      <c r="I3669" s="131"/>
      <c r="J3669" s="131"/>
      <c r="K3669" s="131"/>
      <c r="L3669" s="131"/>
      <c r="U3669" s="131"/>
      <c r="V3669" s="131"/>
      <c r="W3669" s="131"/>
      <c r="X3669" s="131"/>
    </row>
    <row r="3670" spans="9:24" x14ac:dyDescent="0.25">
      <c r="I3670" s="131"/>
      <c r="J3670" s="131"/>
      <c r="K3670" s="131"/>
      <c r="L3670" s="131"/>
      <c r="U3670" s="131"/>
      <c r="V3670" s="131"/>
      <c r="W3670" s="131"/>
      <c r="X3670" s="131"/>
    </row>
    <row r="3671" spans="9:24" x14ac:dyDescent="0.25">
      <c r="I3671" s="131"/>
      <c r="J3671" s="131"/>
      <c r="K3671" s="131"/>
      <c r="L3671" s="131"/>
      <c r="U3671" s="131"/>
      <c r="V3671" s="131"/>
      <c r="W3671" s="131"/>
      <c r="X3671" s="131"/>
    </row>
    <row r="3672" spans="9:24" x14ac:dyDescent="0.25">
      <c r="I3672" s="131"/>
      <c r="J3672" s="131"/>
      <c r="K3672" s="131"/>
      <c r="L3672" s="131"/>
      <c r="U3672" s="131"/>
      <c r="V3672" s="131"/>
      <c r="W3672" s="131"/>
      <c r="X3672" s="131"/>
    </row>
    <row r="3673" spans="9:24" x14ac:dyDescent="0.25">
      <c r="I3673" s="131"/>
      <c r="J3673" s="131"/>
      <c r="K3673" s="131"/>
      <c r="L3673" s="131"/>
      <c r="U3673" s="131"/>
      <c r="V3673" s="131"/>
      <c r="W3673" s="131"/>
      <c r="X3673" s="131"/>
    </row>
    <row r="3674" spans="9:24" x14ac:dyDescent="0.25">
      <c r="I3674" s="131"/>
      <c r="J3674" s="131"/>
      <c r="K3674" s="131"/>
      <c r="L3674" s="131"/>
      <c r="U3674" s="131"/>
      <c r="V3674" s="131"/>
      <c r="W3674" s="131"/>
      <c r="X3674" s="131"/>
    </row>
    <row r="3675" spans="9:24" x14ac:dyDescent="0.25">
      <c r="I3675" s="131"/>
      <c r="J3675" s="131"/>
      <c r="K3675" s="131"/>
      <c r="L3675" s="131"/>
      <c r="U3675" s="131"/>
      <c r="V3675" s="131"/>
      <c r="W3675" s="131"/>
      <c r="X3675" s="131"/>
    </row>
    <row r="3676" spans="9:24" x14ac:dyDescent="0.25">
      <c r="I3676" s="131"/>
      <c r="J3676" s="131"/>
      <c r="K3676" s="131"/>
      <c r="L3676" s="131"/>
      <c r="U3676" s="131"/>
      <c r="V3676" s="131"/>
      <c r="W3676" s="131"/>
      <c r="X3676" s="131"/>
    </row>
    <row r="3677" spans="9:24" x14ac:dyDescent="0.25">
      <c r="I3677" s="131"/>
      <c r="J3677" s="131"/>
      <c r="K3677" s="131"/>
      <c r="L3677" s="131"/>
      <c r="U3677" s="131"/>
      <c r="V3677" s="131"/>
      <c r="W3677" s="131"/>
      <c r="X3677" s="131"/>
    </row>
    <row r="3678" spans="9:24" x14ac:dyDescent="0.25">
      <c r="I3678" s="131"/>
      <c r="J3678" s="131"/>
      <c r="K3678" s="131"/>
      <c r="L3678" s="131"/>
      <c r="U3678" s="131"/>
      <c r="V3678" s="131"/>
      <c r="W3678" s="131"/>
      <c r="X3678" s="131"/>
    </row>
    <row r="3679" spans="9:24" x14ac:dyDescent="0.25">
      <c r="I3679" s="131"/>
      <c r="J3679" s="131"/>
      <c r="K3679" s="131"/>
      <c r="L3679" s="131"/>
      <c r="U3679" s="131"/>
      <c r="V3679" s="131"/>
      <c r="W3679" s="131"/>
      <c r="X3679" s="131"/>
    </row>
    <row r="3680" spans="9:24" x14ac:dyDescent="0.25">
      <c r="I3680" s="131"/>
      <c r="J3680" s="131"/>
      <c r="K3680" s="131"/>
      <c r="L3680" s="131"/>
      <c r="U3680" s="131"/>
      <c r="V3680" s="131"/>
      <c r="W3680" s="131"/>
      <c r="X3680" s="131"/>
    </row>
    <row r="3681" spans="9:24" x14ac:dyDescent="0.25">
      <c r="I3681" s="131"/>
      <c r="J3681" s="131"/>
      <c r="K3681" s="131"/>
      <c r="L3681" s="131"/>
      <c r="U3681" s="131"/>
      <c r="V3681" s="131"/>
      <c r="W3681" s="131"/>
      <c r="X3681" s="131"/>
    </row>
    <row r="3682" spans="9:24" x14ac:dyDescent="0.25">
      <c r="I3682" s="131"/>
      <c r="J3682" s="131"/>
      <c r="K3682" s="131"/>
      <c r="L3682" s="131"/>
      <c r="U3682" s="131"/>
      <c r="V3682" s="131"/>
      <c r="W3682" s="131"/>
      <c r="X3682" s="131"/>
    </row>
    <row r="3683" spans="9:24" x14ac:dyDescent="0.25">
      <c r="I3683" s="131"/>
      <c r="J3683" s="131"/>
      <c r="K3683" s="131"/>
      <c r="L3683" s="131"/>
      <c r="U3683" s="131"/>
      <c r="V3683" s="131"/>
      <c r="W3683" s="131"/>
      <c r="X3683" s="131"/>
    </row>
    <row r="3684" spans="9:24" x14ac:dyDescent="0.25">
      <c r="I3684" s="131"/>
      <c r="J3684" s="131"/>
      <c r="K3684" s="131"/>
      <c r="L3684" s="131"/>
      <c r="U3684" s="131"/>
      <c r="V3684" s="131"/>
      <c r="W3684" s="131"/>
      <c r="X3684" s="131"/>
    </row>
    <row r="3685" spans="9:24" x14ac:dyDescent="0.25">
      <c r="I3685" s="131"/>
      <c r="J3685" s="131"/>
      <c r="K3685" s="131"/>
      <c r="L3685" s="131"/>
      <c r="U3685" s="131"/>
      <c r="V3685" s="131"/>
      <c r="W3685" s="131"/>
      <c r="X3685" s="131"/>
    </row>
    <row r="3686" spans="9:24" x14ac:dyDescent="0.25">
      <c r="I3686" s="131"/>
      <c r="J3686" s="131"/>
      <c r="K3686" s="131"/>
      <c r="L3686" s="131"/>
      <c r="U3686" s="131"/>
      <c r="V3686" s="131"/>
      <c r="W3686" s="131"/>
      <c r="X3686" s="131"/>
    </row>
    <row r="3687" spans="9:24" x14ac:dyDescent="0.25">
      <c r="I3687" s="131"/>
      <c r="J3687" s="131"/>
      <c r="K3687" s="131"/>
      <c r="L3687" s="131"/>
      <c r="U3687" s="131"/>
      <c r="V3687" s="131"/>
      <c r="W3687" s="131"/>
      <c r="X3687" s="131"/>
    </row>
    <row r="3688" spans="9:24" x14ac:dyDescent="0.25">
      <c r="I3688" s="131"/>
      <c r="J3688" s="131"/>
      <c r="K3688" s="131"/>
      <c r="L3688" s="131"/>
      <c r="U3688" s="131"/>
      <c r="V3688" s="131"/>
      <c r="W3688" s="131"/>
      <c r="X3688" s="131"/>
    </row>
    <row r="3689" spans="9:24" x14ac:dyDescent="0.25">
      <c r="I3689" s="131"/>
      <c r="J3689" s="131"/>
      <c r="K3689" s="131"/>
      <c r="L3689" s="131"/>
      <c r="U3689" s="131"/>
      <c r="V3689" s="131"/>
      <c r="W3689" s="131"/>
      <c r="X3689" s="131"/>
    </row>
    <row r="3690" spans="9:24" x14ac:dyDescent="0.25">
      <c r="I3690" s="131"/>
      <c r="J3690" s="131"/>
      <c r="K3690" s="131"/>
      <c r="L3690" s="131"/>
      <c r="U3690" s="131"/>
      <c r="V3690" s="131"/>
      <c r="W3690" s="131"/>
      <c r="X3690" s="131"/>
    </row>
    <row r="3691" spans="9:24" x14ac:dyDescent="0.25">
      <c r="I3691" s="131"/>
      <c r="J3691" s="131"/>
      <c r="K3691" s="131"/>
      <c r="L3691" s="131"/>
      <c r="U3691" s="131"/>
      <c r="V3691" s="131"/>
      <c r="W3691" s="131"/>
      <c r="X3691" s="131"/>
    </row>
    <row r="3692" spans="9:24" x14ac:dyDescent="0.25">
      <c r="I3692" s="131"/>
      <c r="J3692" s="131"/>
      <c r="K3692" s="131"/>
      <c r="L3692" s="131"/>
      <c r="U3692" s="131"/>
      <c r="V3692" s="131"/>
      <c r="W3692" s="131"/>
      <c r="X3692" s="131"/>
    </row>
    <row r="3693" spans="9:24" x14ac:dyDescent="0.25">
      <c r="I3693" s="131"/>
      <c r="J3693" s="131"/>
      <c r="K3693" s="131"/>
      <c r="L3693" s="131"/>
      <c r="U3693" s="131"/>
      <c r="V3693" s="131"/>
      <c r="W3693" s="131"/>
      <c r="X3693" s="131"/>
    </row>
    <row r="3694" spans="9:24" x14ac:dyDescent="0.25">
      <c r="I3694" s="131"/>
      <c r="J3694" s="131"/>
      <c r="K3694" s="131"/>
      <c r="L3694" s="131"/>
      <c r="U3694" s="131"/>
      <c r="V3694" s="131"/>
      <c r="W3694" s="131"/>
      <c r="X3694" s="131"/>
    </row>
    <row r="3695" spans="9:24" x14ac:dyDescent="0.25">
      <c r="I3695" s="131"/>
      <c r="J3695" s="131"/>
      <c r="K3695" s="131"/>
      <c r="L3695" s="131"/>
      <c r="U3695" s="131"/>
      <c r="V3695" s="131"/>
      <c r="W3695" s="131"/>
      <c r="X3695" s="131"/>
    </row>
    <row r="3696" spans="9:24" x14ac:dyDescent="0.25">
      <c r="I3696" s="131"/>
      <c r="J3696" s="131"/>
      <c r="K3696" s="131"/>
      <c r="L3696" s="131"/>
      <c r="U3696" s="131"/>
      <c r="V3696" s="131"/>
      <c r="W3696" s="131"/>
      <c r="X3696" s="131"/>
    </row>
    <row r="3697" spans="9:24" x14ac:dyDescent="0.25">
      <c r="I3697" s="131"/>
      <c r="J3697" s="131"/>
      <c r="K3697" s="131"/>
      <c r="L3697" s="131"/>
      <c r="U3697" s="131"/>
      <c r="V3697" s="131"/>
      <c r="W3697" s="131"/>
      <c r="X3697" s="131"/>
    </row>
    <row r="3698" spans="9:24" x14ac:dyDescent="0.25">
      <c r="I3698" s="131"/>
      <c r="J3698" s="131"/>
      <c r="K3698" s="131"/>
      <c r="L3698" s="131"/>
      <c r="U3698" s="131"/>
      <c r="V3698" s="131"/>
      <c r="W3698" s="131"/>
      <c r="X3698" s="131"/>
    </row>
    <row r="3699" spans="9:24" x14ac:dyDescent="0.25">
      <c r="I3699" s="131"/>
      <c r="J3699" s="131"/>
      <c r="K3699" s="131"/>
      <c r="L3699" s="131"/>
      <c r="U3699" s="131"/>
      <c r="V3699" s="131"/>
      <c r="W3699" s="131"/>
      <c r="X3699" s="131"/>
    </row>
    <row r="3700" spans="9:24" x14ac:dyDescent="0.25">
      <c r="I3700" s="131"/>
      <c r="J3700" s="131"/>
      <c r="K3700" s="131"/>
      <c r="L3700" s="131"/>
      <c r="U3700" s="131"/>
      <c r="V3700" s="131"/>
      <c r="W3700" s="131"/>
      <c r="X3700" s="131"/>
    </row>
    <row r="3701" spans="9:24" x14ac:dyDescent="0.25">
      <c r="I3701" s="131"/>
      <c r="J3701" s="131"/>
      <c r="K3701" s="131"/>
      <c r="L3701" s="131"/>
      <c r="U3701" s="131"/>
      <c r="V3701" s="131"/>
      <c r="W3701" s="131"/>
      <c r="X3701" s="131"/>
    </row>
    <row r="3702" spans="9:24" x14ac:dyDescent="0.25">
      <c r="I3702" s="131"/>
      <c r="J3702" s="131"/>
      <c r="K3702" s="131"/>
      <c r="L3702" s="131"/>
      <c r="U3702" s="131"/>
      <c r="V3702" s="131"/>
      <c r="W3702" s="131"/>
      <c r="X3702" s="131"/>
    </row>
    <row r="3703" spans="9:24" x14ac:dyDescent="0.25">
      <c r="I3703" s="131"/>
      <c r="J3703" s="131"/>
      <c r="K3703" s="131"/>
      <c r="L3703" s="131"/>
      <c r="U3703" s="131"/>
      <c r="V3703" s="131"/>
      <c r="W3703" s="131"/>
      <c r="X3703" s="131"/>
    </row>
    <row r="3704" spans="9:24" x14ac:dyDescent="0.25">
      <c r="I3704" s="131"/>
      <c r="J3704" s="131"/>
      <c r="K3704" s="131"/>
      <c r="L3704" s="131"/>
      <c r="U3704" s="131"/>
      <c r="V3704" s="131"/>
      <c r="W3704" s="131"/>
      <c r="X3704" s="131"/>
    </row>
    <row r="3705" spans="9:24" x14ac:dyDescent="0.25">
      <c r="I3705" s="131"/>
      <c r="J3705" s="131"/>
      <c r="K3705" s="131"/>
      <c r="L3705" s="131"/>
      <c r="U3705" s="131"/>
      <c r="V3705" s="131"/>
      <c r="W3705" s="131"/>
      <c r="X3705" s="131"/>
    </row>
    <row r="3706" spans="9:24" x14ac:dyDescent="0.25">
      <c r="I3706" s="131"/>
      <c r="J3706" s="131"/>
      <c r="K3706" s="131"/>
      <c r="L3706" s="131"/>
      <c r="U3706" s="131"/>
      <c r="V3706" s="131"/>
      <c r="W3706" s="131"/>
      <c r="X3706" s="131"/>
    </row>
    <row r="3707" spans="9:24" x14ac:dyDescent="0.25">
      <c r="I3707" s="131"/>
      <c r="J3707" s="131"/>
      <c r="K3707" s="131"/>
      <c r="L3707" s="131"/>
      <c r="U3707" s="131"/>
      <c r="V3707" s="131"/>
      <c r="W3707" s="131"/>
      <c r="X3707" s="131"/>
    </row>
    <row r="3708" spans="9:24" x14ac:dyDescent="0.25">
      <c r="I3708" s="131"/>
      <c r="J3708" s="131"/>
      <c r="K3708" s="131"/>
      <c r="L3708" s="131"/>
      <c r="U3708" s="131"/>
      <c r="V3708" s="131"/>
      <c r="W3708" s="131"/>
      <c r="X3708" s="131"/>
    </row>
    <row r="3709" spans="9:24" x14ac:dyDescent="0.25">
      <c r="I3709" s="131"/>
      <c r="J3709" s="131"/>
      <c r="K3709" s="131"/>
      <c r="L3709" s="131"/>
      <c r="U3709" s="131"/>
      <c r="V3709" s="131"/>
      <c r="W3709" s="131"/>
      <c r="X3709" s="131"/>
    </row>
    <row r="3710" spans="9:24" x14ac:dyDescent="0.25">
      <c r="I3710" s="131"/>
      <c r="J3710" s="131"/>
      <c r="K3710" s="131"/>
      <c r="L3710" s="131"/>
      <c r="U3710" s="131"/>
      <c r="V3710" s="131"/>
      <c r="W3710" s="131"/>
      <c r="X3710" s="131"/>
    </row>
    <row r="3711" spans="9:24" x14ac:dyDescent="0.25">
      <c r="I3711" s="131"/>
      <c r="J3711" s="131"/>
      <c r="K3711" s="131"/>
      <c r="L3711" s="131"/>
      <c r="U3711" s="131"/>
      <c r="V3711" s="131"/>
      <c r="W3711" s="131"/>
      <c r="X3711" s="131"/>
    </row>
    <row r="3712" spans="9:24" x14ac:dyDescent="0.25">
      <c r="I3712" s="131"/>
      <c r="J3712" s="131"/>
      <c r="K3712" s="131"/>
      <c r="L3712" s="131"/>
      <c r="U3712" s="131"/>
      <c r="V3712" s="131"/>
      <c r="W3712" s="131"/>
      <c r="X3712" s="131"/>
    </row>
    <row r="3713" spans="9:24" x14ac:dyDescent="0.25">
      <c r="I3713" s="131"/>
      <c r="J3713" s="131"/>
      <c r="K3713" s="131"/>
      <c r="L3713" s="131"/>
      <c r="U3713" s="131"/>
      <c r="V3713" s="131"/>
      <c r="W3713" s="131"/>
      <c r="X3713" s="131"/>
    </row>
    <row r="3714" spans="9:24" x14ac:dyDescent="0.25">
      <c r="I3714" s="131"/>
      <c r="J3714" s="131"/>
      <c r="K3714" s="131"/>
      <c r="L3714" s="131"/>
      <c r="U3714" s="131"/>
      <c r="V3714" s="131"/>
      <c r="W3714" s="131"/>
      <c r="X3714" s="131"/>
    </row>
    <row r="3715" spans="9:24" x14ac:dyDescent="0.25">
      <c r="I3715" s="131"/>
      <c r="J3715" s="131"/>
      <c r="K3715" s="131"/>
      <c r="L3715" s="131"/>
      <c r="U3715" s="131"/>
      <c r="V3715" s="131"/>
      <c r="W3715" s="131"/>
      <c r="X3715" s="131"/>
    </row>
    <row r="3716" spans="9:24" x14ac:dyDescent="0.25">
      <c r="I3716" s="131"/>
      <c r="J3716" s="131"/>
      <c r="K3716" s="131"/>
      <c r="L3716" s="131"/>
      <c r="U3716" s="131"/>
      <c r="V3716" s="131"/>
      <c r="W3716" s="131"/>
      <c r="X3716" s="131"/>
    </row>
    <row r="3717" spans="9:24" x14ac:dyDescent="0.25">
      <c r="I3717" s="131"/>
      <c r="J3717" s="131"/>
      <c r="K3717" s="131"/>
      <c r="L3717" s="131"/>
      <c r="U3717" s="131"/>
      <c r="V3717" s="131"/>
      <c r="W3717" s="131"/>
      <c r="X3717" s="131"/>
    </row>
    <row r="3718" spans="9:24" x14ac:dyDescent="0.25">
      <c r="I3718" s="131"/>
      <c r="J3718" s="131"/>
      <c r="K3718" s="131"/>
      <c r="L3718" s="131"/>
      <c r="U3718" s="131"/>
      <c r="V3718" s="131"/>
      <c r="W3718" s="131"/>
      <c r="X3718" s="131"/>
    </row>
    <row r="3719" spans="9:24" x14ac:dyDescent="0.25">
      <c r="I3719" s="131"/>
      <c r="J3719" s="131"/>
      <c r="K3719" s="131"/>
      <c r="L3719" s="131"/>
      <c r="U3719" s="131"/>
      <c r="V3719" s="131"/>
      <c r="W3719" s="131"/>
      <c r="X3719" s="131"/>
    </row>
    <row r="3720" spans="9:24" x14ac:dyDescent="0.25">
      <c r="I3720" s="131"/>
      <c r="J3720" s="131"/>
      <c r="K3720" s="131"/>
      <c r="L3720" s="131"/>
      <c r="U3720" s="131"/>
      <c r="V3720" s="131"/>
      <c r="W3720" s="131"/>
      <c r="X3720" s="131"/>
    </row>
    <row r="3721" spans="9:24" x14ac:dyDescent="0.25">
      <c r="I3721" s="131"/>
      <c r="J3721" s="131"/>
      <c r="K3721" s="131"/>
      <c r="L3721" s="131"/>
      <c r="U3721" s="131"/>
      <c r="V3721" s="131"/>
      <c r="W3721" s="131"/>
      <c r="X3721" s="131"/>
    </row>
    <row r="3722" spans="9:24" x14ac:dyDescent="0.25">
      <c r="I3722" s="131"/>
      <c r="J3722" s="131"/>
      <c r="K3722" s="131"/>
      <c r="L3722" s="131"/>
      <c r="U3722" s="131"/>
      <c r="V3722" s="131"/>
      <c r="W3722" s="131"/>
      <c r="X3722" s="131"/>
    </row>
    <row r="3723" spans="9:24" x14ac:dyDescent="0.25">
      <c r="I3723" s="131"/>
      <c r="J3723" s="131"/>
      <c r="K3723" s="131"/>
      <c r="L3723" s="131"/>
      <c r="U3723" s="131"/>
      <c r="V3723" s="131"/>
      <c r="W3723" s="131"/>
      <c r="X3723" s="131"/>
    </row>
    <row r="3724" spans="9:24" x14ac:dyDescent="0.25">
      <c r="I3724" s="131"/>
      <c r="J3724" s="131"/>
      <c r="K3724" s="131"/>
      <c r="L3724" s="131"/>
      <c r="U3724" s="131"/>
      <c r="V3724" s="131"/>
      <c r="W3724" s="131"/>
      <c r="X3724" s="131"/>
    </row>
    <row r="3725" spans="9:24" x14ac:dyDescent="0.25">
      <c r="I3725" s="131"/>
      <c r="J3725" s="131"/>
      <c r="K3725" s="131"/>
      <c r="L3725" s="131"/>
      <c r="U3725" s="131"/>
      <c r="V3725" s="131"/>
      <c r="W3725" s="131"/>
      <c r="X3725" s="131"/>
    </row>
    <row r="3726" spans="9:24" x14ac:dyDescent="0.25">
      <c r="I3726" s="131"/>
      <c r="J3726" s="131"/>
      <c r="K3726" s="131"/>
      <c r="L3726" s="131"/>
      <c r="U3726" s="131"/>
      <c r="V3726" s="131"/>
      <c r="W3726" s="131"/>
      <c r="X3726" s="131"/>
    </row>
    <row r="3727" spans="9:24" x14ac:dyDescent="0.25">
      <c r="I3727" s="131"/>
      <c r="J3727" s="131"/>
      <c r="K3727" s="131"/>
      <c r="L3727" s="131"/>
      <c r="U3727" s="131"/>
      <c r="V3727" s="131"/>
      <c r="W3727" s="131"/>
      <c r="X3727" s="131"/>
    </row>
    <row r="3728" spans="9:24" x14ac:dyDescent="0.25">
      <c r="I3728" s="131"/>
      <c r="J3728" s="131"/>
      <c r="K3728" s="131"/>
      <c r="L3728" s="131"/>
      <c r="U3728" s="131"/>
      <c r="V3728" s="131"/>
      <c r="W3728" s="131"/>
      <c r="X3728" s="131"/>
    </row>
    <row r="3729" spans="9:24" x14ac:dyDescent="0.25">
      <c r="I3729" s="131"/>
      <c r="J3729" s="131"/>
      <c r="K3729" s="131"/>
      <c r="L3729" s="131"/>
      <c r="U3729" s="131"/>
      <c r="V3729" s="131"/>
      <c r="W3729" s="131"/>
      <c r="X3729" s="131"/>
    </row>
    <row r="3730" spans="9:24" x14ac:dyDescent="0.25">
      <c r="I3730" s="131"/>
      <c r="J3730" s="131"/>
      <c r="K3730" s="131"/>
      <c r="L3730" s="131"/>
      <c r="U3730" s="131"/>
      <c r="V3730" s="131"/>
      <c r="W3730" s="131"/>
      <c r="X3730" s="131"/>
    </row>
    <row r="3731" spans="9:24" x14ac:dyDescent="0.25">
      <c r="I3731" s="131"/>
      <c r="J3731" s="131"/>
      <c r="K3731" s="131"/>
      <c r="L3731" s="131"/>
      <c r="U3731" s="131"/>
      <c r="V3731" s="131"/>
      <c r="W3731" s="131"/>
      <c r="X3731" s="131"/>
    </row>
    <row r="3732" spans="9:24" x14ac:dyDescent="0.25">
      <c r="I3732" s="131"/>
      <c r="J3732" s="131"/>
      <c r="K3732" s="131"/>
      <c r="L3732" s="131"/>
      <c r="U3732" s="131"/>
      <c r="V3732" s="131"/>
      <c r="W3732" s="131"/>
      <c r="X3732" s="131"/>
    </row>
    <row r="3733" spans="9:24" x14ac:dyDescent="0.25">
      <c r="I3733" s="131"/>
      <c r="J3733" s="131"/>
      <c r="K3733" s="131"/>
      <c r="L3733" s="131"/>
      <c r="U3733" s="131"/>
      <c r="V3733" s="131"/>
      <c r="W3733" s="131"/>
      <c r="X3733" s="131"/>
    </row>
    <row r="3734" spans="9:24" x14ac:dyDescent="0.25">
      <c r="I3734" s="131"/>
      <c r="J3734" s="131"/>
      <c r="K3734" s="131"/>
      <c r="L3734" s="131"/>
      <c r="U3734" s="131"/>
      <c r="V3734" s="131"/>
      <c r="W3734" s="131"/>
      <c r="X3734" s="131"/>
    </row>
    <row r="3735" spans="9:24" x14ac:dyDescent="0.25">
      <c r="I3735" s="131"/>
      <c r="J3735" s="131"/>
      <c r="K3735" s="131"/>
      <c r="L3735" s="131"/>
      <c r="U3735" s="131"/>
      <c r="V3735" s="131"/>
      <c r="W3735" s="131"/>
      <c r="X3735" s="131"/>
    </row>
    <row r="3736" spans="9:24" x14ac:dyDescent="0.25">
      <c r="I3736" s="131"/>
      <c r="J3736" s="131"/>
      <c r="K3736" s="131"/>
      <c r="L3736" s="131"/>
      <c r="U3736" s="131"/>
      <c r="V3736" s="131"/>
      <c r="W3736" s="131"/>
      <c r="X3736" s="131"/>
    </row>
    <row r="3737" spans="9:24" x14ac:dyDescent="0.25">
      <c r="I3737" s="131"/>
      <c r="J3737" s="131"/>
      <c r="K3737" s="131"/>
      <c r="L3737" s="131"/>
      <c r="U3737" s="131"/>
      <c r="V3737" s="131"/>
      <c r="W3737" s="131"/>
      <c r="X3737" s="131"/>
    </row>
    <row r="3738" spans="9:24" x14ac:dyDescent="0.25">
      <c r="I3738" s="131"/>
      <c r="J3738" s="131"/>
      <c r="K3738" s="131"/>
      <c r="L3738" s="131"/>
      <c r="U3738" s="131"/>
      <c r="V3738" s="131"/>
      <c r="W3738" s="131"/>
      <c r="X3738" s="131"/>
    </row>
    <row r="3739" spans="9:24" x14ac:dyDescent="0.25">
      <c r="I3739" s="131"/>
      <c r="J3739" s="131"/>
      <c r="K3739" s="131"/>
      <c r="L3739" s="131"/>
      <c r="U3739" s="131"/>
      <c r="V3739" s="131"/>
      <c r="W3739" s="131"/>
      <c r="X3739" s="131"/>
    </row>
    <row r="3740" spans="9:24" x14ac:dyDescent="0.25">
      <c r="I3740" s="131"/>
      <c r="J3740" s="131"/>
      <c r="K3740" s="131"/>
      <c r="L3740" s="131"/>
      <c r="U3740" s="131"/>
      <c r="V3740" s="131"/>
      <c r="W3740" s="131"/>
      <c r="X3740" s="131"/>
    </row>
    <row r="3741" spans="9:24" x14ac:dyDescent="0.25">
      <c r="I3741" s="131"/>
      <c r="J3741" s="131"/>
      <c r="K3741" s="131"/>
      <c r="L3741" s="131"/>
      <c r="U3741" s="131"/>
      <c r="V3741" s="131"/>
      <c r="W3741" s="131"/>
      <c r="X3741" s="131"/>
    </row>
    <row r="3742" spans="9:24" x14ac:dyDescent="0.25">
      <c r="I3742" s="131"/>
      <c r="J3742" s="131"/>
      <c r="K3742" s="131"/>
      <c r="L3742" s="131"/>
      <c r="U3742" s="131"/>
      <c r="V3742" s="131"/>
      <c r="W3742" s="131"/>
      <c r="X3742" s="131"/>
    </row>
    <row r="3743" spans="9:24" x14ac:dyDescent="0.25">
      <c r="I3743" s="131"/>
      <c r="J3743" s="131"/>
      <c r="K3743" s="131"/>
      <c r="L3743" s="131"/>
      <c r="U3743" s="131"/>
      <c r="V3743" s="131"/>
      <c r="W3743" s="131"/>
      <c r="X3743" s="131"/>
    </row>
    <row r="3744" spans="9:24" x14ac:dyDescent="0.25">
      <c r="I3744" s="131"/>
      <c r="J3744" s="131"/>
      <c r="K3744" s="131"/>
      <c r="L3744" s="131"/>
      <c r="U3744" s="131"/>
      <c r="V3744" s="131"/>
      <c r="W3744" s="131"/>
      <c r="X3744" s="131"/>
    </row>
    <row r="3745" spans="9:24" x14ac:dyDescent="0.25">
      <c r="I3745" s="131"/>
      <c r="J3745" s="131"/>
      <c r="K3745" s="131"/>
      <c r="L3745" s="131"/>
      <c r="U3745" s="131"/>
      <c r="V3745" s="131"/>
      <c r="W3745" s="131"/>
      <c r="X3745" s="131"/>
    </row>
    <row r="3746" spans="9:24" x14ac:dyDescent="0.25">
      <c r="I3746" s="131"/>
      <c r="J3746" s="131"/>
      <c r="K3746" s="131"/>
      <c r="L3746" s="131"/>
      <c r="U3746" s="131"/>
      <c r="V3746" s="131"/>
      <c r="W3746" s="131"/>
      <c r="X3746" s="131"/>
    </row>
    <row r="3747" spans="9:24" x14ac:dyDescent="0.25">
      <c r="I3747" s="131"/>
      <c r="J3747" s="131"/>
      <c r="K3747" s="131"/>
      <c r="L3747" s="131"/>
      <c r="U3747" s="131"/>
      <c r="V3747" s="131"/>
      <c r="W3747" s="131"/>
      <c r="X3747" s="131"/>
    </row>
    <row r="3748" spans="9:24" x14ac:dyDescent="0.25">
      <c r="I3748" s="131"/>
      <c r="J3748" s="131"/>
      <c r="K3748" s="131"/>
      <c r="L3748" s="131"/>
      <c r="U3748" s="131"/>
      <c r="V3748" s="131"/>
      <c r="W3748" s="131"/>
      <c r="X3748" s="131"/>
    </row>
    <row r="3749" spans="9:24" x14ac:dyDescent="0.25">
      <c r="I3749" s="131"/>
      <c r="J3749" s="131"/>
      <c r="K3749" s="131"/>
      <c r="L3749" s="131"/>
      <c r="U3749" s="131"/>
      <c r="V3749" s="131"/>
      <c r="W3749" s="131"/>
      <c r="X3749" s="131"/>
    </row>
    <row r="3750" spans="9:24" x14ac:dyDescent="0.25">
      <c r="I3750" s="131"/>
      <c r="J3750" s="131"/>
      <c r="K3750" s="131"/>
      <c r="L3750" s="131"/>
      <c r="U3750" s="131"/>
      <c r="V3750" s="131"/>
      <c r="W3750" s="131"/>
      <c r="X3750" s="131"/>
    </row>
    <row r="3751" spans="9:24" x14ac:dyDescent="0.25">
      <c r="I3751" s="131"/>
      <c r="J3751" s="131"/>
      <c r="K3751" s="131"/>
      <c r="L3751" s="131"/>
      <c r="U3751" s="131"/>
      <c r="V3751" s="131"/>
      <c r="W3751" s="131"/>
      <c r="X3751" s="131"/>
    </row>
    <row r="3752" spans="9:24" x14ac:dyDescent="0.25">
      <c r="I3752" s="131"/>
      <c r="J3752" s="131"/>
      <c r="K3752" s="131"/>
      <c r="L3752" s="131"/>
      <c r="U3752" s="131"/>
      <c r="V3752" s="131"/>
      <c r="W3752" s="131"/>
      <c r="X3752" s="131"/>
    </row>
    <row r="3753" spans="9:24" x14ac:dyDescent="0.25">
      <c r="I3753" s="131"/>
      <c r="J3753" s="131"/>
      <c r="K3753" s="131"/>
      <c r="L3753" s="131"/>
      <c r="U3753" s="131"/>
      <c r="V3753" s="131"/>
      <c r="W3753" s="131"/>
      <c r="X3753" s="131"/>
    </row>
    <row r="3754" spans="9:24" x14ac:dyDescent="0.25">
      <c r="I3754" s="131"/>
      <c r="J3754" s="131"/>
      <c r="K3754" s="131"/>
      <c r="L3754" s="131"/>
      <c r="U3754" s="131"/>
      <c r="V3754" s="131"/>
      <c r="W3754" s="131"/>
      <c r="X3754" s="131"/>
    </row>
    <row r="3755" spans="9:24" x14ac:dyDescent="0.25">
      <c r="I3755" s="131"/>
      <c r="J3755" s="131"/>
      <c r="K3755" s="131"/>
      <c r="L3755" s="131"/>
      <c r="U3755" s="131"/>
      <c r="V3755" s="131"/>
      <c r="W3755" s="131"/>
      <c r="X3755" s="131"/>
    </row>
    <row r="3756" spans="9:24" x14ac:dyDescent="0.25">
      <c r="I3756" s="131"/>
      <c r="J3756" s="131"/>
      <c r="K3756" s="131"/>
      <c r="L3756" s="131"/>
      <c r="U3756" s="131"/>
      <c r="V3756" s="131"/>
      <c r="W3756" s="131"/>
      <c r="X3756" s="131"/>
    </row>
    <row r="3757" spans="9:24" x14ac:dyDescent="0.25">
      <c r="I3757" s="131"/>
      <c r="J3757" s="131"/>
      <c r="K3757" s="131"/>
      <c r="L3757" s="131"/>
      <c r="U3757" s="131"/>
      <c r="V3757" s="131"/>
      <c r="W3757" s="131"/>
      <c r="X3757" s="131"/>
    </row>
    <row r="3758" spans="9:24" x14ac:dyDescent="0.25">
      <c r="I3758" s="131"/>
      <c r="J3758" s="131"/>
      <c r="K3758" s="131"/>
      <c r="L3758" s="131"/>
      <c r="U3758" s="131"/>
      <c r="V3758" s="131"/>
      <c r="W3758" s="131"/>
      <c r="X3758" s="131"/>
    </row>
    <row r="3759" spans="9:24" x14ac:dyDescent="0.25">
      <c r="I3759" s="131"/>
      <c r="J3759" s="131"/>
      <c r="K3759" s="131"/>
      <c r="L3759" s="131"/>
      <c r="U3759" s="131"/>
      <c r="V3759" s="131"/>
      <c r="W3759" s="131"/>
      <c r="X3759" s="131"/>
    </row>
    <row r="3760" spans="9:24" x14ac:dyDescent="0.25">
      <c r="I3760" s="131"/>
      <c r="J3760" s="131"/>
      <c r="K3760" s="131"/>
      <c r="L3760" s="131"/>
      <c r="U3760" s="131"/>
      <c r="V3760" s="131"/>
      <c r="W3760" s="131"/>
      <c r="X3760" s="131"/>
    </row>
    <row r="3761" spans="9:24" x14ac:dyDescent="0.25">
      <c r="I3761" s="131"/>
      <c r="J3761" s="131"/>
      <c r="K3761" s="131"/>
      <c r="L3761" s="131"/>
      <c r="U3761" s="131"/>
      <c r="V3761" s="131"/>
      <c r="W3761" s="131"/>
      <c r="X3761" s="131"/>
    </row>
    <row r="3762" spans="9:24" x14ac:dyDescent="0.25">
      <c r="I3762" s="131"/>
      <c r="J3762" s="131"/>
      <c r="K3762" s="131"/>
      <c r="L3762" s="131"/>
      <c r="U3762" s="131"/>
      <c r="V3762" s="131"/>
      <c r="W3762" s="131"/>
      <c r="X3762" s="131"/>
    </row>
    <row r="3763" spans="9:24" x14ac:dyDescent="0.25">
      <c r="I3763" s="131"/>
      <c r="J3763" s="131"/>
      <c r="K3763" s="131"/>
      <c r="L3763" s="131"/>
      <c r="U3763" s="131"/>
      <c r="V3763" s="131"/>
      <c r="W3763" s="131"/>
      <c r="X3763" s="131"/>
    </row>
    <row r="3764" spans="9:24" x14ac:dyDescent="0.25">
      <c r="I3764" s="131"/>
      <c r="J3764" s="131"/>
      <c r="K3764" s="131"/>
      <c r="L3764" s="131"/>
      <c r="U3764" s="131"/>
      <c r="V3764" s="131"/>
      <c r="W3764" s="131"/>
      <c r="X3764" s="131"/>
    </row>
    <row r="3765" spans="9:24" x14ac:dyDescent="0.25">
      <c r="I3765" s="131"/>
      <c r="J3765" s="131"/>
      <c r="K3765" s="131"/>
      <c r="L3765" s="131"/>
      <c r="U3765" s="131"/>
      <c r="V3765" s="131"/>
      <c r="W3765" s="131"/>
      <c r="X3765" s="131"/>
    </row>
    <row r="3766" spans="9:24" x14ac:dyDescent="0.25">
      <c r="I3766" s="131"/>
      <c r="J3766" s="131"/>
      <c r="K3766" s="131"/>
      <c r="L3766" s="131"/>
      <c r="U3766" s="131"/>
      <c r="V3766" s="131"/>
      <c r="W3766" s="131"/>
      <c r="X3766" s="131"/>
    </row>
    <row r="3767" spans="9:24" x14ac:dyDescent="0.25">
      <c r="I3767" s="131"/>
      <c r="J3767" s="131"/>
      <c r="K3767" s="131"/>
      <c r="L3767" s="131"/>
      <c r="U3767" s="131"/>
      <c r="V3767" s="131"/>
      <c r="W3767" s="131"/>
      <c r="X3767" s="131"/>
    </row>
    <row r="3768" spans="9:24" x14ac:dyDescent="0.25">
      <c r="I3768" s="131"/>
      <c r="J3768" s="131"/>
      <c r="K3768" s="131"/>
      <c r="L3768" s="131"/>
      <c r="U3768" s="131"/>
      <c r="V3768" s="131"/>
      <c r="W3768" s="131"/>
      <c r="X3768" s="131"/>
    </row>
    <row r="3769" spans="9:24" x14ac:dyDescent="0.25">
      <c r="I3769" s="131"/>
      <c r="J3769" s="131"/>
      <c r="K3769" s="131"/>
      <c r="L3769" s="131"/>
      <c r="U3769" s="131"/>
      <c r="V3769" s="131"/>
      <c r="W3769" s="131"/>
      <c r="X3769" s="131"/>
    </row>
    <row r="3770" spans="9:24" x14ac:dyDescent="0.25">
      <c r="I3770" s="131"/>
      <c r="J3770" s="131"/>
      <c r="K3770" s="131"/>
      <c r="L3770" s="131"/>
      <c r="U3770" s="131"/>
      <c r="V3770" s="131"/>
      <c r="W3770" s="131"/>
      <c r="X3770" s="131"/>
    </row>
    <row r="3771" spans="9:24" x14ac:dyDescent="0.25">
      <c r="I3771" s="131"/>
      <c r="J3771" s="131"/>
      <c r="K3771" s="131"/>
      <c r="L3771" s="131"/>
      <c r="U3771" s="131"/>
      <c r="V3771" s="131"/>
      <c r="W3771" s="131"/>
      <c r="X3771" s="131"/>
    </row>
    <row r="3772" spans="9:24" x14ac:dyDescent="0.25">
      <c r="I3772" s="131"/>
      <c r="J3772" s="131"/>
      <c r="K3772" s="131"/>
      <c r="L3772" s="131"/>
      <c r="U3772" s="131"/>
      <c r="V3772" s="131"/>
      <c r="W3772" s="131"/>
      <c r="X3772" s="131"/>
    </row>
    <row r="3773" spans="9:24" x14ac:dyDescent="0.25">
      <c r="I3773" s="131"/>
      <c r="J3773" s="131"/>
      <c r="K3773" s="131"/>
      <c r="L3773" s="131"/>
      <c r="U3773" s="131"/>
      <c r="V3773" s="131"/>
      <c r="W3773" s="131"/>
      <c r="X3773" s="131"/>
    </row>
    <row r="3774" spans="9:24" x14ac:dyDescent="0.25">
      <c r="I3774" s="131"/>
      <c r="J3774" s="131"/>
      <c r="K3774" s="131"/>
      <c r="L3774" s="131"/>
      <c r="U3774" s="131"/>
      <c r="V3774" s="131"/>
      <c r="W3774" s="131"/>
      <c r="X3774" s="131"/>
    </row>
    <row r="3775" spans="9:24" x14ac:dyDescent="0.25">
      <c r="I3775" s="131"/>
      <c r="J3775" s="131"/>
      <c r="K3775" s="131"/>
      <c r="L3775" s="131"/>
      <c r="U3775" s="131"/>
      <c r="V3775" s="131"/>
      <c r="W3775" s="131"/>
      <c r="X3775" s="131"/>
    </row>
    <row r="3776" spans="9:24" x14ac:dyDescent="0.25">
      <c r="I3776" s="131"/>
      <c r="J3776" s="131"/>
      <c r="K3776" s="131"/>
      <c r="L3776" s="131"/>
      <c r="U3776" s="131"/>
      <c r="V3776" s="131"/>
      <c r="W3776" s="131"/>
      <c r="X3776" s="131"/>
    </row>
    <row r="3777" spans="9:24" x14ac:dyDescent="0.25">
      <c r="I3777" s="131"/>
      <c r="J3777" s="131"/>
      <c r="K3777" s="131"/>
      <c r="L3777" s="131"/>
      <c r="U3777" s="131"/>
      <c r="V3777" s="131"/>
      <c r="W3777" s="131"/>
      <c r="X3777" s="131"/>
    </row>
    <row r="3778" spans="9:24" x14ac:dyDescent="0.25">
      <c r="I3778" s="131"/>
      <c r="J3778" s="131"/>
      <c r="K3778" s="131"/>
      <c r="L3778" s="131"/>
      <c r="U3778" s="131"/>
      <c r="V3778" s="131"/>
      <c r="W3778" s="131"/>
      <c r="X3778" s="131"/>
    </row>
    <row r="3779" spans="9:24" x14ac:dyDescent="0.25">
      <c r="I3779" s="131"/>
      <c r="J3779" s="131"/>
      <c r="K3779" s="131"/>
      <c r="L3779" s="131"/>
      <c r="U3779" s="131"/>
      <c r="V3779" s="131"/>
      <c r="W3779" s="131"/>
      <c r="X3779" s="131"/>
    </row>
    <row r="3780" spans="9:24" x14ac:dyDescent="0.25">
      <c r="I3780" s="131"/>
      <c r="J3780" s="131"/>
      <c r="K3780" s="131"/>
      <c r="L3780" s="131"/>
      <c r="U3780" s="131"/>
      <c r="V3780" s="131"/>
      <c r="W3780" s="131"/>
      <c r="X3780" s="131"/>
    </row>
    <row r="3781" spans="9:24" x14ac:dyDescent="0.25">
      <c r="I3781" s="131"/>
      <c r="J3781" s="131"/>
      <c r="K3781" s="131"/>
      <c r="L3781" s="131"/>
      <c r="U3781" s="131"/>
      <c r="V3781" s="131"/>
      <c r="W3781" s="131"/>
      <c r="X3781" s="131"/>
    </row>
    <row r="3782" spans="9:24" x14ac:dyDescent="0.25">
      <c r="I3782" s="131"/>
      <c r="J3782" s="131"/>
      <c r="K3782" s="131"/>
      <c r="L3782" s="131"/>
      <c r="U3782" s="131"/>
      <c r="V3782" s="131"/>
      <c r="W3782" s="131"/>
      <c r="X3782" s="131"/>
    </row>
    <row r="3783" spans="9:24" x14ac:dyDescent="0.25">
      <c r="I3783" s="131"/>
      <c r="J3783" s="131"/>
      <c r="K3783" s="131"/>
      <c r="L3783" s="131"/>
      <c r="U3783" s="131"/>
      <c r="V3783" s="131"/>
      <c r="W3783" s="131"/>
      <c r="X3783" s="131"/>
    </row>
    <row r="3784" spans="9:24" x14ac:dyDescent="0.25">
      <c r="I3784" s="131"/>
      <c r="J3784" s="131"/>
      <c r="K3784" s="131"/>
      <c r="L3784" s="131"/>
      <c r="U3784" s="131"/>
      <c r="V3784" s="131"/>
      <c r="W3784" s="131"/>
      <c r="X3784" s="131"/>
    </row>
    <row r="3785" spans="9:24" x14ac:dyDescent="0.25">
      <c r="I3785" s="131"/>
      <c r="J3785" s="131"/>
      <c r="K3785" s="131"/>
      <c r="L3785" s="131"/>
      <c r="U3785" s="131"/>
      <c r="V3785" s="131"/>
      <c r="W3785" s="131"/>
      <c r="X3785" s="131"/>
    </row>
    <row r="3786" spans="9:24" x14ac:dyDescent="0.25">
      <c r="I3786" s="131"/>
      <c r="J3786" s="131"/>
      <c r="K3786" s="131"/>
      <c r="L3786" s="131"/>
      <c r="U3786" s="131"/>
      <c r="V3786" s="131"/>
      <c r="W3786" s="131"/>
      <c r="X3786" s="131"/>
    </row>
    <row r="3787" spans="9:24" x14ac:dyDescent="0.25">
      <c r="I3787" s="131"/>
      <c r="J3787" s="131"/>
      <c r="K3787" s="131"/>
      <c r="L3787" s="131"/>
      <c r="U3787" s="131"/>
      <c r="V3787" s="131"/>
      <c r="W3787" s="131"/>
      <c r="X3787" s="131"/>
    </row>
    <row r="3788" spans="9:24" x14ac:dyDescent="0.25">
      <c r="I3788" s="131"/>
      <c r="J3788" s="131"/>
      <c r="K3788" s="131"/>
      <c r="L3788" s="131"/>
      <c r="U3788" s="131"/>
      <c r="V3788" s="131"/>
      <c r="W3788" s="131"/>
      <c r="X3788" s="131"/>
    </row>
    <row r="3789" spans="9:24" x14ac:dyDescent="0.25">
      <c r="I3789" s="131"/>
      <c r="J3789" s="131"/>
      <c r="K3789" s="131"/>
      <c r="L3789" s="131"/>
      <c r="U3789" s="131"/>
      <c r="V3789" s="131"/>
      <c r="W3789" s="131"/>
      <c r="X3789" s="131"/>
    </row>
    <row r="3790" spans="9:24" x14ac:dyDescent="0.25">
      <c r="I3790" s="131"/>
      <c r="J3790" s="131"/>
      <c r="K3790" s="131"/>
      <c r="L3790" s="131"/>
      <c r="U3790" s="131"/>
      <c r="V3790" s="131"/>
      <c r="W3790" s="131"/>
      <c r="X3790" s="131"/>
    </row>
    <row r="3791" spans="9:24" x14ac:dyDescent="0.25">
      <c r="I3791" s="131"/>
      <c r="J3791" s="131"/>
      <c r="K3791" s="131"/>
      <c r="L3791" s="131"/>
      <c r="U3791" s="131"/>
      <c r="V3791" s="131"/>
      <c r="W3791" s="131"/>
      <c r="X3791" s="131"/>
    </row>
    <row r="3792" spans="9:24" x14ac:dyDescent="0.25">
      <c r="I3792" s="131"/>
      <c r="J3792" s="131"/>
      <c r="K3792" s="131"/>
      <c r="L3792" s="131"/>
      <c r="U3792" s="131"/>
      <c r="V3792" s="131"/>
      <c r="W3792" s="131"/>
      <c r="X3792" s="131"/>
    </row>
    <row r="3793" spans="9:24" x14ac:dyDescent="0.25">
      <c r="I3793" s="131"/>
      <c r="J3793" s="131"/>
      <c r="K3793" s="131"/>
      <c r="L3793" s="131"/>
      <c r="U3793" s="131"/>
      <c r="V3793" s="131"/>
      <c r="W3793" s="131"/>
      <c r="X3793" s="131"/>
    </row>
    <row r="3794" spans="9:24" x14ac:dyDescent="0.25">
      <c r="I3794" s="131"/>
      <c r="J3794" s="131"/>
      <c r="K3794" s="131"/>
      <c r="L3794" s="131"/>
      <c r="U3794" s="131"/>
      <c r="V3794" s="131"/>
      <c r="W3794" s="131"/>
      <c r="X3794" s="131"/>
    </row>
    <row r="3795" spans="9:24" x14ac:dyDescent="0.25">
      <c r="I3795" s="131"/>
      <c r="J3795" s="131"/>
      <c r="K3795" s="131"/>
      <c r="L3795" s="131"/>
      <c r="U3795" s="131"/>
      <c r="V3795" s="131"/>
      <c r="W3795" s="131"/>
      <c r="X3795" s="131"/>
    </row>
    <row r="3796" spans="9:24" x14ac:dyDescent="0.25">
      <c r="I3796" s="131"/>
      <c r="J3796" s="131"/>
      <c r="K3796" s="131"/>
      <c r="L3796" s="131"/>
      <c r="U3796" s="131"/>
      <c r="V3796" s="131"/>
      <c r="W3796" s="131"/>
      <c r="X3796" s="131"/>
    </row>
    <row r="3797" spans="9:24" x14ac:dyDescent="0.25">
      <c r="I3797" s="131"/>
      <c r="J3797" s="131"/>
      <c r="K3797" s="131"/>
      <c r="L3797" s="131"/>
      <c r="U3797" s="131"/>
      <c r="V3797" s="131"/>
      <c r="W3797" s="131"/>
      <c r="X3797" s="131"/>
    </row>
    <row r="3798" spans="9:24" x14ac:dyDescent="0.25">
      <c r="I3798" s="131"/>
      <c r="J3798" s="131"/>
      <c r="K3798" s="131"/>
      <c r="L3798" s="131"/>
      <c r="U3798" s="131"/>
      <c r="V3798" s="131"/>
      <c r="W3798" s="131"/>
      <c r="X3798" s="131"/>
    </row>
    <row r="3799" spans="9:24" x14ac:dyDescent="0.25">
      <c r="I3799" s="131"/>
      <c r="J3799" s="131"/>
      <c r="K3799" s="131"/>
      <c r="L3799" s="131"/>
      <c r="U3799" s="131"/>
      <c r="V3799" s="131"/>
      <c r="W3799" s="131"/>
      <c r="X3799" s="131"/>
    </row>
    <row r="3800" spans="9:24" x14ac:dyDescent="0.25">
      <c r="I3800" s="131"/>
      <c r="J3800" s="131"/>
      <c r="K3800" s="131"/>
      <c r="L3800" s="131"/>
      <c r="U3800" s="131"/>
      <c r="V3800" s="131"/>
      <c r="W3800" s="131"/>
      <c r="X3800" s="131"/>
    </row>
    <row r="3801" spans="9:24" x14ac:dyDescent="0.25">
      <c r="I3801" s="131"/>
      <c r="J3801" s="131"/>
      <c r="K3801" s="131"/>
      <c r="L3801" s="131"/>
      <c r="U3801" s="131"/>
      <c r="V3801" s="131"/>
      <c r="W3801" s="131"/>
      <c r="X3801" s="131"/>
    </row>
    <row r="3802" spans="9:24" x14ac:dyDescent="0.25">
      <c r="I3802" s="131"/>
      <c r="J3802" s="131"/>
      <c r="K3802" s="131"/>
      <c r="L3802" s="131"/>
      <c r="U3802" s="131"/>
      <c r="V3802" s="131"/>
      <c r="W3802" s="131"/>
      <c r="X3802" s="131"/>
    </row>
    <row r="3803" spans="9:24" x14ac:dyDescent="0.25">
      <c r="I3803" s="131"/>
      <c r="J3803" s="131"/>
      <c r="K3803" s="131"/>
      <c r="L3803" s="131"/>
      <c r="U3803" s="131"/>
      <c r="V3803" s="131"/>
      <c r="W3803" s="131"/>
      <c r="X3803" s="131"/>
    </row>
    <row r="3804" spans="9:24" x14ac:dyDescent="0.25">
      <c r="I3804" s="131"/>
      <c r="J3804" s="131"/>
      <c r="K3804" s="131"/>
      <c r="L3804" s="131"/>
      <c r="U3804" s="131"/>
      <c r="V3804" s="131"/>
      <c r="W3804" s="131"/>
      <c r="X3804" s="131"/>
    </row>
    <row r="3805" spans="9:24" x14ac:dyDescent="0.25">
      <c r="I3805" s="131"/>
      <c r="J3805" s="131"/>
      <c r="K3805" s="131"/>
      <c r="L3805" s="131"/>
      <c r="U3805" s="131"/>
      <c r="V3805" s="131"/>
      <c r="W3805" s="131"/>
      <c r="X3805" s="131"/>
    </row>
    <row r="3806" spans="9:24" x14ac:dyDescent="0.25">
      <c r="I3806" s="131"/>
      <c r="J3806" s="131"/>
      <c r="K3806" s="131"/>
      <c r="L3806" s="131"/>
      <c r="U3806" s="131"/>
      <c r="V3806" s="131"/>
      <c r="W3806" s="131"/>
      <c r="X3806" s="131"/>
    </row>
    <row r="3807" spans="9:24" x14ac:dyDescent="0.25">
      <c r="I3807" s="131"/>
      <c r="J3807" s="131"/>
      <c r="K3807" s="131"/>
      <c r="L3807" s="131"/>
      <c r="U3807" s="131"/>
      <c r="V3807" s="131"/>
      <c r="W3807" s="131"/>
      <c r="X3807" s="131"/>
    </row>
    <row r="3808" spans="9:24" x14ac:dyDescent="0.25">
      <c r="I3808" s="131"/>
      <c r="J3808" s="131"/>
      <c r="K3808" s="131"/>
      <c r="L3808" s="131"/>
      <c r="U3808" s="131"/>
      <c r="V3808" s="131"/>
      <c r="W3808" s="131"/>
      <c r="X3808" s="131"/>
    </row>
    <row r="3809" spans="9:24" x14ac:dyDescent="0.25">
      <c r="I3809" s="131"/>
      <c r="J3809" s="131"/>
      <c r="K3809" s="131"/>
      <c r="L3809" s="131"/>
      <c r="U3809" s="131"/>
      <c r="V3809" s="131"/>
      <c r="W3809" s="131"/>
      <c r="X3809" s="131"/>
    </row>
    <row r="3810" spans="9:24" x14ac:dyDescent="0.25">
      <c r="I3810" s="131"/>
      <c r="J3810" s="131"/>
      <c r="K3810" s="131"/>
      <c r="L3810" s="131"/>
      <c r="U3810" s="131"/>
      <c r="V3810" s="131"/>
      <c r="W3810" s="131"/>
      <c r="X3810" s="131"/>
    </row>
    <row r="3811" spans="9:24" x14ac:dyDescent="0.25">
      <c r="I3811" s="131"/>
      <c r="J3811" s="131"/>
      <c r="K3811" s="131"/>
      <c r="L3811" s="131"/>
      <c r="U3811" s="131"/>
      <c r="V3811" s="131"/>
      <c r="W3811" s="131"/>
      <c r="X3811" s="131"/>
    </row>
    <row r="3812" spans="9:24" x14ac:dyDescent="0.25">
      <c r="I3812" s="131"/>
      <c r="J3812" s="131"/>
      <c r="K3812" s="131"/>
      <c r="L3812" s="131"/>
      <c r="U3812" s="131"/>
      <c r="V3812" s="131"/>
      <c r="W3812" s="131"/>
      <c r="X3812" s="131"/>
    </row>
    <row r="3813" spans="9:24" x14ac:dyDescent="0.25">
      <c r="I3813" s="131"/>
      <c r="J3813" s="131"/>
      <c r="K3813" s="131"/>
      <c r="L3813" s="131"/>
      <c r="U3813" s="131"/>
      <c r="V3813" s="131"/>
      <c r="W3813" s="131"/>
      <c r="X3813" s="131"/>
    </row>
    <row r="3814" spans="9:24" x14ac:dyDescent="0.25">
      <c r="I3814" s="131"/>
      <c r="J3814" s="131"/>
      <c r="K3814" s="131"/>
      <c r="L3814" s="131"/>
      <c r="U3814" s="131"/>
      <c r="V3814" s="131"/>
      <c r="W3814" s="131"/>
      <c r="X3814" s="131"/>
    </row>
    <row r="3815" spans="9:24" x14ac:dyDescent="0.25">
      <c r="I3815" s="131"/>
      <c r="J3815" s="131"/>
      <c r="K3815" s="131"/>
      <c r="L3815" s="131"/>
      <c r="U3815" s="131"/>
      <c r="V3815" s="131"/>
      <c r="W3815" s="131"/>
      <c r="X3815" s="131"/>
    </row>
    <row r="3816" spans="9:24" x14ac:dyDescent="0.25">
      <c r="I3816" s="131"/>
      <c r="J3816" s="131"/>
      <c r="K3816" s="131"/>
      <c r="L3816" s="131"/>
      <c r="U3816" s="131"/>
      <c r="V3816" s="131"/>
      <c r="W3816" s="131"/>
      <c r="X3816" s="131"/>
    </row>
    <row r="3817" spans="9:24" x14ac:dyDescent="0.25">
      <c r="I3817" s="131"/>
      <c r="J3817" s="131"/>
      <c r="K3817" s="131"/>
      <c r="L3817" s="131"/>
      <c r="U3817" s="131"/>
      <c r="V3817" s="131"/>
      <c r="W3817" s="131"/>
      <c r="X3817" s="131"/>
    </row>
    <row r="3818" spans="9:24" x14ac:dyDescent="0.25">
      <c r="I3818" s="131"/>
      <c r="J3818" s="131"/>
      <c r="K3818" s="131"/>
      <c r="L3818" s="131"/>
      <c r="U3818" s="131"/>
      <c r="V3818" s="131"/>
      <c r="W3818" s="131"/>
      <c r="X3818" s="131"/>
    </row>
    <row r="3819" spans="9:24" x14ac:dyDescent="0.25">
      <c r="I3819" s="131"/>
      <c r="J3819" s="131"/>
      <c r="K3819" s="131"/>
      <c r="L3819" s="131"/>
      <c r="U3819" s="131"/>
      <c r="V3819" s="131"/>
      <c r="W3819" s="131"/>
      <c r="X3819" s="131"/>
    </row>
    <row r="3820" spans="9:24" x14ac:dyDescent="0.25">
      <c r="I3820" s="131"/>
      <c r="J3820" s="131"/>
      <c r="K3820" s="131"/>
      <c r="L3820" s="131"/>
      <c r="U3820" s="131"/>
      <c r="V3820" s="131"/>
      <c r="W3820" s="131"/>
      <c r="X3820" s="131"/>
    </row>
    <row r="3821" spans="9:24" x14ac:dyDescent="0.25">
      <c r="I3821" s="131"/>
      <c r="J3821" s="131"/>
      <c r="K3821" s="131"/>
      <c r="L3821" s="131"/>
      <c r="U3821" s="131"/>
      <c r="V3821" s="131"/>
      <c r="W3821" s="131"/>
      <c r="X3821" s="131"/>
    </row>
    <row r="3822" spans="9:24" x14ac:dyDescent="0.25">
      <c r="I3822" s="131"/>
      <c r="J3822" s="131"/>
      <c r="K3822" s="131"/>
      <c r="L3822" s="131"/>
      <c r="U3822" s="131"/>
      <c r="V3822" s="131"/>
      <c r="W3822" s="131"/>
      <c r="X3822" s="131"/>
    </row>
    <row r="3823" spans="9:24" x14ac:dyDescent="0.25">
      <c r="I3823" s="131"/>
      <c r="J3823" s="131"/>
      <c r="K3823" s="131"/>
      <c r="L3823" s="131"/>
      <c r="U3823" s="131"/>
      <c r="V3823" s="131"/>
      <c r="W3823" s="131"/>
      <c r="X3823" s="131"/>
    </row>
    <row r="3824" spans="9:24" x14ac:dyDescent="0.25">
      <c r="I3824" s="131"/>
      <c r="J3824" s="131"/>
      <c r="K3824" s="131"/>
      <c r="L3824" s="131"/>
      <c r="U3824" s="131"/>
      <c r="V3824" s="131"/>
      <c r="W3824" s="131"/>
      <c r="X3824" s="131"/>
    </row>
    <row r="3825" spans="9:24" x14ac:dyDescent="0.25">
      <c r="I3825" s="131"/>
      <c r="J3825" s="131"/>
      <c r="K3825" s="131"/>
      <c r="L3825" s="131"/>
      <c r="U3825" s="131"/>
      <c r="V3825" s="131"/>
      <c r="W3825" s="131"/>
      <c r="X3825" s="131"/>
    </row>
    <row r="3826" spans="9:24" x14ac:dyDescent="0.25">
      <c r="I3826" s="131"/>
      <c r="J3826" s="131"/>
      <c r="K3826" s="131"/>
      <c r="L3826" s="131"/>
      <c r="U3826" s="131"/>
      <c r="V3826" s="131"/>
      <c r="W3826" s="131"/>
      <c r="X3826" s="131"/>
    </row>
    <row r="3827" spans="9:24" x14ac:dyDescent="0.25">
      <c r="I3827" s="131"/>
      <c r="J3827" s="131"/>
      <c r="K3827" s="131"/>
      <c r="L3827" s="131"/>
      <c r="U3827" s="131"/>
      <c r="V3827" s="131"/>
      <c r="W3827" s="131"/>
      <c r="X3827" s="131"/>
    </row>
    <row r="3828" spans="9:24" x14ac:dyDescent="0.25">
      <c r="I3828" s="131"/>
      <c r="J3828" s="131"/>
      <c r="K3828" s="131"/>
      <c r="L3828" s="131"/>
      <c r="U3828" s="131"/>
      <c r="V3828" s="131"/>
      <c r="W3828" s="131"/>
      <c r="X3828" s="131"/>
    </row>
    <row r="3829" spans="9:24" x14ac:dyDescent="0.25">
      <c r="I3829" s="131"/>
      <c r="J3829" s="131"/>
      <c r="K3829" s="131"/>
      <c r="L3829" s="131"/>
      <c r="U3829" s="131"/>
      <c r="V3829" s="131"/>
      <c r="W3829" s="131"/>
      <c r="X3829" s="131"/>
    </row>
    <row r="3830" spans="9:24" x14ac:dyDescent="0.25">
      <c r="I3830" s="131"/>
      <c r="J3830" s="131"/>
      <c r="K3830" s="131"/>
      <c r="L3830" s="131"/>
      <c r="U3830" s="131"/>
      <c r="V3830" s="131"/>
      <c r="W3830" s="131"/>
      <c r="X3830" s="131"/>
    </row>
    <row r="3831" spans="9:24" x14ac:dyDescent="0.25">
      <c r="I3831" s="131"/>
      <c r="J3831" s="131"/>
      <c r="K3831" s="131"/>
      <c r="L3831" s="131"/>
      <c r="U3831" s="131"/>
      <c r="V3831" s="131"/>
      <c r="W3831" s="131"/>
      <c r="X3831" s="131"/>
    </row>
    <row r="3832" spans="9:24" x14ac:dyDescent="0.25">
      <c r="I3832" s="131"/>
      <c r="J3832" s="131"/>
      <c r="K3832" s="131"/>
      <c r="L3832" s="131"/>
      <c r="U3832" s="131"/>
      <c r="V3832" s="131"/>
      <c r="W3832" s="131"/>
      <c r="X3832" s="131"/>
    </row>
    <row r="3833" spans="9:24" x14ac:dyDescent="0.25">
      <c r="I3833" s="131"/>
      <c r="J3833" s="131"/>
      <c r="K3833" s="131"/>
      <c r="L3833" s="131"/>
      <c r="U3833" s="131"/>
      <c r="V3833" s="131"/>
      <c r="W3833" s="131"/>
      <c r="X3833" s="131"/>
    </row>
    <row r="3834" spans="9:24" x14ac:dyDescent="0.25">
      <c r="I3834" s="131"/>
      <c r="J3834" s="131"/>
      <c r="K3834" s="131"/>
      <c r="L3834" s="131"/>
      <c r="U3834" s="131"/>
      <c r="V3834" s="131"/>
      <c r="W3834" s="131"/>
      <c r="X3834" s="131"/>
    </row>
    <row r="3835" spans="9:24" x14ac:dyDescent="0.25">
      <c r="I3835" s="131"/>
      <c r="J3835" s="131"/>
      <c r="K3835" s="131"/>
      <c r="L3835" s="131"/>
      <c r="U3835" s="131"/>
      <c r="V3835" s="131"/>
      <c r="W3835" s="131"/>
      <c r="X3835" s="131"/>
    </row>
    <row r="3836" spans="9:24" x14ac:dyDescent="0.25">
      <c r="I3836" s="131"/>
      <c r="J3836" s="131"/>
      <c r="K3836" s="131"/>
      <c r="L3836" s="131"/>
      <c r="U3836" s="131"/>
      <c r="V3836" s="131"/>
      <c r="W3836" s="131"/>
      <c r="X3836" s="131"/>
    </row>
    <row r="3837" spans="9:24" x14ac:dyDescent="0.25">
      <c r="I3837" s="131"/>
      <c r="J3837" s="131"/>
      <c r="K3837" s="131"/>
      <c r="L3837" s="131"/>
      <c r="U3837" s="131"/>
      <c r="V3837" s="131"/>
      <c r="W3837" s="131"/>
      <c r="X3837" s="131"/>
    </row>
    <row r="3838" spans="9:24" x14ac:dyDescent="0.25">
      <c r="I3838" s="131"/>
      <c r="J3838" s="131"/>
      <c r="K3838" s="131"/>
      <c r="L3838" s="131"/>
      <c r="U3838" s="131"/>
      <c r="V3838" s="131"/>
      <c r="W3838" s="131"/>
      <c r="X3838" s="131"/>
    </row>
    <row r="3839" spans="9:24" x14ac:dyDescent="0.25">
      <c r="I3839" s="131"/>
      <c r="J3839" s="131"/>
      <c r="K3839" s="131"/>
      <c r="L3839" s="131"/>
      <c r="U3839" s="131"/>
      <c r="V3839" s="131"/>
      <c r="W3839" s="131"/>
      <c r="X3839" s="131"/>
    </row>
    <row r="3840" spans="9:24" x14ac:dyDescent="0.25">
      <c r="I3840" s="131"/>
      <c r="J3840" s="131"/>
      <c r="K3840" s="131"/>
      <c r="L3840" s="131"/>
      <c r="U3840" s="131"/>
      <c r="V3840" s="131"/>
      <c r="W3840" s="131"/>
      <c r="X3840" s="131"/>
    </row>
    <row r="3841" spans="9:24" x14ac:dyDescent="0.25">
      <c r="I3841" s="131"/>
      <c r="J3841" s="131"/>
      <c r="K3841" s="131"/>
      <c r="L3841" s="131"/>
      <c r="U3841" s="131"/>
      <c r="V3841" s="131"/>
      <c r="W3841" s="131"/>
      <c r="X3841" s="131"/>
    </row>
    <row r="3842" spans="9:24" x14ac:dyDescent="0.25">
      <c r="I3842" s="131"/>
      <c r="J3842" s="131"/>
      <c r="K3842" s="131"/>
      <c r="L3842" s="131"/>
      <c r="U3842" s="131"/>
      <c r="V3842" s="131"/>
      <c r="W3842" s="131"/>
      <c r="X3842" s="131"/>
    </row>
    <row r="3843" spans="9:24" x14ac:dyDescent="0.25">
      <c r="I3843" s="131"/>
      <c r="J3843" s="131"/>
      <c r="K3843" s="131"/>
      <c r="L3843" s="131"/>
      <c r="U3843" s="131"/>
      <c r="V3843" s="131"/>
      <c r="W3843" s="131"/>
      <c r="X3843" s="131"/>
    </row>
    <row r="3844" spans="9:24" x14ac:dyDescent="0.25">
      <c r="I3844" s="131"/>
      <c r="J3844" s="131"/>
      <c r="K3844" s="131"/>
      <c r="L3844" s="131"/>
      <c r="U3844" s="131"/>
      <c r="V3844" s="131"/>
      <c r="W3844" s="131"/>
      <c r="X3844" s="131"/>
    </row>
    <row r="3845" spans="9:24" x14ac:dyDescent="0.25">
      <c r="I3845" s="131"/>
      <c r="J3845" s="131"/>
      <c r="K3845" s="131"/>
      <c r="L3845" s="131"/>
      <c r="U3845" s="131"/>
      <c r="V3845" s="131"/>
      <c r="W3845" s="131"/>
      <c r="X3845" s="131"/>
    </row>
    <row r="3846" spans="9:24" x14ac:dyDescent="0.25">
      <c r="I3846" s="131"/>
      <c r="J3846" s="131"/>
      <c r="K3846" s="131"/>
      <c r="L3846" s="131"/>
      <c r="U3846" s="131"/>
      <c r="V3846" s="131"/>
      <c r="W3846" s="131"/>
      <c r="X3846" s="131"/>
    </row>
    <row r="3847" spans="9:24" x14ac:dyDescent="0.25">
      <c r="I3847" s="131"/>
      <c r="J3847" s="131"/>
      <c r="K3847" s="131"/>
      <c r="L3847" s="131"/>
      <c r="U3847" s="131"/>
      <c r="V3847" s="131"/>
      <c r="W3847" s="131"/>
      <c r="X3847" s="131"/>
    </row>
    <row r="3848" spans="9:24" x14ac:dyDescent="0.25">
      <c r="I3848" s="131"/>
      <c r="J3848" s="131"/>
      <c r="K3848" s="131"/>
      <c r="L3848" s="131"/>
      <c r="U3848" s="131"/>
      <c r="V3848" s="131"/>
      <c r="W3848" s="131"/>
      <c r="X3848" s="131"/>
    </row>
    <row r="3849" spans="9:24" x14ac:dyDescent="0.25">
      <c r="I3849" s="131"/>
      <c r="J3849" s="131"/>
      <c r="K3849" s="131"/>
      <c r="L3849" s="131"/>
      <c r="U3849" s="131"/>
      <c r="V3849" s="131"/>
      <c r="W3849" s="131"/>
      <c r="X3849" s="131"/>
    </row>
    <row r="3850" spans="9:24" x14ac:dyDescent="0.25">
      <c r="I3850" s="131"/>
      <c r="J3850" s="131"/>
      <c r="K3850" s="131"/>
      <c r="L3850" s="131"/>
      <c r="U3850" s="131"/>
      <c r="V3850" s="131"/>
      <c r="W3850" s="131"/>
      <c r="X3850" s="131"/>
    </row>
    <row r="3851" spans="9:24" x14ac:dyDescent="0.25">
      <c r="I3851" s="131"/>
      <c r="J3851" s="131"/>
      <c r="K3851" s="131"/>
      <c r="L3851" s="131"/>
      <c r="U3851" s="131"/>
      <c r="V3851" s="131"/>
      <c r="W3851" s="131"/>
      <c r="X3851" s="131"/>
    </row>
    <row r="3852" spans="9:24" x14ac:dyDescent="0.25">
      <c r="I3852" s="131"/>
      <c r="J3852" s="131"/>
      <c r="K3852" s="131"/>
      <c r="L3852" s="131"/>
      <c r="U3852" s="131"/>
      <c r="V3852" s="131"/>
      <c r="W3852" s="131"/>
      <c r="X3852" s="131"/>
    </row>
    <row r="3853" spans="9:24" x14ac:dyDescent="0.25">
      <c r="I3853" s="131"/>
      <c r="J3853" s="131"/>
      <c r="K3853" s="131"/>
      <c r="L3853" s="131"/>
      <c r="U3853" s="131"/>
      <c r="V3853" s="131"/>
      <c r="W3853" s="131"/>
      <c r="X3853" s="131"/>
    </row>
    <row r="3854" spans="9:24" x14ac:dyDescent="0.25">
      <c r="I3854" s="131"/>
      <c r="J3854" s="131"/>
      <c r="K3854" s="131"/>
      <c r="L3854" s="131"/>
      <c r="U3854" s="131"/>
      <c r="V3854" s="131"/>
      <c r="W3854" s="131"/>
      <c r="X3854" s="131"/>
    </row>
    <row r="3855" spans="9:24" x14ac:dyDescent="0.25">
      <c r="I3855" s="131"/>
      <c r="J3855" s="131"/>
      <c r="K3855" s="131"/>
      <c r="L3855" s="131"/>
      <c r="U3855" s="131"/>
      <c r="V3855" s="131"/>
      <c r="W3855" s="131"/>
      <c r="X3855" s="131"/>
    </row>
    <row r="3856" spans="9:24" x14ac:dyDescent="0.25">
      <c r="I3856" s="131"/>
      <c r="J3856" s="131"/>
      <c r="K3856" s="131"/>
      <c r="L3856" s="131"/>
      <c r="U3856" s="131"/>
      <c r="V3856" s="131"/>
      <c r="W3856" s="131"/>
      <c r="X3856" s="131"/>
    </row>
    <row r="3857" spans="9:24" x14ac:dyDescent="0.25">
      <c r="I3857" s="131"/>
      <c r="J3857" s="131"/>
      <c r="K3857" s="131"/>
      <c r="L3857" s="131"/>
      <c r="U3857" s="131"/>
      <c r="V3857" s="131"/>
      <c r="W3857" s="131"/>
      <c r="X3857" s="131"/>
    </row>
    <row r="3858" spans="9:24" x14ac:dyDescent="0.25">
      <c r="I3858" s="131"/>
      <c r="J3858" s="131"/>
      <c r="K3858" s="131"/>
      <c r="L3858" s="131"/>
      <c r="U3858" s="131"/>
      <c r="V3858" s="131"/>
      <c r="W3858" s="131"/>
      <c r="X3858" s="131"/>
    </row>
    <row r="3859" spans="9:24" x14ac:dyDescent="0.25">
      <c r="I3859" s="131"/>
      <c r="J3859" s="131"/>
      <c r="K3859" s="131"/>
      <c r="L3859" s="131"/>
      <c r="U3859" s="131"/>
      <c r="V3859" s="131"/>
      <c r="W3859" s="131"/>
      <c r="X3859" s="131"/>
    </row>
    <row r="3860" spans="9:24" x14ac:dyDescent="0.25">
      <c r="I3860" s="131"/>
      <c r="J3860" s="131"/>
      <c r="K3860" s="131"/>
      <c r="L3860" s="131"/>
      <c r="U3860" s="131"/>
      <c r="V3860" s="131"/>
      <c r="W3860" s="131"/>
      <c r="X3860" s="131"/>
    </row>
    <row r="3861" spans="9:24" x14ac:dyDescent="0.25">
      <c r="I3861" s="131"/>
      <c r="J3861" s="131"/>
      <c r="K3861" s="131"/>
      <c r="L3861" s="131"/>
      <c r="U3861" s="131"/>
      <c r="V3861" s="131"/>
      <c r="W3861" s="131"/>
      <c r="X3861" s="131"/>
    </row>
    <row r="3862" spans="9:24" x14ac:dyDescent="0.25">
      <c r="I3862" s="131"/>
      <c r="J3862" s="131"/>
      <c r="K3862" s="131"/>
      <c r="L3862" s="131"/>
      <c r="U3862" s="131"/>
      <c r="V3862" s="131"/>
      <c r="W3862" s="131"/>
      <c r="X3862" s="131"/>
    </row>
    <row r="3863" spans="9:24" x14ac:dyDescent="0.25">
      <c r="I3863" s="131"/>
      <c r="J3863" s="131"/>
      <c r="K3863" s="131"/>
      <c r="L3863" s="131"/>
      <c r="U3863" s="131"/>
      <c r="V3863" s="131"/>
      <c r="W3863" s="131"/>
      <c r="X3863" s="131"/>
    </row>
    <row r="3864" spans="9:24" x14ac:dyDescent="0.25">
      <c r="I3864" s="131"/>
      <c r="J3864" s="131"/>
      <c r="K3864" s="131"/>
      <c r="L3864" s="131"/>
      <c r="U3864" s="131"/>
      <c r="V3864" s="131"/>
      <c r="W3864" s="131"/>
      <c r="X3864" s="131"/>
    </row>
    <row r="3865" spans="9:24" x14ac:dyDescent="0.25">
      <c r="I3865" s="131"/>
      <c r="J3865" s="131"/>
      <c r="K3865" s="131"/>
      <c r="L3865" s="131"/>
      <c r="U3865" s="131"/>
      <c r="V3865" s="131"/>
      <c r="W3865" s="131"/>
      <c r="X3865" s="131"/>
    </row>
    <row r="3866" spans="9:24" x14ac:dyDescent="0.25">
      <c r="I3866" s="131"/>
      <c r="J3866" s="131"/>
      <c r="K3866" s="131"/>
      <c r="L3866" s="131"/>
      <c r="U3866" s="131"/>
      <c r="V3866" s="131"/>
      <c r="W3866" s="131"/>
      <c r="X3866" s="131"/>
    </row>
    <row r="3867" spans="9:24" x14ac:dyDescent="0.25">
      <c r="I3867" s="131"/>
      <c r="J3867" s="131"/>
      <c r="K3867" s="131"/>
      <c r="L3867" s="131"/>
      <c r="U3867" s="131"/>
      <c r="V3867" s="131"/>
      <c r="W3867" s="131"/>
      <c r="X3867" s="131"/>
    </row>
    <row r="3868" spans="9:24" x14ac:dyDescent="0.25">
      <c r="I3868" s="131"/>
      <c r="J3868" s="131"/>
      <c r="K3868" s="131"/>
      <c r="L3868" s="131"/>
      <c r="U3868" s="131"/>
      <c r="V3868" s="131"/>
      <c r="W3868" s="131"/>
      <c r="X3868" s="131"/>
    </row>
    <row r="3869" spans="9:24" x14ac:dyDescent="0.25">
      <c r="I3869" s="131"/>
      <c r="J3869" s="131"/>
      <c r="K3869" s="131"/>
      <c r="L3869" s="131"/>
      <c r="U3869" s="131"/>
      <c r="V3869" s="131"/>
      <c r="W3869" s="131"/>
      <c r="X3869" s="131"/>
    </row>
    <row r="3870" spans="9:24" x14ac:dyDescent="0.25">
      <c r="I3870" s="131"/>
      <c r="J3870" s="131"/>
      <c r="K3870" s="131"/>
      <c r="L3870" s="131"/>
      <c r="U3870" s="131"/>
      <c r="V3870" s="131"/>
      <c r="W3870" s="131"/>
      <c r="X3870" s="131"/>
    </row>
    <row r="3871" spans="9:24" x14ac:dyDescent="0.25">
      <c r="I3871" s="131"/>
      <c r="J3871" s="131"/>
      <c r="K3871" s="131"/>
      <c r="L3871" s="131"/>
      <c r="U3871" s="131"/>
      <c r="V3871" s="131"/>
      <c r="W3871" s="131"/>
      <c r="X3871" s="131"/>
    </row>
    <row r="3872" spans="9:24" x14ac:dyDescent="0.25">
      <c r="I3872" s="131"/>
      <c r="J3872" s="131"/>
      <c r="K3872" s="131"/>
      <c r="L3872" s="131"/>
      <c r="U3872" s="131"/>
      <c r="V3872" s="131"/>
      <c r="W3872" s="131"/>
      <c r="X3872" s="131"/>
    </row>
    <row r="3873" spans="9:24" x14ac:dyDescent="0.25">
      <c r="I3873" s="131"/>
      <c r="J3873" s="131"/>
      <c r="K3873" s="131"/>
      <c r="L3873" s="131"/>
      <c r="U3873" s="131"/>
      <c r="V3873" s="131"/>
      <c r="W3873" s="131"/>
      <c r="X3873" s="131"/>
    </row>
    <row r="3874" spans="9:24" x14ac:dyDescent="0.25">
      <c r="I3874" s="131"/>
      <c r="J3874" s="131"/>
      <c r="K3874" s="131"/>
      <c r="L3874" s="131"/>
      <c r="U3874" s="131"/>
      <c r="V3874" s="131"/>
      <c r="W3874" s="131"/>
      <c r="X3874" s="131"/>
    </row>
    <row r="3875" spans="9:24" x14ac:dyDescent="0.25">
      <c r="I3875" s="131"/>
      <c r="J3875" s="131"/>
      <c r="K3875" s="131"/>
      <c r="L3875" s="131"/>
      <c r="U3875" s="131"/>
      <c r="V3875" s="131"/>
      <c r="W3875" s="131"/>
      <c r="X3875" s="131"/>
    </row>
    <row r="3876" spans="9:24" x14ac:dyDescent="0.25">
      <c r="I3876" s="131"/>
      <c r="J3876" s="131"/>
      <c r="K3876" s="131"/>
      <c r="L3876" s="131"/>
      <c r="U3876" s="131"/>
      <c r="V3876" s="131"/>
      <c r="W3876" s="131"/>
      <c r="X3876" s="131"/>
    </row>
    <row r="3877" spans="9:24" x14ac:dyDescent="0.25">
      <c r="I3877" s="131"/>
      <c r="J3877" s="131"/>
      <c r="K3877" s="131"/>
      <c r="L3877" s="131"/>
      <c r="U3877" s="131"/>
      <c r="V3877" s="131"/>
      <c r="W3877" s="131"/>
      <c r="X3877" s="131"/>
    </row>
    <row r="3878" spans="9:24" x14ac:dyDescent="0.25">
      <c r="I3878" s="131"/>
      <c r="J3878" s="131"/>
      <c r="K3878" s="131"/>
      <c r="L3878" s="131"/>
      <c r="U3878" s="131"/>
      <c r="V3878" s="131"/>
      <c r="W3878" s="131"/>
      <c r="X3878" s="131"/>
    </row>
    <row r="3879" spans="9:24" x14ac:dyDescent="0.25">
      <c r="I3879" s="131"/>
      <c r="J3879" s="131"/>
      <c r="K3879" s="131"/>
      <c r="L3879" s="131"/>
      <c r="U3879" s="131"/>
      <c r="V3879" s="131"/>
      <c r="W3879" s="131"/>
      <c r="X3879" s="131"/>
    </row>
    <row r="3880" spans="9:24" x14ac:dyDescent="0.25">
      <c r="I3880" s="131"/>
      <c r="J3880" s="131"/>
      <c r="K3880" s="131"/>
      <c r="L3880" s="131"/>
      <c r="U3880" s="131"/>
      <c r="V3880" s="131"/>
      <c r="W3880" s="131"/>
      <c r="X3880" s="131"/>
    </row>
    <row r="3881" spans="9:24" x14ac:dyDescent="0.25">
      <c r="I3881" s="131"/>
      <c r="J3881" s="131"/>
      <c r="K3881" s="131"/>
      <c r="L3881" s="131"/>
      <c r="U3881" s="131"/>
      <c r="V3881" s="131"/>
      <c r="W3881" s="131"/>
      <c r="X3881" s="131"/>
    </row>
    <row r="3882" spans="9:24" x14ac:dyDescent="0.25">
      <c r="I3882" s="131"/>
      <c r="J3882" s="131"/>
      <c r="K3882" s="131"/>
      <c r="L3882" s="131"/>
      <c r="U3882" s="131"/>
      <c r="V3882" s="131"/>
      <c r="W3882" s="131"/>
      <c r="X3882" s="131"/>
    </row>
    <row r="3883" spans="9:24" x14ac:dyDescent="0.25">
      <c r="I3883" s="131"/>
      <c r="J3883" s="131"/>
      <c r="K3883" s="131"/>
      <c r="L3883" s="131"/>
      <c r="U3883" s="131"/>
      <c r="V3883" s="131"/>
      <c r="W3883" s="131"/>
      <c r="X3883" s="131"/>
    </row>
    <row r="3884" spans="9:24" x14ac:dyDescent="0.25">
      <c r="I3884" s="131"/>
      <c r="J3884" s="131"/>
      <c r="K3884" s="131"/>
      <c r="L3884" s="131"/>
      <c r="U3884" s="131"/>
      <c r="V3884" s="131"/>
      <c r="W3884" s="131"/>
      <c r="X3884" s="131"/>
    </row>
    <row r="3885" spans="9:24" x14ac:dyDescent="0.25">
      <c r="I3885" s="131"/>
      <c r="J3885" s="131"/>
      <c r="K3885" s="131"/>
      <c r="L3885" s="131"/>
      <c r="U3885" s="131"/>
      <c r="V3885" s="131"/>
      <c r="W3885" s="131"/>
      <c r="X3885" s="131"/>
    </row>
    <row r="3886" spans="9:24" x14ac:dyDescent="0.25">
      <c r="I3886" s="131"/>
      <c r="J3886" s="131"/>
      <c r="K3886" s="131"/>
      <c r="L3886" s="131"/>
      <c r="U3886" s="131"/>
      <c r="V3886" s="131"/>
      <c r="W3886" s="131"/>
      <c r="X3886" s="131"/>
    </row>
    <row r="3887" spans="9:24" x14ac:dyDescent="0.25">
      <c r="I3887" s="131"/>
      <c r="J3887" s="131"/>
      <c r="K3887" s="131"/>
      <c r="L3887" s="131"/>
      <c r="U3887" s="131"/>
      <c r="V3887" s="131"/>
      <c r="W3887" s="131"/>
      <c r="X3887" s="131"/>
    </row>
    <row r="3888" spans="9:24" x14ac:dyDescent="0.25">
      <c r="I3888" s="131"/>
      <c r="J3888" s="131"/>
      <c r="K3888" s="131"/>
      <c r="L3888" s="131"/>
      <c r="U3888" s="131"/>
      <c r="V3888" s="131"/>
      <c r="W3888" s="131"/>
      <c r="X3888" s="131"/>
    </row>
    <row r="3889" spans="9:24" x14ac:dyDescent="0.25">
      <c r="I3889" s="131"/>
      <c r="J3889" s="131"/>
      <c r="K3889" s="131"/>
      <c r="L3889" s="131"/>
      <c r="U3889" s="131"/>
      <c r="V3889" s="131"/>
      <c r="W3889" s="131"/>
      <c r="X3889" s="131"/>
    </row>
    <row r="3890" spans="9:24" x14ac:dyDescent="0.25">
      <c r="I3890" s="131"/>
      <c r="J3890" s="131"/>
      <c r="K3890" s="131"/>
      <c r="L3890" s="131"/>
      <c r="U3890" s="131"/>
      <c r="V3890" s="131"/>
      <c r="W3890" s="131"/>
      <c r="X3890" s="131"/>
    </row>
    <row r="3891" spans="9:24" x14ac:dyDescent="0.25">
      <c r="I3891" s="131"/>
      <c r="J3891" s="131"/>
      <c r="K3891" s="131"/>
      <c r="L3891" s="131"/>
      <c r="U3891" s="131"/>
      <c r="V3891" s="131"/>
      <c r="W3891" s="131"/>
      <c r="X3891" s="131"/>
    </row>
    <row r="3892" spans="9:24" x14ac:dyDescent="0.25">
      <c r="I3892" s="131"/>
      <c r="J3892" s="131"/>
      <c r="K3892" s="131"/>
      <c r="L3892" s="131"/>
      <c r="U3892" s="131"/>
      <c r="V3892" s="131"/>
      <c r="W3892" s="131"/>
      <c r="X3892" s="131"/>
    </row>
    <row r="3893" spans="9:24" x14ac:dyDescent="0.25">
      <c r="I3893" s="131"/>
      <c r="J3893" s="131"/>
      <c r="K3893" s="131"/>
      <c r="L3893" s="131"/>
      <c r="U3893" s="131"/>
      <c r="V3893" s="131"/>
      <c r="W3893" s="131"/>
      <c r="X3893" s="131"/>
    </row>
    <row r="3894" spans="9:24" x14ac:dyDescent="0.25">
      <c r="I3894" s="131"/>
      <c r="J3894" s="131"/>
      <c r="K3894" s="131"/>
      <c r="L3894" s="131"/>
      <c r="U3894" s="131"/>
      <c r="V3894" s="131"/>
      <c r="W3894" s="131"/>
      <c r="X3894" s="131"/>
    </row>
    <row r="3895" spans="9:24" x14ac:dyDescent="0.25">
      <c r="I3895" s="131"/>
      <c r="J3895" s="131"/>
      <c r="K3895" s="131"/>
      <c r="L3895" s="131"/>
      <c r="U3895" s="131"/>
      <c r="V3895" s="131"/>
      <c r="W3895" s="131"/>
      <c r="X3895" s="131"/>
    </row>
    <row r="3896" spans="9:24" x14ac:dyDescent="0.25">
      <c r="I3896" s="131"/>
      <c r="J3896" s="131"/>
      <c r="K3896" s="131"/>
      <c r="L3896" s="131"/>
      <c r="U3896" s="131"/>
      <c r="V3896" s="131"/>
      <c r="W3896" s="131"/>
      <c r="X3896" s="131"/>
    </row>
    <row r="3897" spans="9:24" x14ac:dyDescent="0.25">
      <c r="I3897" s="131"/>
      <c r="J3897" s="131"/>
      <c r="K3897" s="131"/>
      <c r="L3897" s="131"/>
      <c r="U3897" s="131"/>
      <c r="V3897" s="131"/>
      <c r="W3897" s="131"/>
      <c r="X3897" s="131"/>
    </row>
    <row r="3898" spans="9:24" x14ac:dyDescent="0.25">
      <c r="I3898" s="131"/>
      <c r="J3898" s="131"/>
      <c r="K3898" s="131"/>
      <c r="L3898" s="131"/>
      <c r="U3898" s="131"/>
      <c r="V3898" s="131"/>
      <c r="W3898" s="131"/>
      <c r="X3898" s="131"/>
    </row>
    <row r="3899" spans="9:24" x14ac:dyDescent="0.25">
      <c r="I3899" s="131"/>
      <c r="J3899" s="131"/>
      <c r="K3899" s="131"/>
      <c r="L3899" s="131"/>
      <c r="U3899" s="131"/>
      <c r="V3899" s="131"/>
      <c r="W3899" s="131"/>
      <c r="X3899" s="131"/>
    </row>
    <row r="3900" spans="9:24" x14ac:dyDescent="0.25">
      <c r="I3900" s="131"/>
      <c r="J3900" s="131"/>
      <c r="K3900" s="131"/>
      <c r="L3900" s="131"/>
      <c r="U3900" s="131"/>
      <c r="V3900" s="131"/>
      <c r="W3900" s="131"/>
      <c r="X3900" s="131"/>
    </row>
    <row r="3901" spans="9:24" x14ac:dyDescent="0.25">
      <c r="I3901" s="131"/>
      <c r="J3901" s="131"/>
      <c r="K3901" s="131"/>
      <c r="L3901" s="131"/>
      <c r="U3901" s="131"/>
      <c r="V3901" s="131"/>
      <c r="W3901" s="131"/>
      <c r="X3901" s="131"/>
    </row>
    <row r="3902" spans="9:24" x14ac:dyDescent="0.25">
      <c r="I3902" s="131"/>
      <c r="J3902" s="131"/>
      <c r="K3902" s="131"/>
      <c r="L3902" s="131"/>
      <c r="U3902" s="131"/>
      <c r="V3902" s="131"/>
      <c r="W3902" s="131"/>
      <c r="X3902" s="131"/>
    </row>
    <row r="3903" spans="9:24" x14ac:dyDescent="0.25">
      <c r="I3903" s="131"/>
      <c r="J3903" s="131"/>
      <c r="K3903" s="131"/>
      <c r="L3903" s="131"/>
      <c r="U3903" s="131"/>
      <c r="V3903" s="131"/>
      <c r="W3903" s="131"/>
      <c r="X3903" s="131"/>
    </row>
    <row r="3904" spans="9:24" x14ac:dyDescent="0.25">
      <c r="I3904" s="131"/>
      <c r="J3904" s="131"/>
      <c r="K3904" s="131"/>
      <c r="L3904" s="131"/>
      <c r="U3904" s="131"/>
      <c r="V3904" s="131"/>
      <c r="W3904" s="131"/>
      <c r="X3904" s="131"/>
    </row>
    <row r="3905" spans="9:24" x14ac:dyDescent="0.25">
      <c r="I3905" s="131"/>
      <c r="J3905" s="131"/>
      <c r="K3905" s="131"/>
      <c r="L3905" s="131"/>
      <c r="U3905" s="131"/>
      <c r="V3905" s="131"/>
      <c r="W3905" s="131"/>
      <c r="X3905" s="131"/>
    </row>
    <row r="3906" spans="9:24" x14ac:dyDescent="0.25">
      <c r="I3906" s="131"/>
      <c r="J3906" s="131"/>
      <c r="K3906" s="131"/>
      <c r="L3906" s="131"/>
      <c r="U3906" s="131"/>
      <c r="V3906" s="131"/>
      <c r="W3906" s="131"/>
      <c r="X3906" s="131"/>
    </row>
    <row r="3907" spans="9:24" x14ac:dyDescent="0.25">
      <c r="I3907" s="131"/>
      <c r="J3907" s="131"/>
      <c r="K3907" s="131"/>
      <c r="L3907" s="131"/>
      <c r="U3907" s="131"/>
      <c r="V3907" s="131"/>
      <c r="W3907" s="131"/>
      <c r="X3907" s="131"/>
    </row>
    <row r="3908" spans="9:24" x14ac:dyDescent="0.25">
      <c r="I3908" s="131"/>
      <c r="J3908" s="131"/>
      <c r="K3908" s="131"/>
      <c r="L3908" s="131"/>
      <c r="U3908" s="131"/>
      <c r="V3908" s="131"/>
      <c r="W3908" s="131"/>
      <c r="X3908" s="131"/>
    </row>
    <row r="3909" spans="9:24" x14ac:dyDescent="0.25">
      <c r="I3909" s="131"/>
      <c r="J3909" s="131"/>
      <c r="K3909" s="131"/>
      <c r="L3909" s="131"/>
      <c r="U3909" s="131"/>
      <c r="V3909" s="131"/>
      <c r="W3909" s="131"/>
      <c r="X3909" s="131"/>
    </row>
    <row r="3910" spans="9:24" x14ac:dyDescent="0.25">
      <c r="I3910" s="131"/>
      <c r="J3910" s="131"/>
      <c r="K3910" s="131"/>
      <c r="L3910" s="131"/>
      <c r="U3910" s="131"/>
      <c r="V3910" s="131"/>
      <c r="W3910" s="131"/>
      <c r="X3910" s="131"/>
    </row>
    <row r="3911" spans="9:24" x14ac:dyDescent="0.25">
      <c r="I3911" s="131"/>
      <c r="J3911" s="131"/>
      <c r="K3911" s="131"/>
      <c r="L3911" s="131"/>
      <c r="U3911" s="131"/>
      <c r="V3911" s="131"/>
      <c r="W3911" s="131"/>
      <c r="X3911" s="131"/>
    </row>
    <row r="3912" spans="9:24" x14ac:dyDescent="0.25">
      <c r="I3912" s="131"/>
      <c r="J3912" s="131"/>
      <c r="K3912" s="131"/>
      <c r="L3912" s="131"/>
      <c r="U3912" s="131"/>
      <c r="V3912" s="131"/>
      <c r="W3912" s="131"/>
      <c r="X3912" s="131"/>
    </row>
    <row r="3913" spans="9:24" x14ac:dyDescent="0.25">
      <c r="I3913" s="131"/>
      <c r="J3913" s="131"/>
      <c r="K3913" s="131"/>
      <c r="L3913" s="131"/>
      <c r="U3913" s="131"/>
      <c r="V3913" s="131"/>
      <c r="W3913" s="131"/>
      <c r="X3913" s="131"/>
    </row>
    <row r="3914" spans="9:24" x14ac:dyDescent="0.25">
      <c r="I3914" s="131"/>
      <c r="J3914" s="131"/>
      <c r="K3914" s="131"/>
      <c r="L3914" s="131"/>
      <c r="U3914" s="131"/>
      <c r="V3914" s="131"/>
      <c r="W3914" s="131"/>
      <c r="X3914" s="131"/>
    </row>
    <row r="3915" spans="9:24" x14ac:dyDescent="0.25">
      <c r="I3915" s="131"/>
      <c r="J3915" s="131"/>
      <c r="K3915" s="131"/>
      <c r="L3915" s="131"/>
      <c r="U3915" s="131"/>
      <c r="V3915" s="131"/>
      <c r="W3915" s="131"/>
      <c r="X3915" s="131"/>
    </row>
    <row r="3916" spans="9:24" x14ac:dyDescent="0.25">
      <c r="I3916" s="131"/>
      <c r="J3916" s="131"/>
      <c r="K3916" s="131"/>
      <c r="L3916" s="131"/>
      <c r="U3916" s="131"/>
      <c r="V3916" s="131"/>
      <c r="W3916" s="131"/>
      <c r="X3916" s="131"/>
    </row>
    <row r="3917" spans="9:24" x14ac:dyDescent="0.25">
      <c r="I3917" s="131"/>
      <c r="J3917" s="131"/>
      <c r="K3917" s="131"/>
      <c r="L3917" s="131"/>
      <c r="U3917" s="131"/>
      <c r="V3917" s="131"/>
      <c r="W3917" s="131"/>
      <c r="X3917" s="131"/>
    </row>
    <row r="3918" spans="9:24" x14ac:dyDescent="0.25">
      <c r="I3918" s="131"/>
      <c r="J3918" s="131"/>
      <c r="K3918" s="131"/>
      <c r="L3918" s="131"/>
      <c r="U3918" s="131"/>
      <c r="V3918" s="131"/>
      <c r="W3918" s="131"/>
      <c r="X3918" s="131"/>
    </row>
    <row r="3919" spans="9:24" x14ac:dyDescent="0.25">
      <c r="I3919" s="131"/>
      <c r="J3919" s="131"/>
      <c r="K3919" s="131"/>
      <c r="L3919" s="131"/>
      <c r="U3919" s="131"/>
      <c r="V3919" s="131"/>
      <c r="W3919" s="131"/>
      <c r="X3919" s="131"/>
    </row>
    <row r="3920" spans="9:24" x14ac:dyDescent="0.25">
      <c r="I3920" s="131"/>
      <c r="J3920" s="131"/>
      <c r="K3920" s="131"/>
      <c r="L3920" s="131"/>
      <c r="U3920" s="131"/>
      <c r="V3920" s="131"/>
      <c r="W3920" s="131"/>
      <c r="X3920" s="131"/>
    </row>
    <row r="3921" spans="9:24" x14ac:dyDescent="0.25">
      <c r="I3921" s="131"/>
      <c r="J3921" s="131"/>
      <c r="K3921" s="131"/>
      <c r="L3921" s="131"/>
      <c r="U3921" s="131"/>
      <c r="V3921" s="131"/>
      <c r="W3921" s="131"/>
      <c r="X3921" s="131"/>
    </row>
    <row r="3922" spans="9:24" x14ac:dyDescent="0.25">
      <c r="I3922" s="131"/>
      <c r="J3922" s="131"/>
      <c r="K3922" s="131"/>
      <c r="L3922" s="131"/>
      <c r="U3922" s="131"/>
      <c r="V3922" s="131"/>
      <c r="W3922" s="131"/>
      <c r="X3922" s="131"/>
    </row>
    <row r="3923" spans="9:24" x14ac:dyDescent="0.25">
      <c r="I3923" s="131"/>
      <c r="J3923" s="131"/>
      <c r="K3923" s="131"/>
      <c r="L3923" s="131"/>
      <c r="U3923" s="131"/>
      <c r="V3923" s="131"/>
      <c r="W3923" s="131"/>
      <c r="X3923" s="131"/>
    </row>
    <row r="3924" spans="9:24" x14ac:dyDescent="0.25">
      <c r="I3924" s="131"/>
      <c r="J3924" s="131"/>
      <c r="K3924" s="131"/>
      <c r="L3924" s="131"/>
      <c r="U3924" s="131"/>
      <c r="V3924" s="131"/>
      <c r="W3924" s="131"/>
      <c r="X3924" s="131"/>
    </row>
    <row r="3925" spans="9:24" x14ac:dyDescent="0.25">
      <c r="I3925" s="131"/>
      <c r="J3925" s="131"/>
      <c r="K3925" s="131"/>
      <c r="L3925" s="131"/>
      <c r="U3925" s="131"/>
      <c r="V3925" s="131"/>
      <c r="W3925" s="131"/>
      <c r="X3925" s="131"/>
    </row>
    <row r="3926" spans="9:24" x14ac:dyDescent="0.25">
      <c r="I3926" s="131"/>
      <c r="J3926" s="131"/>
      <c r="K3926" s="131"/>
      <c r="L3926" s="131"/>
      <c r="U3926" s="131"/>
      <c r="V3926" s="131"/>
      <c r="W3926" s="131"/>
      <c r="X3926" s="131"/>
    </row>
    <row r="3927" spans="9:24" x14ac:dyDescent="0.25">
      <c r="I3927" s="131"/>
      <c r="J3927" s="131"/>
      <c r="K3927" s="131"/>
      <c r="L3927" s="131"/>
      <c r="U3927" s="131"/>
      <c r="V3927" s="131"/>
      <c r="W3927" s="131"/>
      <c r="X3927" s="131"/>
    </row>
    <row r="3928" spans="9:24" x14ac:dyDescent="0.25">
      <c r="I3928" s="131"/>
      <c r="J3928" s="131"/>
      <c r="K3928" s="131"/>
      <c r="L3928" s="131"/>
      <c r="U3928" s="131"/>
      <c r="V3928" s="131"/>
      <c r="W3928" s="131"/>
      <c r="X3928" s="131"/>
    </row>
    <row r="3929" spans="9:24" x14ac:dyDescent="0.25">
      <c r="I3929" s="131"/>
      <c r="J3929" s="131"/>
      <c r="K3929" s="131"/>
      <c r="L3929" s="131"/>
      <c r="U3929" s="131"/>
      <c r="V3929" s="131"/>
      <c r="W3929" s="131"/>
      <c r="X3929" s="131"/>
    </row>
    <row r="3930" spans="9:24" x14ac:dyDescent="0.25">
      <c r="I3930" s="131"/>
      <c r="J3930" s="131"/>
      <c r="K3930" s="131"/>
      <c r="L3930" s="131"/>
      <c r="U3930" s="131"/>
      <c r="V3930" s="131"/>
      <c r="W3930" s="131"/>
      <c r="X3930" s="131"/>
    </row>
    <row r="3931" spans="9:24" x14ac:dyDescent="0.25">
      <c r="I3931" s="131"/>
      <c r="J3931" s="131"/>
      <c r="K3931" s="131"/>
      <c r="L3931" s="131"/>
      <c r="U3931" s="131"/>
      <c r="V3931" s="131"/>
      <c r="W3931" s="131"/>
      <c r="X3931" s="131"/>
    </row>
    <row r="3932" spans="9:24" x14ac:dyDescent="0.25">
      <c r="I3932" s="131"/>
      <c r="J3932" s="131"/>
      <c r="K3932" s="131"/>
      <c r="L3932" s="131"/>
      <c r="U3932" s="131"/>
      <c r="V3932" s="131"/>
      <c r="W3932" s="131"/>
      <c r="X3932" s="131"/>
    </row>
    <row r="3933" spans="9:24" x14ac:dyDescent="0.25">
      <c r="I3933" s="131"/>
      <c r="J3933" s="131"/>
      <c r="K3933" s="131"/>
      <c r="L3933" s="131"/>
      <c r="U3933" s="131"/>
      <c r="V3933" s="131"/>
      <c r="W3933" s="131"/>
      <c r="X3933" s="131"/>
    </row>
    <row r="3934" spans="9:24" x14ac:dyDescent="0.25">
      <c r="I3934" s="131"/>
      <c r="J3934" s="131"/>
      <c r="K3934" s="131"/>
      <c r="L3934" s="131"/>
      <c r="U3934" s="131"/>
      <c r="V3934" s="131"/>
      <c r="W3934" s="131"/>
      <c r="X3934" s="131"/>
    </row>
    <row r="3935" spans="9:24" x14ac:dyDescent="0.25">
      <c r="I3935" s="131"/>
      <c r="J3935" s="131"/>
      <c r="K3935" s="131"/>
      <c r="L3935" s="131"/>
      <c r="U3935" s="131"/>
      <c r="V3935" s="131"/>
      <c r="W3935" s="131"/>
      <c r="X3935" s="131"/>
    </row>
    <row r="3936" spans="9:24" x14ac:dyDescent="0.25">
      <c r="I3936" s="131"/>
      <c r="J3936" s="131"/>
      <c r="K3936" s="131"/>
      <c r="L3936" s="131"/>
      <c r="U3936" s="131"/>
      <c r="V3936" s="131"/>
      <c r="W3936" s="131"/>
      <c r="X3936" s="131"/>
    </row>
    <row r="3937" spans="9:24" x14ac:dyDescent="0.25">
      <c r="I3937" s="131"/>
      <c r="J3937" s="131"/>
      <c r="K3937" s="131"/>
      <c r="L3937" s="131"/>
      <c r="U3937" s="131"/>
      <c r="V3937" s="131"/>
      <c r="W3937" s="131"/>
      <c r="X3937" s="131"/>
    </row>
    <row r="3938" spans="9:24" x14ac:dyDescent="0.25">
      <c r="I3938" s="131"/>
      <c r="J3938" s="131"/>
      <c r="K3938" s="131"/>
      <c r="L3938" s="131"/>
      <c r="U3938" s="131"/>
      <c r="V3938" s="131"/>
      <c r="W3938" s="131"/>
      <c r="X3938" s="131"/>
    </row>
    <row r="3939" spans="9:24" x14ac:dyDescent="0.25">
      <c r="I3939" s="131"/>
      <c r="J3939" s="131"/>
      <c r="K3939" s="131"/>
      <c r="L3939" s="131"/>
      <c r="U3939" s="131"/>
      <c r="V3939" s="131"/>
      <c r="W3939" s="131"/>
      <c r="X3939" s="131"/>
    </row>
    <row r="3940" spans="9:24" x14ac:dyDescent="0.25">
      <c r="I3940" s="131"/>
      <c r="J3940" s="131"/>
      <c r="K3940" s="131"/>
      <c r="L3940" s="131"/>
      <c r="U3940" s="131"/>
      <c r="V3940" s="131"/>
      <c r="W3940" s="131"/>
      <c r="X3940" s="131"/>
    </row>
    <row r="3941" spans="9:24" x14ac:dyDescent="0.25">
      <c r="I3941" s="131"/>
      <c r="J3941" s="131"/>
      <c r="K3941" s="131"/>
      <c r="L3941" s="131"/>
      <c r="U3941" s="131"/>
      <c r="V3941" s="131"/>
      <c r="W3941" s="131"/>
      <c r="X3941" s="131"/>
    </row>
    <row r="3942" spans="9:24" x14ac:dyDescent="0.25">
      <c r="I3942" s="131"/>
      <c r="J3942" s="131"/>
      <c r="K3942" s="131"/>
      <c r="L3942" s="131"/>
      <c r="U3942" s="131"/>
      <c r="V3942" s="131"/>
      <c r="W3942" s="131"/>
      <c r="X3942" s="131"/>
    </row>
    <row r="3943" spans="9:24" x14ac:dyDescent="0.25">
      <c r="I3943" s="131"/>
      <c r="J3943" s="131"/>
      <c r="K3943" s="131"/>
      <c r="L3943" s="131"/>
      <c r="U3943" s="131"/>
      <c r="V3943" s="131"/>
      <c r="W3943" s="131"/>
      <c r="X3943" s="131"/>
    </row>
    <row r="3944" spans="9:24" x14ac:dyDescent="0.25">
      <c r="I3944" s="131"/>
      <c r="J3944" s="131"/>
      <c r="K3944" s="131"/>
      <c r="L3944" s="131"/>
      <c r="U3944" s="131"/>
      <c r="V3944" s="131"/>
      <c r="W3944" s="131"/>
      <c r="X3944" s="131"/>
    </row>
    <row r="3945" spans="9:24" x14ac:dyDescent="0.25">
      <c r="I3945" s="131"/>
      <c r="J3945" s="131"/>
      <c r="K3945" s="131"/>
      <c r="L3945" s="131"/>
      <c r="U3945" s="131"/>
      <c r="V3945" s="131"/>
      <c r="W3945" s="131"/>
      <c r="X3945" s="131"/>
    </row>
    <row r="3946" spans="9:24" x14ac:dyDescent="0.25">
      <c r="I3946" s="131"/>
      <c r="J3946" s="131"/>
      <c r="K3946" s="131"/>
      <c r="L3946" s="131"/>
      <c r="U3946" s="131"/>
      <c r="V3946" s="131"/>
      <c r="W3946" s="131"/>
      <c r="X3946" s="131"/>
    </row>
    <row r="3947" spans="9:24" x14ac:dyDescent="0.25">
      <c r="I3947" s="131"/>
      <c r="J3947" s="131"/>
      <c r="K3947" s="131"/>
      <c r="L3947" s="131"/>
      <c r="U3947" s="131"/>
      <c r="V3947" s="131"/>
      <c r="W3947" s="131"/>
      <c r="X3947" s="131"/>
    </row>
    <row r="3948" spans="9:24" x14ac:dyDescent="0.25">
      <c r="I3948" s="131"/>
      <c r="J3948" s="131"/>
      <c r="K3948" s="131"/>
      <c r="L3948" s="131"/>
      <c r="U3948" s="131"/>
      <c r="V3948" s="131"/>
      <c r="W3948" s="131"/>
      <c r="X3948" s="131"/>
    </row>
    <row r="3949" spans="9:24" x14ac:dyDescent="0.25">
      <c r="I3949" s="131"/>
      <c r="J3949" s="131"/>
      <c r="K3949" s="131"/>
      <c r="L3949" s="131"/>
      <c r="U3949" s="131"/>
      <c r="V3949" s="131"/>
      <c r="W3949" s="131"/>
      <c r="X3949" s="131"/>
    </row>
    <row r="3950" spans="9:24" x14ac:dyDescent="0.25">
      <c r="I3950" s="131"/>
      <c r="J3950" s="131"/>
      <c r="K3950" s="131"/>
      <c r="L3950" s="131"/>
      <c r="U3950" s="131"/>
      <c r="V3950" s="131"/>
      <c r="W3950" s="131"/>
      <c r="X3950" s="131"/>
    </row>
    <row r="3951" spans="9:24" x14ac:dyDescent="0.25">
      <c r="I3951" s="131"/>
      <c r="J3951" s="131"/>
      <c r="K3951" s="131"/>
      <c r="L3951" s="131"/>
      <c r="U3951" s="131"/>
      <c r="V3951" s="131"/>
      <c r="W3951" s="131"/>
      <c r="X3951" s="131"/>
    </row>
    <row r="3952" spans="9:24" x14ac:dyDescent="0.25">
      <c r="I3952" s="131"/>
      <c r="J3952" s="131"/>
      <c r="K3952" s="131"/>
      <c r="L3952" s="131"/>
      <c r="U3952" s="131"/>
      <c r="V3952" s="131"/>
      <c r="W3952" s="131"/>
      <c r="X3952" s="131"/>
    </row>
    <row r="3953" spans="9:24" x14ac:dyDescent="0.25">
      <c r="I3953" s="131"/>
      <c r="J3953" s="131"/>
      <c r="K3953" s="131"/>
      <c r="L3953" s="131"/>
      <c r="U3953" s="131"/>
      <c r="V3953" s="131"/>
      <c r="W3953" s="131"/>
      <c r="X3953" s="131"/>
    </row>
    <row r="3954" spans="9:24" x14ac:dyDescent="0.25">
      <c r="I3954" s="131"/>
      <c r="J3954" s="131"/>
      <c r="K3954" s="131"/>
      <c r="L3954" s="131"/>
      <c r="U3954" s="131"/>
      <c r="V3954" s="131"/>
      <c r="W3954" s="131"/>
      <c r="X3954" s="131"/>
    </row>
    <row r="3955" spans="9:24" x14ac:dyDescent="0.25">
      <c r="I3955" s="131"/>
      <c r="J3955" s="131"/>
      <c r="K3955" s="131"/>
      <c r="L3955" s="131"/>
      <c r="U3955" s="131"/>
      <c r="V3955" s="131"/>
      <c r="W3955" s="131"/>
      <c r="X3955" s="131"/>
    </row>
    <row r="3956" spans="9:24" x14ac:dyDescent="0.25">
      <c r="I3956" s="131"/>
      <c r="J3956" s="131"/>
      <c r="K3956" s="131"/>
      <c r="L3956" s="131"/>
      <c r="U3956" s="131"/>
      <c r="V3956" s="131"/>
      <c r="W3956" s="131"/>
      <c r="X3956" s="131"/>
    </row>
    <row r="3957" spans="9:24" x14ac:dyDescent="0.25">
      <c r="I3957" s="131"/>
      <c r="J3957" s="131"/>
      <c r="K3957" s="131"/>
      <c r="L3957" s="131"/>
      <c r="U3957" s="131"/>
      <c r="V3957" s="131"/>
      <c r="W3957" s="131"/>
      <c r="X3957" s="131"/>
    </row>
    <row r="3958" spans="9:24" x14ac:dyDescent="0.25">
      <c r="I3958" s="131"/>
      <c r="J3958" s="131"/>
      <c r="K3958" s="131"/>
      <c r="L3958" s="131"/>
      <c r="U3958" s="131"/>
      <c r="V3958" s="131"/>
      <c r="W3958" s="131"/>
      <c r="X3958" s="131"/>
    </row>
    <row r="3959" spans="9:24" x14ac:dyDescent="0.25">
      <c r="I3959" s="131"/>
      <c r="J3959" s="131"/>
      <c r="K3959" s="131"/>
      <c r="L3959" s="131"/>
      <c r="U3959" s="131"/>
      <c r="V3959" s="131"/>
      <c r="W3959" s="131"/>
      <c r="X3959" s="131"/>
    </row>
    <row r="3960" spans="9:24" x14ac:dyDescent="0.25">
      <c r="I3960" s="131"/>
      <c r="J3960" s="131"/>
      <c r="K3960" s="131"/>
      <c r="L3960" s="131"/>
      <c r="U3960" s="131"/>
      <c r="V3960" s="131"/>
      <c r="W3960" s="131"/>
      <c r="X3960" s="131"/>
    </row>
    <row r="3961" spans="9:24" x14ac:dyDescent="0.25">
      <c r="I3961" s="131"/>
      <c r="J3961" s="131"/>
      <c r="K3961" s="131"/>
      <c r="L3961" s="131"/>
      <c r="U3961" s="131"/>
      <c r="V3961" s="131"/>
      <c r="W3961" s="131"/>
      <c r="X3961" s="131"/>
    </row>
    <row r="3962" spans="9:24" x14ac:dyDescent="0.25">
      <c r="I3962" s="131"/>
      <c r="J3962" s="131"/>
      <c r="K3962" s="131"/>
      <c r="L3962" s="131"/>
      <c r="U3962" s="131"/>
      <c r="V3962" s="131"/>
      <c r="W3962" s="131"/>
      <c r="X3962" s="131"/>
    </row>
    <row r="3963" spans="9:24" x14ac:dyDescent="0.25">
      <c r="I3963" s="131"/>
      <c r="J3963" s="131"/>
      <c r="K3963" s="131"/>
      <c r="L3963" s="131"/>
      <c r="U3963" s="131"/>
      <c r="V3963" s="131"/>
      <c r="W3963" s="131"/>
      <c r="X3963" s="131"/>
    </row>
    <row r="3964" spans="9:24" x14ac:dyDescent="0.25">
      <c r="I3964" s="131"/>
      <c r="J3964" s="131"/>
      <c r="K3964" s="131"/>
      <c r="L3964" s="131"/>
      <c r="U3964" s="131"/>
      <c r="V3964" s="131"/>
      <c r="W3964" s="131"/>
      <c r="X3964" s="131"/>
    </row>
    <row r="3965" spans="9:24" x14ac:dyDescent="0.25">
      <c r="I3965" s="131"/>
      <c r="J3965" s="131"/>
      <c r="K3965" s="131"/>
      <c r="L3965" s="131"/>
      <c r="U3965" s="131"/>
      <c r="V3965" s="131"/>
      <c r="W3965" s="131"/>
      <c r="X3965" s="131"/>
    </row>
    <row r="3966" spans="9:24" x14ac:dyDescent="0.25">
      <c r="I3966" s="131"/>
      <c r="J3966" s="131"/>
      <c r="K3966" s="131"/>
      <c r="L3966" s="131"/>
      <c r="U3966" s="131"/>
      <c r="V3966" s="131"/>
      <c r="W3966" s="131"/>
      <c r="X3966" s="131"/>
    </row>
    <row r="3967" spans="9:24" x14ac:dyDescent="0.25">
      <c r="I3967" s="131"/>
      <c r="J3967" s="131"/>
      <c r="K3967" s="131"/>
      <c r="L3967" s="131"/>
      <c r="U3967" s="131"/>
      <c r="V3967" s="131"/>
      <c r="W3967" s="131"/>
      <c r="X3967" s="131"/>
    </row>
    <row r="3968" spans="9:24" x14ac:dyDescent="0.25">
      <c r="I3968" s="131"/>
      <c r="J3968" s="131"/>
      <c r="K3968" s="131"/>
      <c r="L3968" s="131"/>
      <c r="U3968" s="131"/>
      <c r="V3968" s="131"/>
      <c r="W3968" s="131"/>
      <c r="X3968" s="131"/>
    </row>
    <row r="3969" spans="9:24" x14ac:dyDescent="0.25">
      <c r="I3969" s="131"/>
      <c r="J3969" s="131"/>
      <c r="K3969" s="131"/>
      <c r="L3969" s="131"/>
      <c r="U3969" s="131"/>
      <c r="V3969" s="131"/>
      <c r="W3969" s="131"/>
      <c r="X3969" s="131"/>
    </row>
    <row r="3970" spans="9:24" x14ac:dyDescent="0.25">
      <c r="I3970" s="131"/>
      <c r="J3970" s="131"/>
      <c r="K3970" s="131"/>
      <c r="L3970" s="131"/>
      <c r="U3970" s="131"/>
      <c r="V3970" s="131"/>
      <c r="W3970" s="131"/>
      <c r="X3970" s="131"/>
    </row>
    <row r="3971" spans="9:24" x14ac:dyDescent="0.25">
      <c r="I3971" s="131"/>
      <c r="J3971" s="131"/>
      <c r="K3971" s="131"/>
      <c r="L3971" s="131"/>
      <c r="U3971" s="131"/>
      <c r="V3971" s="131"/>
      <c r="W3971" s="131"/>
      <c r="X3971" s="131"/>
    </row>
    <row r="3972" spans="9:24" x14ac:dyDescent="0.25">
      <c r="I3972" s="131"/>
      <c r="J3972" s="131"/>
      <c r="K3972" s="131"/>
      <c r="L3972" s="131"/>
      <c r="U3972" s="131"/>
      <c r="V3972" s="131"/>
      <c r="W3972" s="131"/>
      <c r="X3972" s="131"/>
    </row>
    <row r="3973" spans="9:24" x14ac:dyDescent="0.25">
      <c r="I3973" s="131"/>
      <c r="J3973" s="131"/>
      <c r="K3973" s="131"/>
      <c r="L3973" s="131"/>
      <c r="U3973" s="131"/>
      <c r="V3973" s="131"/>
      <c r="W3973" s="131"/>
      <c r="X3973" s="131"/>
    </row>
    <row r="3974" spans="9:24" x14ac:dyDescent="0.25">
      <c r="I3974" s="131"/>
      <c r="J3974" s="131"/>
      <c r="K3974" s="131"/>
      <c r="L3974" s="131"/>
      <c r="U3974" s="131"/>
      <c r="V3974" s="131"/>
      <c r="W3974" s="131"/>
      <c r="X3974" s="131"/>
    </row>
    <row r="3975" spans="9:24" x14ac:dyDescent="0.25">
      <c r="I3975" s="131"/>
      <c r="J3975" s="131"/>
      <c r="K3975" s="131"/>
      <c r="L3975" s="131"/>
      <c r="U3975" s="131"/>
      <c r="V3975" s="131"/>
      <c r="W3975" s="131"/>
      <c r="X3975" s="131"/>
    </row>
    <row r="3976" spans="9:24" x14ac:dyDescent="0.25">
      <c r="I3976" s="131"/>
      <c r="J3976" s="131"/>
      <c r="K3976" s="131"/>
      <c r="L3976" s="131"/>
      <c r="U3976" s="131"/>
      <c r="V3976" s="131"/>
      <c r="W3976" s="131"/>
      <c r="X3976" s="131"/>
    </row>
    <row r="3977" spans="9:24" x14ac:dyDescent="0.25">
      <c r="I3977" s="131"/>
      <c r="J3977" s="131"/>
      <c r="K3977" s="131"/>
      <c r="L3977" s="131"/>
      <c r="U3977" s="131"/>
      <c r="V3977" s="131"/>
      <c r="W3977" s="131"/>
      <c r="X3977" s="131"/>
    </row>
    <row r="3978" spans="9:24" x14ac:dyDescent="0.25">
      <c r="I3978" s="131"/>
      <c r="J3978" s="131"/>
      <c r="K3978" s="131"/>
      <c r="L3978" s="131"/>
      <c r="U3978" s="131"/>
      <c r="V3978" s="131"/>
      <c r="W3978" s="131"/>
      <c r="X3978" s="131"/>
    </row>
    <row r="3979" spans="9:24" x14ac:dyDescent="0.25">
      <c r="I3979" s="131"/>
      <c r="J3979" s="131"/>
      <c r="K3979" s="131"/>
      <c r="L3979" s="131"/>
      <c r="U3979" s="131"/>
      <c r="V3979" s="131"/>
      <c r="W3979" s="131"/>
      <c r="X3979" s="131"/>
    </row>
    <row r="3980" spans="9:24" x14ac:dyDescent="0.25">
      <c r="I3980" s="131"/>
      <c r="J3980" s="131"/>
      <c r="K3980" s="131"/>
      <c r="L3980" s="131"/>
      <c r="U3980" s="131"/>
      <c r="V3980" s="131"/>
      <c r="W3980" s="131"/>
      <c r="X3980" s="131"/>
    </row>
    <row r="3981" spans="9:24" x14ac:dyDescent="0.25">
      <c r="I3981" s="131"/>
      <c r="J3981" s="131"/>
      <c r="K3981" s="131"/>
      <c r="L3981" s="131"/>
      <c r="U3981" s="131"/>
      <c r="V3981" s="131"/>
      <c r="W3981" s="131"/>
      <c r="X3981" s="131"/>
    </row>
    <row r="3982" spans="9:24" x14ac:dyDescent="0.25">
      <c r="I3982" s="131"/>
      <c r="J3982" s="131"/>
      <c r="K3982" s="131"/>
      <c r="L3982" s="131"/>
      <c r="U3982" s="131"/>
      <c r="V3982" s="131"/>
      <c r="W3982" s="131"/>
      <c r="X3982" s="131"/>
    </row>
    <row r="3983" spans="9:24" x14ac:dyDescent="0.25">
      <c r="I3983" s="131"/>
      <c r="J3983" s="131"/>
      <c r="K3983" s="131"/>
      <c r="L3983" s="131"/>
      <c r="U3983" s="131"/>
      <c r="V3983" s="131"/>
      <c r="W3983" s="131"/>
      <c r="X3983" s="131"/>
    </row>
    <row r="3984" spans="9:24" x14ac:dyDescent="0.25">
      <c r="I3984" s="131"/>
      <c r="J3984" s="131"/>
      <c r="K3984" s="131"/>
      <c r="L3984" s="131"/>
      <c r="U3984" s="131"/>
      <c r="V3984" s="131"/>
      <c r="W3984" s="131"/>
      <c r="X3984" s="131"/>
    </row>
    <row r="3985" spans="9:24" x14ac:dyDescent="0.25">
      <c r="I3985" s="131"/>
      <c r="J3985" s="131"/>
      <c r="K3985" s="131"/>
      <c r="L3985" s="131"/>
      <c r="U3985" s="131"/>
      <c r="V3985" s="131"/>
      <c r="W3985" s="131"/>
      <c r="X3985" s="131"/>
    </row>
    <row r="3986" spans="9:24" x14ac:dyDescent="0.25">
      <c r="I3986" s="131"/>
      <c r="J3986" s="131"/>
      <c r="K3986" s="131"/>
      <c r="L3986" s="131"/>
      <c r="U3986" s="131"/>
      <c r="V3986" s="131"/>
      <c r="W3986" s="131"/>
      <c r="X3986" s="131"/>
    </row>
    <row r="3987" spans="9:24" x14ac:dyDescent="0.25">
      <c r="I3987" s="131"/>
      <c r="J3987" s="131"/>
      <c r="K3987" s="131"/>
      <c r="L3987" s="131"/>
      <c r="U3987" s="131"/>
      <c r="V3987" s="131"/>
      <c r="W3987" s="131"/>
      <c r="X3987" s="131"/>
    </row>
    <row r="3988" spans="9:24" x14ac:dyDescent="0.25">
      <c r="I3988" s="131"/>
      <c r="J3988" s="131"/>
      <c r="K3988" s="131"/>
      <c r="L3988" s="131"/>
      <c r="U3988" s="131"/>
      <c r="V3988" s="131"/>
      <c r="W3988" s="131"/>
      <c r="X3988" s="131"/>
    </row>
    <row r="3989" spans="9:24" x14ac:dyDescent="0.25">
      <c r="I3989" s="131"/>
      <c r="J3989" s="131"/>
      <c r="K3989" s="131"/>
      <c r="L3989" s="131"/>
      <c r="U3989" s="131"/>
      <c r="V3989" s="131"/>
      <c r="W3989" s="131"/>
      <c r="X3989" s="131"/>
    </row>
    <row r="3990" spans="9:24" x14ac:dyDescent="0.25">
      <c r="I3990" s="131"/>
      <c r="J3990" s="131"/>
      <c r="K3990" s="131"/>
      <c r="L3990" s="131"/>
      <c r="U3990" s="131"/>
      <c r="V3990" s="131"/>
      <c r="W3990" s="131"/>
      <c r="X3990" s="131"/>
    </row>
    <row r="3991" spans="9:24" x14ac:dyDescent="0.25">
      <c r="I3991" s="131"/>
      <c r="J3991" s="131"/>
      <c r="K3991" s="131"/>
      <c r="L3991" s="131"/>
      <c r="U3991" s="131"/>
      <c r="V3991" s="131"/>
      <c r="W3991" s="131"/>
      <c r="X3991" s="131"/>
    </row>
    <row r="3992" spans="9:24" x14ac:dyDescent="0.25">
      <c r="I3992" s="131"/>
      <c r="J3992" s="131"/>
      <c r="K3992" s="131"/>
      <c r="L3992" s="131"/>
      <c r="U3992" s="131"/>
      <c r="V3992" s="131"/>
      <c r="W3992" s="131"/>
      <c r="X3992" s="131"/>
    </row>
    <row r="3993" spans="9:24" x14ac:dyDescent="0.25">
      <c r="I3993" s="131"/>
      <c r="J3993" s="131"/>
      <c r="K3993" s="131"/>
      <c r="L3993" s="131"/>
      <c r="U3993" s="131"/>
      <c r="V3993" s="131"/>
      <c r="W3993" s="131"/>
      <c r="X3993" s="131"/>
    </row>
    <row r="3994" spans="9:24" x14ac:dyDescent="0.25">
      <c r="I3994" s="131"/>
      <c r="J3994" s="131"/>
      <c r="K3994" s="131"/>
      <c r="L3994" s="131"/>
      <c r="U3994" s="131"/>
      <c r="V3994" s="131"/>
      <c r="W3994" s="131"/>
      <c r="X3994" s="131"/>
    </row>
    <row r="3995" spans="9:24" x14ac:dyDescent="0.25">
      <c r="I3995" s="131"/>
      <c r="J3995" s="131"/>
      <c r="K3995" s="131"/>
      <c r="L3995" s="131"/>
      <c r="U3995" s="131"/>
      <c r="V3995" s="131"/>
      <c r="W3995" s="131"/>
      <c r="X3995" s="131"/>
    </row>
    <row r="3996" spans="9:24" x14ac:dyDescent="0.25">
      <c r="I3996" s="131"/>
      <c r="J3996" s="131"/>
      <c r="K3996" s="131"/>
      <c r="L3996" s="131"/>
      <c r="U3996" s="131"/>
      <c r="V3996" s="131"/>
      <c r="W3996" s="131"/>
      <c r="X3996" s="131"/>
    </row>
    <row r="3997" spans="9:24" x14ac:dyDescent="0.25">
      <c r="I3997" s="131"/>
      <c r="J3997" s="131"/>
      <c r="K3997" s="131"/>
      <c r="L3997" s="131"/>
      <c r="U3997" s="131"/>
      <c r="V3997" s="131"/>
      <c r="W3997" s="131"/>
      <c r="X3997" s="131"/>
    </row>
    <row r="3998" spans="9:24" x14ac:dyDescent="0.25">
      <c r="I3998" s="131"/>
      <c r="J3998" s="131"/>
      <c r="K3998" s="131"/>
      <c r="L3998" s="131"/>
      <c r="U3998" s="131"/>
      <c r="V3998" s="131"/>
      <c r="W3998" s="131"/>
      <c r="X3998" s="131"/>
    </row>
    <row r="3999" spans="9:24" x14ac:dyDescent="0.25">
      <c r="I3999" s="131"/>
      <c r="J3999" s="131"/>
      <c r="K3999" s="131"/>
      <c r="L3999" s="131"/>
      <c r="U3999" s="131"/>
      <c r="V3999" s="131"/>
      <c r="W3999" s="131"/>
      <c r="X3999" s="131"/>
    </row>
    <row r="4000" spans="9:24" x14ac:dyDescent="0.25">
      <c r="I4000" s="131"/>
      <c r="J4000" s="131"/>
      <c r="K4000" s="131"/>
      <c r="L4000" s="131"/>
      <c r="U4000" s="131"/>
      <c r="V4000" s="131"/>
      <c r="W4000" s="131"/>
      <c r="X4000" s="131"/>
    </row>
    <row r="4001" spans="9:24" x14ac:dyDescent="0.25">
      <c r="I4001" s="131"/>
      <c r="J4001" s="131"/>
      <c r="K4001" s="131"/>
      <c r="L4001" s="131"/>
      <c r="U4001" s="131"/>
      <c r="V4001" s="131"/>
      <c r="W4001" s="131"/>
      <c r="X4001" s="131"/>
    </row>
    <row r="4002" spans="9:24" x14ac:dyDescent="0.25">
      <c r="I4002" s="131"/>
      <c r="J4002" s="131"/>
      <c r="K4002" s="131"/>
      <c r="L4002" s="131"/>
      <c r="U4002" s="131"/>
      <c r="V4002" s="131"/>
      <c r="W4002" s="131"/>
      <c r="X4002" s="131"/>
    </row>
    <row r="4003" spans="9:24" x14ac:dyDescent="0.25">
      <c r="I4003" s="131"/>
      <c r="J4003" s="131"/>
      <c r="K4003" s="131"/>
      <c r="L4003" s="131"/>
      <c r="U4003" s="131"/>
      <c r="V4003" s="131"/>
      <c r="W4003" s="131"/>
      <c r="X4003" s="131"/>
    </row>
    <row r="4004" spans="9:24" x14ac:dyDescent="0.25">
      <c r="I4004" s="131"/>
      <c r="J4004" s="131"/>
      <c r="K4004" s="131"/>
      <c r="L4004" s="131"/>
      <c r="U4004" s="131"/>
      <c r="V4004" s="131"/>
      <c r="W4004" s="131"/>
      <c r="X4004" s="131"/>
    </row>
    <row r="4005" spans="9:24" x14ac:dyDescent="0.25">
      <c r="I4005" s="131"/>
      <c r="J4005" s="131"/>
      <c r="K4005" s="131"/>
      <c r="L4005" s="131"/>
      <c r="U4005" s="131"/>
      <c r="V4005" s="131"/>
      <c r="W4005" s="131"/>
      <c r="X4005" s="131"/>
    </row>
    <row r="4006" spans="9:24" x14ac:dyDescent="0.25">
      <c r="I4006" s="131"/>
      <c r="J4006" s="131"/>
      <c r="K4006" s="131"/>
      <c r="L4006" s="131"/>
      <c r="U4006" s="131"/>
      <c r="V4006" s="131"/>
      <c r="W4006" s="131"/>
      <c r="X4006" s="131"/>
    </row>
    <row r="4007" spans="9:24" x14ac:dyDescent="0.25">
      <c r="I4007" s="131"/>
      <c r="J4007" s="131"/>
      <c r="K4007" s="131"/>
      <c r="L4007" s="131"/>
      <c r="U4007" s="131"/>
      <c r="V4007" s="131"/>
      <c r="W4007" s="131"/>
      <c r="X4007" s="131"/>
    </row>
    <row r="4008" spans="9:24" x14ac:dyDescent="0.25">
      <c r="I4008" s="131"/>
      <c r="J4008" s="131"/>
      <c r="K4008" s="131"/>
      <c r="L4008" s="131"/>
      <c r="U4008" s="131"/>
      <c r="V4008" s="131"/>
      <c r="W4008" s="131"/>
      <c r="X4008" s="131"/>
    </row>
    <row r="4009" spans="9:24" x14ac:dyDescent="0.25">
      <c r="I4009" s="131"/>
      <c r="J4009" s="131"/>
      <c r="K4009" s="131"/>
      <c r="L4009" s="131"/>
      <c r="U4009" s="131"/>
      <c r="V4009" s="131"/>
      <c r="W4009" s="131"/>
      <c r="X4009" s="131"/>
    </row>
    <row r="4010" spans="9:24" x14ac:dyDescent="0.25">
      <c r="I4010" s="131"/>
      <c r="J4010" s="131"/>
      <c r="K4010" s="131"/>
      <c r="L4010" s="131"/>
      <c r="U4010" s="131"/>
      <c r="V4010" s="131"/>
      <c r="W4010" s="131"/>
      <c r="X4010" s="131"/>
    </row>
    <row r="4011" spans="9:24" x14ac:dyDescent="0.25">
      <c r="I4011" s="131"/>
      <c r="J4011" s="131"/>
      <c r="K4011" s="131"/>
      <c r="L4011" s="131"/>
      <c r="U4011" s="131"/>
      <c r="V4011" s="131"/>
      <c r="W4011" s="131"/>
      <c r="X4011" s="131"/>
    </row>
    <row r="4012" spans="9:24" x14ac:dyDescent="0.25">
      <c r="I4012" s="131"/>
      <c r="J4012" s="131"/>
      <c r="K4012" s="131"/>
      <c r="L4012" s="131"/>
      <c r="U4012" s="131"/>
      <c r="V4012" s="131"/>
      <c r="W4012" s="131"/>
      <c r="X4012" s="131"/>
    </row>
    <row r="4013" spans="9:24" x14ac:dyDescent="0.25">
      <c r="I4013" s="131"/>
      <c r="J4013" s="131"/>
      <c r="K4013" s="131"/>
      <c r="L4013" s="131"/>
      <c r="U4013" s="131"/>
      <c r="V4013" s="131"/>
      <c r="W4013" s="131"/>
      <c r="X4013" s="131"/>
    </row>
    <row r="4014" spans="9:24" x14ac:dyDescent="0.25">
      <c r="I4014" s="131"/>
      <c r="J4014" s="131"/>
      <c r="K4014" s="131"/>
      <c r="L4014" s="131"/>
      <c r="U4014" s="131"/>
      <c r="V4014" s="131"/>
      <c r="W4014" s="131"/>
      <c r="X4014" s="131"/>
    </row>
    <row r="4015" spans="9:24" x14ac:dyDescent="0.25">
      <c r="I4015" s="131"/>
      <c r="J4015" s="131"/>
      <c r="K4015" s="131"/>
      <c r="L4015" s="131"/>
      <c r="U4015" s="131"/>
      <c r="V4015" s="131"/>
      <c r="W4015" s="131"/>
      <c r="X4015" s="131"/>
    </row>
    <row r="4016" spans="9:24" x14ac:dyDescent="0.25">
      <c r="I4016" s="131"/>
      <c r="J4016" s="131"/>
      <c r="K4016" s="131"/>
      <c r="L4016" s="131"/>
      <c r="U4016" s="131"/>
      <c r="V4016" s="131"/>
      <c r="W4016" s="131"/>
      <c r="X4016" s="131"/>
    </row>
    <row r="4017" spans="9:24" x14ac:dyDescent="0.25">
      <c r="I4017" s="131"/>
      <c r="J4017" s="131"/>
      <c r="K4017" s="131"/>
      <c r="L4017" s="131"/>
      <c r="U4017" s="131"/>
      <c r="V4017" s="131"/>
      <c r="W4017" s="131"/>
      <c r="X4017" s="131"/>
    </row>
    <row r="4018" spans="9:24" x14ac:dyDescent="0.25">
      <c r="I4018" s="131"/>
      <c r="J4018" s="131"/>
      <c r="K4018" s="131"/>
      <c r="L4018" s="131"/>
      <c r="U4018" s="131"/>
      <c r="V4018" s="131"/>
      <c r="W4018" s="131"/>
      <c r="X4018" s="131"/>
    </row>
    <row r="4019" spans="9:24" x14ac:dyDescent="0.25">
      <c r="I4019" s="131"/>
      <c r="J4019" s="131"/>
      <c r="K4019" s="131"/>
      <c r="L4019" s="131"/>
      <c r="U4019" s="131"/>
      <c r="V4019" s="131"/>
      <c r="W4019" s="131"/>
      <c r="X4019" s="131"/>
    </row>
    <row r="4020" spans="9:24" x14ac:dyDescent="0.25">
      <c r="I4020" s="131"/>
      <c r="J4020" s="131"/>
      <c r="K4020" s="131"/>
      <c r="L4020" s="131"/>
      <c r="U4020" s="131"/>
      <c r="V4020" s="131"/>
      <c r="W4020" s="131"/>
      <c r="X4020" s="131"/>
    </row>
    <row r="4021" spans="9:24" x14ac:dyDescent="0.25">
      <c r="I4021" s="131"/>
      <c r="J4021" s="131"/>
      <c r="K4021" s="131"/>
      <c r="L4021" s="131"/>
      <c r="U4021" s="131"/>
      <c r="V4021" s="131"/>
      <c r="W4021" s="131"/>
      <c r="X4021" s="131"/>
    </row>
    <row r="4022" spans="9:24" x14ac:dyDescent="0.25">
      <c r="I4022" s="131"/>
      <c r="J4022" s="131"/>
      <c r="K4022" s="131"/>
      <c r="L4022" s="131"/>
      <c r="U4022" s="131"/>
      <c r="V4022" s="131"/>
      <c r="W4022" s="131"/>
      <c r="X4022" s="131"/>
    </row>
    <row r="4023" spans="9:24" x14ac:dyDescent="0.25">
      <c r="I4023" s="131"/>
      <c r="J4023" s="131"/>
      <c r="K4023" s="131"/>
      <c r="L4023" s="131"/>
      <c r="U4023" s="131"/>
      <c r="V4023" s="131"/>
      <c r="W4023" s="131"/>
      <c r="X4023" s="131"/>
    </row>
    <row r="4024" spans="9:24" x14ac:dyDescent="0.25">
      <c r="I4024" s="131"/>
      <c r="J4024" s="131"/>
      <c r="K4024" s="131"/>
      <c r="L4024" s="131"/>
      <c r="U4024" s="131"/>
      <c r="V4024" s="131"/>
      <c r="W4024" s="131"/>
      <c r="X4024" s="131"/>
    </row>
    <row r="4025" spans="9:24" x14ac:dyDescent="0.25">
      <c r="I4025" s="131"/>
      <c r="J4025" s="131"/>
      <c r="K4025" s="131"/>
      <c r="L4025" s="131"/>
      <c r="U4025" s="131"/>
      <c r="V4025" s="131"/>
      <c r="W4025" s="131"/>
      <c r="X4025" s="131"/>
    </row>
    <row r="4026" spans="9:24" x14ac:dyDescent="0.25">
      <c r="I4026" s="131"/>
      <c r="J4026" s="131"/>
      <c r="K4026" s="131"/>
      <c r="L4026" s="131"/>
      <c r="U4026" s="131"/>
      <c r="V4026" s="131"/>
      <c r="W4026" s="131"/>
      <c r="X4026" s="131"/>
    </row>
    <row r="4027" spans="9:24" x14ac:dyDescent="0.25">
      <c r="I4027" s="131"/>
      <c r="J4027" s="131"/>
      <c r="K4027" s="131"/>
      <c r="L4027" s="131"/>
      <c r="U4027" s="131"/>
      <c r="V4027" s="131"/>
      <c r="W4027" s="131"/>
      <c r="X4027" s="131"/>
    </row>
    <row r="4028" spans="9:24" x14ac:dyDescent="0.25">
      <c r="I4028" s="131"/>
      <c r="J4028" s="131"/>
      <c r="K4028" s="131"/>
      <c r="L4028" s="131"/>
      <c r="U4028" s="131"/>
      <c r="V4028" s="131"/>
      <c r="W4028" s="131"/>
      <c r="X4028" s="131"/>
    </row>
    <row r="4029" spans="9:24" x14ac:dyDescent="0.25">
      <c r="I4029" s="131"/>
      <c r="J4029" s="131"/>
      <c r="K4029" s="131"/>
      <c r="L4029" s="131"/>
      <c r="U4029" s="131"/>
      <c r="V4029" s="131"/>
      <c r="W4029" s="131"/>
      <c r="X4029" s="131"/>
    </row>
    <row r="4030" spans="9:24" x14ac:dyDescent="0.25">
      <c r="I4030" s="131"/>
      <c r="J4030" s="131"/>
      <c r="K4030" s="131"/>
      <c r="L4030" s="131"/>
      <c r="U4030" s="131"/>
      <c r="V4030" s="131"/>
      <c r="W4030" s="131"/>
      <c r="X4030" s="131"/>
    </row>
    <row r="4031" spans="9:24" x14ac:dyDescent="0.25">
      <c r="I4031" s="131"/>
      <c r="J4031" s="131"/>
      <c r="K4031" s="131"/>
      <c r="L4031" s="131"/>
      <c r="U4031" s="131"/>
      <c r="V4031" s="131"/>
      <c r="W4031" s="131"/>
      <c r="X4031" s="131"/>
    </row>
    <row r="4032" spans="9:24" x14ac:dyDescent="0.25">
      <c r="I4032" s="131"/>
      <c r="J4032" s="131"/>
      <c r="K4032" s="131"/>
      <c r="L4032" s="131"/>
      <c r="U4032" s="131"/>
      <c r="V4032" s="131"/>
      <c r="W4032" s="131"/>
      <c r="X4032" s="131"/>
    </row>
    <row r="4033" spans="9:24" x14ac:dyDescent="0.25">
      <c r="I4033" s="131"/>
      <c r="J4033" s="131"/>
      <c r="K4033" s="131"/>
      <c r="L4033" s="131"/>
      <c r="U4033" s="131"/>
      <c r="V4033" s="131"/>
      <c r="W4033" s="131"/>
      <c r="X4033" s="131"/>
    </row>
    <row r="4034" spans="9:24" x14ac:dyDescent="0.25">
      <c r="I4034" s="131"/>
      <c r="J4034" s="131"/>
      <c r="K4034" s="131"/>
      <c r="L4034" s="131"/>
      <c r="U4034" s="131"/>
      <c r="V4034" s="131"/>
      <c r="W4034" s="131"/>
      <c r="X4034" s="131"/>
    </row>
    <row r="4035" spans="9:24" x14ac:dyDescent="0.25">
      <c r="I4035" s="131"/>
      <c r="J4035" s="131"/>
      <c r="K4035" s="131"/>
      <c r="L4035" s="131"/>
      <c r="U4035" s="131"/>
      <c r="V4035" s="131"/>
      <c r="W4035" s="131"/>
      <c r="X4035" s="131"/>
    </row>
    <row r="4036" spans="9:24" x14ac:dyDescent="0.25">
      <c r="I4036" s="131"/>
      <c r="J4036" s="131"/>
      <c r="K4036" s="131"/>
      <c r="L4036" s="131"/>
      <c r="U4036" s="131"/>
      <c r="V4036" s="131"/>
      <c r="W4036" s="131"/>
      <c r="X4036" s="131"/>
    </row>
    <row r="4037" spans="9:24" x14ac:dyDescent="0.25">
      <c r="I4037" s="131"/>
      <c r="J4037" s="131"/>
      <c r="K4037" s="131"/>
      <c r="L4037" s="131"/>
      <c r="U4037" s="131"/>
      <c r="V4037" s="131"/>
      <c r="W4037" s="131"/>
      <c r="X4037" s="131"/>
    </row>
    <row r="4038" spans="9:24" x14ac:dyDescent="0.25">
      <c r="I4038" s="131"/>
      <c r="J4038" s="131"/>
      <c r="K4038" s="131"/>
      <c r="L4038" s="131"/>
      <c r="U4038" s="131"/>
      <c r="V4038" s="131"/>
      <c r="W4038" s="131"/>
      <c r="X4038" s="131"/>
    </row>
    <row r="4039" spans="9:24" x14ac:dyDescent="0.25">
      <c r="I4039" s="131"/>
      <c r="J4039" s="131"/>
      <c r="K4039" s="131"/>
      <c r="L4039" s="131"/>
      <c r="U4039" s="131"/>
      <c r="V4039" s="131"/>
      <c r="W4039" s="131"/>
      <c r="X4039" s="131"/>
    </row>
    <row r="4040" spans="9:24" x14ac:dyDescent="0.25">
      <c r="I4040" s="131"/>
      <c r="J4040" s="131"/>
      <c r="K4040" s="131"/>
      <c r="L4040" s="131"/>
      <c r="U4040" s="131"/>
      <c r="V4040" s="131"/>
      <c r="W4040" s="131"/>
      <c r="X4040" s="131"/>
    </row>
    <row r="4041" spans="9:24" x14ac:dyDescent="0.25">
      <c r="I4041" s="131"/>
      <c r="J4041" s="131"/>
      <c r="K4041" s="131"/>
      <c r="L4041" s="131"/>
      <c r="U4041" s="131"/>
      <c r="V4041" s="131"/>
      <c r="W4041" s="131"/>
      <c r="X4041" s="131"/>
    </row>
    <row r="4042" spans="9:24" x14ac:dyDescent="0.25">
      <c r="I4042" s="131"/>
      <c r="J4042" s="131"/>
      <c r="K4042" s="131"/>
      <c r="L4042" s="131"/>
      <c r="U4042" s="131"/>
      <c r="V4042" s="131"/>
      <c r="W4042" s="131"/>
      <c r="X4042" s="131"/>
    </row>
    <row r="4043" spans="9:24" x14ac:dyDescent="0.25">
      <c r="I4043" s="131"/>
      <c r="J4043" s="131"/>
      <c r="K4043" s="131"/>
      <c r="L4043" s="131"/>
      <c r="U4043" s="131"/>
      <c r="V4043" s="131"/>
      <c r="W4043" s="131"/>
      <c r="X4043" s="131"/>
    </row>
    <row r="4044" spans="9:24" x14ac:dyDescent="0.25">
      <c r="I4044" s="131"/>
      <c r="J4044" s="131"/>
      <c r="K4044" s="131"/>
      <c r="L4044" s="131"/>
      <c r="U4044" s="131"/>
      <c r="V4044" s="131"/>
      <c r="W4044" s="131"/>
      <c r="X4044" s="131"/>
    </row>
    <row r="4045" spans="9:24" x14ac:dyDescent="0.25">
      <c r="I4045" s="131"/>
      <c r="J4045" s="131"/>
      <c r="K4045" s="131"/>
      <c r="L4045" s="131"/>
      <c r="U4045" s="131"/>
      <c r="V4045" s="131"/>
      <c r="W4045" s="131"/>
      <c r="X4045" s="131"/>
    </row>
    <row r="4046" spans="9:24" x14ac:dyDescent="0.25">
      <c r="I4046" s="131"/>
      <c r="J4046" s="131"/>
      <c r="K4046" s="131"/>
      <c r="L4046" s="131"/>
      <c r="U4046" s="131"/>
      <c r="V4046" s="131"/>
      <c r="W4046" s="131"/>
      <c r="X4046" s="131"/>
    </row>
    <row r="4047" spans="9:24" x14ac:dyDescent="0.25">
      <c r="I4047" s="131"/>
      <c r="J4047" s="131"/>
      <c r="K4047" s="131"/>
      <c r="L4047" s="131"/>
      <c r="U4047" s="131"/>
      <c r="V4047" s="131"/>
      <c r="W4047" s="131"/>
      <c r="X4047" s="131"/>
    </row>
    <row r="4048" spans="9:24" x14ac:dyDescent="0.25">
      <c r="I4048" s="131"/>
      <c r="J4048" s="131"/>
      <c r="K4048" s="131"/>
      <c r="L4048" s="131"/>
      <c r="U4048" s="131"/>
      <c r="V4048" s="131"/>
      <c r="W4048" s="131"/>
      <c r="X4048" s="131"/>
    </row>
    <row r="4049" spans="9:24" x14ac:dyDescent="0.25">
      <c r="I4049" s="131"/>
      <c r="J4049" s="131"/>
      <c r="K4049" s="131"/>
      <c r="L4049" s="131"/>
      <c r="U4049" s="131"/>
      <c r="V4049" s="131"/>
      <c r="W4049" s="131"/>
      <c r="X4049" s="131"/>
    </row>
    <row r="4050" spans="9:24" x14ac:dyDescent="0.25">
      <c r="I4050" s="131"/>
      <c r="J4050" s="131"/>
      <c r="K4050" s="131"/>
      <c r="L4050" s="131"/>
      <c r="U4050" s="131"/>
      <c r="V4050" s="131"/>
      <c r="W4050" s="131"/>
      <c r="X4050" s="131"/>
    </row>
    <row r="4051" spans="9:24" x14ac:dyDescent="0.25">
      <c r="I4051" s="131"/>
      <c r="J4051" s="131"/>
      <c r="K4051" s="131"/>
      <c r="L4051" s="131"/>
      <c r="U4051" s="131"/>
      <c r="V4051" s="131"/>
      <c r="W4051" s="131"/>
      <c r="X4051" s="131"/>
    </row>
    <row r="4052" spans="9:24" x14ac:dyDescent="0.25">
      <c r="I4052" s="131"/>
      <c r="J4052" s="131"/>
      <c r="K4052" s="131"/>
      <c r="L4052" s="131"/>
      <c r="U4052" s="131"/>
      <c r="V4052" s="131"/>
      <c r="W4052" s="131"/>
      <c r="X4052" s="131"/>
    </row>
    <row r="4053" spans="9:24" x14ac:dyDescent="0.25">
      <c r="I4053" s="131"/>
      <c r="J4053" s="131"/>
      <c r="K4053" s="131"/>
      <c r="L4053" s="131"/>
      <c r="U4053" s="131"/>
      <c r="V4053" s="131"/>
      <c r="W4053" s="131"/>
      <c r="X4053" s="131"/>
    </row>
    <row r="4054" spans="9:24" x14ac:dyDescent="0.25">
      <c r="I4054" s="131"/>
      <c r="J4054" s="131"/>
      <c r="K4054" s="131"/>
      <c r="L4054" s="131"/>
      <c r="U4054" s="131"/>
      <c r="V4054" s="131"/>
      <c r="W4054" s="131"/>
      <c r="X4054" s="131"/>
    </row>
    <row r="4055" spans="9:24" x14ac:dyDescent="0.25">
      <c r="I4055" s="131"/>
      <c r="J4055" s="131"/>
      <c r="K4055" s="131"/>
      <c r="L4055" s="131"/>
      <c r="U4055" s="131"/>
      <c r="V4055" s="131"/>
      <c r="W4055" s="131"/>
      <c r="X4055" s="131"/>
    </row>
    <row r="4056" spans="9:24" x14ac:dyDescent="0.25">
      <c r="I4056" s="131"/>
      <c r="J4056" s="131"/>
      <c r="K4056" s="131"/>
      <c r="L4056" s="131"/>
      <c r="U4056" s="131"/>
      <c r="V4056" s="131"/>
      <c r="W4056" s="131"/>
      <c r="X4056" s="131"/>
    </row>
    <row r="4057" spans="9:24" x14ac:dyDescent="0.25">
      <c r="I4057" s="131"/>
      <c r="J4057" s="131"/>
      <c r="K4057" s="131"/>
      <c r="L4057" s="131"/>
      <c r="U4057" s="131"/>
      <c r="V4057" s="131"/>
      <c r="W4057" s="131"/>
      <c r="X4057" s="131"/>
    </row>
    <row r="4058" spans="9:24" x14ac:dyDescent="0.25">
      <c r="I4058" s="131"/>
      <c r="J4058" s="131"/>
      <c r="K4058" s="131"/>
      <c r="L4058" s="131"/>
      <c r="U4058" s="131"/>
      <c r="V4058" s="131"/>
      <c r="W4058" s="131"/>
      <c r="X4058" s="131"/>
    </row>
    <row r="4059" spans="9:24" x14ac:dyDescent="0.25">
      <c r="I4059" s="131"/>
      <c r="J4059" s="131"/>
      <c r="K4059" s="131"/>
      <c r="L4059" s="131"/>
      <c r="U4059" s="131"/>
      <c r="V4059" s="131"/>
      <c r="W4059" s="131"/>
      <c r="X4059" s="131"/>
    </row>
    <row r="4060" spans="9:24" x14ac:dyDescent="0.25">
      <c r="I4060" s="131"/>
      <c r="J4060" s="131"/>
      <c r="K4060" s="131"/>
      <c r="L4060" s="131"/>
      <c r="U4060" s="131"/>
      <c r="V4060" s="131"/>
      <c r="W4060" s="131"/>
      <c r="X4060" s="131"/>
    </row>
    <row r="4061" spans="9:24" x14ac:dyDescent="0.25">
      <c r="I4061" s="131"/>
      <c r="J4061" s="131"/>
      <c r="K4061" s="131"/>
      <c r="L4061" s="131"/>
      <c r="U4061" s="131"/>
      <c r="V4061" s="131"/>
      <c r="W4061" s="131"/>
      <c r="X4061" s="131"/>
    </row>
    <row r="4062" spans="9:24" x14ac:dyDescent="0.25">
      <c r="I4062" s="131"/>
      <c r="J4062" s="131"/>
      <c r="K4062" s="131"/>
      <c r="L4062" s="131"/>
      <c r="U4062" s="131"/>
      <c r="V4062" s="131"/>
      <c r="W4062" s="131"/>
      <c r="X4062" s="131"/>
    </row>
    <row r="4063" spans="9:24" x14ac:dyDescent="0.25">
      <c r="I4063" s="131"/>
      <c r="J4063" s="131"/>
      <c r="K4063" s="131"/>
      <c r="L4063" s="131"/>
      <c r="U4063" s="131"/>
      <c r="V4063" s="131"/>
      <c r="W4063" s="131"/>
      <c r="X4063" s="131"/>
    </row>
    <row r="4064" spans="9:24" x14ac:dyDescent="0.25">
      <c r="I4064" s="131"/>
      <c r="J4064" s="131"/>
      <c r="K4064" s="131"/>
      <c r="L4064" s="131"/>
      <c r="U4064" s="131"/>
      <c r="V4064" s="131"/>
      <c r="W4064" s="131"/>
      <c r="X4064" s="131"/>
    </row>
    <row r="4065" spans="9:24" x14ac:dyDescent="0.25">
      <c r="I4065" s="131"/>
      <c r="J4065" s="131"/>
      <c r="K4065" s="131"/>
      <c r="L4065" s="131"/>
      <c r="U4065" s="131"/>
      <c r="V4065" s="131"/>
      <c r="W4065" s="131"/>
      <c r="X4065" s="131"/>
    </row>
    <row r="4066" spans="9:24" x14ac:dyDescent="0.25">
      <c r="I4066" s="131"/>
      <c r="J4066" s="131"/>
      <c r="K4066" s="131"/>
      <c r="L4066" s="131"/>
      <c r="U4066" s="131"/>
      <c r="V4066" s="131"/>
      <c r="W4066" s="131"/>
      <c r="X4066" s="131"/>
    </row>
    <row r="4067" spans="9:24" x14ac:dyDescent="0.25">
      <c r="I4067" s="131"/>
      <c r="J4067" s="131"/>
      <c r="K4067" s="131"/>
      <c r="L4067" s="131"/>
      <c r="U4067" s="131"/>
      <c r="V4067" s="131"/>
      <c r="W4067" s="131"/>
      <c r="X4067" s="131"/>
    </row>
    <row r="4068" spans="9:24" x14ac:dyDescent="0.25">
      <c r="I4068" s="131"/>
      <c r="J4068" s="131"/>
      <c r="K4068" s="131"/>
      <c r="L4068" s="131"/>
      <c r="U4068" s="131"/>
      <c r="V4068" s="131"/>
      <c r="W4068" s="131"/>
      <c r="X4068" s="131"/>
    </row>
    <row r="4069" spans="9:24" x14ac:dyDescent="0.25">
      <c r="I4069" s="131"/>
      <c r="J4069" s="131"/>
      <c r="K4069" s="131"/>
      <c r="L4069" s="131"/>
      <c r="U4069" s="131"/>
      <c r="V4069" s="131"/>
      <c r="W4069" s="131"/>
      <c r="X4069" s="131"/>
    </row>
    <row r="4070" spans="9:24" x14ac:dyDescent="0.25">
      <c r="I4070" s="131"/>
      <c r="J4070" s="131"/>
      <c r="K4070" s="131"/>
      <c r="L4070" s="131"/>
      <c r="U4070" s="131"/>
      <c r="V4070" s="131"/>
      <c r="W4070" s="131"/>
      <c r="X4070" s="131"/>
    </row>
    <row r="4071" spans="9:24" x14ac:dyDescent="0.25">
      <c r="I4071" s="131"/>
      <c r="J4071" s="131"/>
      <c r="K4071" s="131"/>
      <c r="L4071" s="131"/>
      <c r="U4071" s="131"/>
      <c r="V4071" s="131"/>
      <c r="W4071" s="131"/>
      <c r="X4071" s="131"/>
    </row>
    <row r="4072" spans="9:24" x14ac:dyDescent="0.25">
      <c r="I4072" s="131"/>
      <c r="J4072" s="131"/>
      <c r="K4072" s="131"/>
      <c r="L4072" s="131"/>
      <c r="U4072" s="131"/>
      <c r="V4072" s="131"/>
      <c r="W4072" s="131"/>
      <c r="X4072" s="131"/>
    </row>
    <row r="4073" spans="9:24" x14ac:dyDescent="0.25">
      <c r="I4073" s="131"/>
      <c r="J4073" s="131"/>
      <c r="K4073" s="131"/>
      <c r="L4073" s="131"/>
      <c r="U4073" s="131"/>
      <c r="V4073" s="131"/>
      <c r="W4073" s="131"/>
      <c r="X4073" s="131"/>
    </row>
    <row r="4074" spans="9:24" x14ac:dyDescent="0.25">
      <c r="I4074" s="131"/>
      <c r="J4074" s="131"/>
      <c r="K4074" s="131"/>
      <c r="L4074" s="131"/>
      <c r="U4074" s="131"/>
      <c r="V4074" s="131"/>
      <c r="W4074" s="131"/>
      <c r="X4074" s="131"/>
    </row>
    <row r="4075" spans="9:24" x14ac:dyDescent="0.25">
      <c r="I4075" s="131"/>
      <c r="J4075" s="131"/>
      <c r="K4075" s="131"/>
      <c r="L4075" s="131"/>
      <c r="U4075" s="131"/>
      <c r="V4075" s="131"/>
      <c r="W4075" s="131"/>
      <c r="X4075" s="131"/>
    </row>
    <row r="4076" spans="9:24" x14ac:dyDescent="0.25">
      <c r="I4076" s="131"/>
      <c r="J4076" s="131"/>
      <c r="K4076" s="131"/>
      <c r="L4076" s="131"/>
      <c r="U4076" s="131"/>
      <c r="V4076" s="131"/>
      <c r="W4076" s="131"/>
      <c r="X4076" s="131"/>
    </row>
    <row r="4077" spans="9:24" x14ac:dyDescent="0.25">
      <c r="I4077" s="131"/>
      <c r="J4077" s="131"/>
      <c r="K4077" s="131"/>
      <c r="L4077" s="131"/>
      <c r="U4077" s="131"/>
      <c r="V4077" s="131"/>
      <c r="W4077" s="131"/>
      <c r="X4077" s="131"/>
    </row>
    <row r="4078" spans="9:24" x14ac:dyDescent="0.25">
      <c r="I4078" s="131"/>
      <c r="J4078" s="131"/>
      <c r="K4078" s="131"/>
      <c r="L4078" s="131"/>
      <c r="U4078" s="131"/>
      <c r="V4078" s="131"/>
      <c r="W4078" s="131"/>
      <c r="X4078" s="131"/>
    </row>
    <row r="4079" spans="9:24" x14ac:dyDescent="0.25">
      <c r="I4079" s="131"/>
      <c r="J4079" s="131"/>
      <c r="K4079" s="131"/>
      <c r="L4079" s="131"/>
      <c r="U4079" s="131"/>
      <c r="V4079" s="131"/>
      <c r="W4079" s="131"/>
      <c r="X4079" s="131"/>
    </row>
    <row r="4080" spans="9:24" x14ac:dyDescent="0.25">
      <c r="I4080" s="131"/>
      <c r="J4080" s="131"/>
      <c r="K4080" s="131"/>
      <c r="L4080" s="131"/>
      <c r="U4080" s="131"/>
      <c r="V4080" s="131"/>
      <c r="W4080" s="131"/>
      <c r="X4080" s="131"/>
    </row>
    <row r="4081" spans="9:24" x14ac:dyDescent="0.25">
      <c r="I4081" s="131"/>
      <c r="J4081" s="131"/>
      <c r="K4081" s="131"/>
      <c r="L4081" s="131"/>
      <c r="U4081" s="131"/>
      <c r="V4081" s="131"/>
      <c r="W4081" s="131"/>
      <c r="X4081" s="131"/>
    </row>
    <row r="4082" spans="9:24" x14ac:dyDescent="0.25">
      <c r="I4082" s="131"/>
      <c r="J4082" s="131"/>
      <c r="K4082" s="131"/>
      <c r="L4082" s="131"/>
      <c r="U4082" s="131"/>
      <c r="V4082" s="131"/>
      <c r="W4082" s="131"/>
      <c r="X4082" s="131"/>
    </row>
    <row r="4083" spans="9:24" x14ac:dyDescent="0.25">
      <c r="I4083" s="131"/>
      <c r="J4083" s="131"/>
      <c r="K4083" s="131"/>
      <c r="L4083" s="131"/>
      <c r="U4083" s="131"/>
      <c r="V4083" s="131"/>
      <c r="W4083" s="131"/>
      <c r="X4083" s="131"/>
    </row>
    <row r="4084" spans="9:24" x14ac:dyDescent="0.25">
      <c r="I4084" s="131"/>
      <c r="J4084" s="131"/>
      <c r="K4084" s="131"/>
      <c r="L4084" s="131"/>
      <c r="U4084" s="131"/>
      <c r="V4084" s="131"/>
      <c r="W4084" s="131"/>
      <c r="X4084" s="131"/>
    </row>
    <row r="4085" spans="9:24" x14ac:dyDescent="0.25">
      <c r="I4085" s="131"/>
      <c r="J4085" s="131"/>
      <c r="K4085" s="131"/>
      <c r="L4085" s="131"/>
      <c r="U4085" s="131"/>
      <c r="V4085" s="131"/>
      <c r="W4085" s="131"/>
      <c r="X4085" s="131"/>
    </row>
    <row r="4086" spans="9:24" x14ac:dyDescent="0.25">
      <c r="I4086" s="131"/>
      <c r="J4086" s="131"/>
      <c r="K4086" s="131"/>
      <c r="L4086" s="131"/>
      <c r="U4086" s="131"/>
      <c r="V4086" s="131"/>
      <c r="W4086" s="131"/>
      <c r="X4086" s="131"/>
    </row>
    <row r="4087" spans="9:24" x14ac:dyDescent="0.25">
      <c r="I4087" s="131"/>
      <c r="J4087" s="131"/>
      <c r="K4087" s="131"/>
      <c r="L4087" s="131"/>
      <c r="U4087" s="131"/>
      <c r="V4087" s="131"/>
      <c r="W4087" s="131"/>
      <c r="X4087" s="131"/>
    </row>
    <row r="4088" spans="9:24" x14ac:dyDescent="0.25">
      <c r="I4088" s="131"/>
      <c r="J4088" s="131"/>
      <c r="K4088" s="131"/>
      <c r="L4088" s="131"/>
      <c r="U4088" s="131"/>
      <c r="V4088" s="131"/>
      <c r="W4088" s="131"/>
      <c r="X4088" s="131"/>
    </row>
    <row r="4089" spans="9:24" x14ac:dyDescent="0.25">
      <c r="I4089" s="131"/>
      <c r="J4089" s="131"/>
      <c r="K4089" s="131"/>
      <c r="L4089" s="131"/>
      <c r="U4089" s="131"/>
      <c r="V4089" s="131"/>
      <c r="W4089" s="131"/>
      <c r="X4089" s="131"/>
    </row>
    <row r="4090" spans="9:24" x14ac:dyDescent="0.25">
      <c r="I4090" s="131"/>
      <c r="J4090" s="131"/>
      <c r="K4090" s="131"/>
      <c r="L4090" s="131"/>
      <c r="U4090" s="131"/>
      <c r="V4090" s="131"/>
      <c r="W4090" s="131"/>
      <c r="X4090" s="131"/>
    </row>
    <row r="4091" spans="9:24" x14ac:dyDescent="0.25">
      <c r="I4091" s="131"/>
      <c r="J4091" s="131"/>
      <c r="K4091" s="131"/>
      <c r="L4091" s="131"/>
      <c r="U4091" s="131"/>
      <c r="V4091" s="131"/>
      <c r="W4091" s="131"/>
      <c r="X4091" s="131"/>
    </row>
    <row r="4092" spans="9:24" x14ac:dyDescent="0.25">
      <c r="I4092" s="131"/>
      <c r="J4092" s="131"/>
      <c r="K4092" s="131"/>
      <c r="L4092" s="131"/>
      <c r="U4092" s="131"/>
      <c r="V4092" s="131"/>
      <c r="W4092" s="131"/>
      <c r="X4092" s="131"/>
    </row>
    <row r="4093" spans="9:24" x14ac:dyDescent="0.25">
      <c r="I4093" s="131"/>
      <c r="J4093" s="131"/>
      <c r="K4093" s="131"/>
      <c r="L4093" s="131"/>
      <c r="U4093" s="131"/>
      <c r="V4093" s="131"/>
      <c r="W4093" s="131"/>
      <c r="X4093" s="131"/>
    </row>
    <row r="4094" spans="9:24" x14ac:dyDescent="0.25">
      <c r="I4094" s="131"/>
      <c r="J4094" s="131"/>
      <c r="K4094" s="131"/>
      <c r="L4094" s="131"/>
      <c r="U4094" s="131"/>
      <c r="V4094" s="131"/>
      <c r="W4094" s="131"/>
      <c r="X4094" s="131"/>
    </row>
    <row r="4095" spans="9:24" x14ac:dyDescent="0.25">
      <c r="I4095" s="131"/>
      <c r="J4095" s="131"/>
      <c r="K4095" s="131"/>
      <c r="L4095" s="131"/>
      <c r="U4095" s="131"/>
      <c r="V4095" s="131"/>
      <c r="W4095" s="131"/>
      <c r="X4095" s="131"/>
    </row>
    <row r="4096" spans="9:24" x14ac:dyDescent="0.25">
      <c r="I4096" s="131"/>
      <c r="J4096" s="131"/>
      <c r="K4096" s="131"/>
      <c r="L4096" s="131"/>
      <c r="U4096" s="131"/>
      <c r="V4096" s="131"/>
      <c r="W4096" s="131"/>
      <c r="X4096" s="131"/>
    </row>
    <row r="4097" spans="9:24" x14ac:dyDescent="0.25">
      <c r="I4097" s="131"/>
      <c r="J4097" s="131"/>
      <c r="K4097" s="131"/>
      <c r="L4097" s="131"/>
      <c r="U4097" s="131"/>
      <c r="V4097" s="131"/>
      <c r="W4097" s="131"/>
      <c r="X4097" s="131"/>
    </row>
    <row r="4098" spans="9:24" x14ac:dyDescent="0.25">
      <c r="I4098" s="131"/>
      <c r="J4098" s="131"/>
      <c r="K4098" s="131"/>
      <c r="L4098" s="131"/>
      <c r="U4098" s="131"/>
      <c r="V4098" s="131"/>
      <c r="W4098" s="131"/>
      <c r="X4098" s="131"/>
    </row>
    <row r="4099" spans="9:24" x14ac:dyDescent="0.25">
      <c r="I4099" s="131"/>
      <c r="J4099" s="131"/>
      <c r="K4099" s="131"/>
      <c r="L4099" s="131"/>
      <c r="U4099" s="131"/>
      <c r="V4099" s="131"/>
      <c r="W4099" s="131"/>
      <c r="X4099" s="131"/>
    </row>
    <row r="4100" spans="9:24" x14ac:dyDescent="0.25">
      <c r="I4100" s="131"/>
      <c r="J4100" s="131"/>
      <c r="K4100" s="131"/>
      <c r="L4100" s="131"/>
      <c r="U4100" s="131"/>
      <c r="V4100" s="131"/>
      <c r="W4100" s="131"/>
      <c r="X4100" s="131"/>
    </row>
    <row r="4101" spans="9:24" x14ac:dyDescent="0.25">
      <c r="I4101" s="131"/>
      <c r="J4101" s="131"/>
      <c r="K4101" s="131"/>
      <c r="L4101" s="131"/>
      <c r="U4101" s="131"/>
      <c r="V4101" s="131"/>
      <c r="W4101" s="131"/>
      <c r="X4101" s="131"/>
    </row>
    <row r="4102" spans="9:24" x14ac:dyDescent="0.25">
      <c r="I4102" s="131"/>
      <c r="J4102" s="131"/>
      <c r="K4102" s="131"/>
      <c r="L4102" s="131"/>
      <c r="U4102" s="131"/>
      <c r="V4102" s="131"/>
      <c r="W4102" s="131"/>
      <c r="X4102" s="131"/>
    </row>
    <row r="4103" spans="9:24" x14ac:dyDescent="0.25">
      <c r="I4103" s="131"/>
      <c r="J4103" s="131"/>
      <c r="K4103" s="131"/>
      <c r="L4103" s="131"/>
      <c r="U4103" s="131"/>
      <c r="V4103" s="131"/>
      <c r="W4103" s="131"/>
      <c r="X4103" s="131"/>
    </row>
    <row r="4104" spans="9:24" x14ac:dyDescent="0.25">
      <c r="I4104" s="131"/>
      <c r="J4104" s="131"/>
      <c r="K4104" s="131"/>
      <c r="L4104" s="131"/>
      <c r="U4104" s="131"/>
      <c r="V4104" s="131"/>
      <c r="W4104" s="131"/>
      <c r="X4104" s="131"/>
    </row>
    <row r="4105" spans="9:24" x14ac:dyDescent="0.25">
      <c r="I4105" s="131"/>
      <c r="J4105" s="131"/>
      <c r="K4105" s="131"/>
      <c r="L4105" s="131"/>
      <c r="U4105" s="131"/>
      <c r="V4105" s="131"/>
      <c r="W4105" s="131"/>
      <c r="X4105" s="131"/>
    </row>
    <row r="4106" spans="9:24" x14ac:dyDescent="0.25">
      <c r="I4106" s="131"/>
      <c r="J4106" s="131"/>
      <c r="K4106" s="131"/>
      <c r="L4106" s="131"/>
      <c r="U4106" s="131"/>
      <c r="V4106" s="131"/>
      <c r="W4106" s="131"/>
      <c r="X4106" s="131"/>
    </row>
    <row r="4107" spans="9:24" x14ac:dyDescent="0.25">
      <c r="I4107" s="131"/>
      <c r="J4107" s="131"/>
      <c r="K4107" s="131"/>
      <c r="L4107" s="131"/>
      <c r="U4107" s="131"/>
      <c r="V4107" s="131"/>
      <c r="W4107" s="131"/>
      <c r="X4107" s="131"/>
    </row>
    <row r="4108" spans="9:24" x14ac:dyDescent="0.25">
      <c r="I4108" s="131"/>
      <c r="J4108" s="131"/>
      <c r="K4108" s="131"/>
      <c r="L4108" s="131"/>
      <c r="U4108" s="131"/>
      <c r="V4108" s="131"/>
      <c r="W4108" s="131"/>
      <c r="X4108" s="131"/>
    </row>
    <row r="4109" spans="9:24" x14ac:dyDescent="0.25">
      <c r="I4109" s="131"/>
      <c r="J4109" s="131"/>
      <c r="K4109" s="131"/>
      <c r="L4109" s="131"/>
      <c r="U4109" s="131"/>
      <c r="V4109" s="131"/>
      <c r="W4109" s="131"/>
      <c r="X4109" s="131"/>
    </row>
    <row r="4110" spans="9:24" x14ac:dyDescent="0.25">
      <c r="I4110" s="131"/>
      <c r="J4110" s="131"/>
      <c r="K4110" s="131"/>
      <c r="L4110" s="131"/>
      <c r="U4110" s="131"/>
      <c r="V4110" s="131"/>
      <c r="W4110" s="131"/>
      <c r="X4110" s="131"/>
    </row>
    <row r="4111" spans="9:24" x14ac:dyDescent="0.25">
      <c r="I4111" s="131"/>
      <c r="J4111" s="131"/>
      <c r="K4111" s="131"/>
      <c r="L4111" s="131"/>
      <c r="U4111" s="131"/>
      <c r="V4111" s="131"/>
      <c r="W4111" s="131"/>
      <c r="X4111" s="131"/>
    </row>
    <row r="4112" spans="9:24" x14ac:dyDescent="0.25">
      <c r="I4112" s="131"/>
      <c r="J4112" s="131"/>
      <c r="K4112" s="131"/>
      <c r="L4112" s="131"/>
      <c r="U4112" s="131"/>
      <c r="V4112" s="131"/>
      <c r="W4112" s="131"/>
      <c r="X4112" s="131"/>
    </row>
    <row r="4113" spans="9:24" x14ac:dyDescent="0.25">
      <c r="I4113" s="131"/>
      <c r="J4113" s="131"/>
      <c r="K4113" s="131"/>
      <c r="L4113" s="131"/>
      <c r="U4113" s="131"/>
      <c r="V4113" s="131"/>
      <c r="W4113" s="131"/>
      <c r="X4113" s="131"/>
    </row>
    <row r="4114" spans="9:24" x14ac:dyDescent="0.25">
      <c r="I4114" s="131"/>
      <c r="J4114" s="131"/>
      <c r="K4114" s="131"/>
      <c r="L4114" s="131"/>
      <c r="U4114" s="131"/>
      <c r="V4114" s="131"/>
      <c r="W4114" s="131"/>
      <c r="X4114" s="131"/>
    </row>
    <row r="4115" spans="9:24" x14ac:dyDescent="0.25">
      <c r="I4115" s="131"/>
      <c r="J4115" s="131"/>
      <c r="K4115" s="131"/>
      <c r="L4115" s="131"/>
      <c r="U4115" s="131"/>
      <c r="V4115" s="131"/>
      <c r="W4115" s="131"/>
      <c r="X4115" s="131"/>
    </row>
    <row r="4116" spans="9:24" x14ac:dyDescent="0.25">
      <c r="I4116" s="131"/>
      <c r="J4116" s="131"/>
      <c r="K4116" s="131"/>
      <c r="L4116" s="131"/>
      <c r="U4116" s="131"/>
      <c r="V4116" s="131"/>
      <c r="W4116" s="131"/>
      <c r="X4116" s="131"/>
    </row>
    <row r="4117" spans="9:24" x14ac:dyDescent="0.25">
      <c r="I4117" s="131"/>
      <c r="J4117" s="131"/>
      <c r="K4117" s="131"/>
      <c r="L4117" s="131"/>
      <c r="U4117" s="131"/>
      <c r="V4117" s="131"/>
      <c r="W4117" s="131"/>
      <c r="X4117" s="131"/>
    </row>
    <row r="4118" spans="9:24" x14ac:dyDescent="0.25">
      <c r="I4118" s="131"/>
      <c r="J4118" s="131"/>
      <c r="K4118" s="131"/>
      <c r="L4118" s="131"/>
      <c r="U4118" s="131"/>
      <c r="V4118" s="131"/>
      <c r="W4118" s="131"/>
      <c r="X4118" s="131"/>
    </row>
    <row r="4119" spans="9:24" x14ac:dyDescent="0.25">
      <c r="I4119" s="131"/>
      <c r="J4119" s="131"/>
      <c r="K4119" s="131"/>
      <c r="L4119" s="131"/>
      <c r="U4119" s="131"/>
      <c r="V4119" s="131"/>
      <c r="W4119" s="131"/>
      <c r="X4119" s="131"/>
    </row>
    <row r="4120" spans="9:24" x14ac:dyDescent="0.25">
      <c r="I4120" s="131"/>
      <c r="J4120" s="131"/>
      <c r="K4120" s="131"/>
      <c r="L4120" s="131"/>
      <c r="U4120" s="131"/>
      <c r="V4120" s="131"/>
      <c r="W4120" s="131"/>
      <c r="X4120" s="131"/>
    </row>
    <row r="4121" spans="9:24" x14ac:dyDescent="0.25">
      <c r="I4121" s="131"/>
      <c r="J4121" s="131"/>
      <c r="K4121" s="131"/>
      <c r="L4121" s="131"/>
      <c r="U4121" s="131"/>
      <c r="V4121" s="131"/>
      <c r="W4121" s="131"/>
      <c r="X4121" s="131"/>
    </row>
    <row r="4122" spans="9:24" x14ac:dyDescent="0.25">
      <c r="I4122" s="131"/>
      <c r="J4122" s="131"/>
      <c r="K4122" s="131"/>
      <c r="L4122" s="131"/>
      <c r="U4122" s="131"/>
      <c r="V4122" s="131"/>
      <c r="W4122" s="131"/>
      <c r="X4122" s="131"/>
    </row>
    <row r="4123" spans="9:24" x14ac:dyDescent="0.25">
      <c r="I4123" s="131"/>
      <c r="J4123" s="131"/>
      <c r="K4123" s="131"/>
      <c r="L4123" s="131"/>
      <c r="U4123" s="131"/>
      <c r="V4123" s="131"/>
      <c r="W4123" s="131"/>
      <c r="X4123" s="131"/>
    </row>
    <row r="4124" spans="9:24" x14ac:dyDescent="0.25">
      <c r="I4124" s="131"/>
      <c r="J4124" s="131"/>
      <c r="K4124" s="131"/>
      <c r="L4124" s="131"/>
      <c r="U4124" s="131"/>
      <c r="V4124" s="131"/>
      <c r="W4124" s="131"/>
      <c r="X4124" s="131"/>
    </row>
    <row r="4125" spans="9:24" x14ac:dyDescent="0.25">
      <c r="I4125" s="131"/>
      <c r="J4125" s="131"/>
      <c r="K4125" s="131"/>
      <c r="L4125" s="131"/>
      <c r="U4125" s="131"/>
      <c r="V4125" s="131"/>
      <c r="W4125" s="131"/>
      <c r="X4125" s="131"/>
    </row>
    <row r="4126" spans="9:24" x14ac:dyDescent="0.25">
      <c r="I4126" s="131"/>
      <c r="J4126" s="131"/>
      <c r="K4126" s="131"/>
      <c r="L4126" s="131"/>
      <c r="U4126" s="131"/>
      <c r="V4126" s="131"/>
      <c r="W4126" s="131"/>
      <c r="X4126" s="131"/>
    </row>
    <row r="4127" spans="9:24" x14ac:dyDescent="0.25">
      <c r="I4127" s="131"/>
      <c r="J4127" s="131"/>
      <c r="K4127" s="131"/>
      <c r="L4127" s="131"/>
      <c r="U4127" s="131"/>
      <c r="V4127" s="131"/>
      <c r="W4127" s="131"/>
      <c r="X4127" s="131"/>
    </row>
    <row r="4128" spans="9:24" x14ac:dyDescent="0.25">
      <c r="I4128" s="131"/>
      <c r="J4128" s="131"/>
      <c r="K4128" s="131"/>
      <c r="L4128" s="131"/>
      <c r="U4128" s="131"/>
      <c r="V4128" s="131"/>
      <c r="W4128" s="131"/>
      <c r="X4128" s="131"/>
    </row>
    <row r="4129" spans="9:24" x14ac:dyDescent="0.25">
      <c r="I4129" s="131"/>
      <c r="J4129" s="131"/>
      <c r="K4129" s="131"/>
      <c r="L4129" s="131"/>
      <c r="U4129" s="131"/>
      <c r="V4129" s="131"/>
      <c r="W4129" s="131"/>
      <c r="X4129" s="131"/>
    </row>
    <row r="4130" spans="9:24" x14ac:dyDescent="0.25">
      <c r="I4130" s="131"/>
      <c r="J4130" s="131"/>
      <c r="K4130" s="131"/>
      <c r="L4130" s="131"/>
      <c r="U4130" s="131"/>
      <c r="V4130" s="131"/>
      <c r="W4130" s="131"/>
      <c r="X4130" s="131"/>
    </row>
    <row r="4131" spans="9:24" x14ac:dyDescent="0.25">
      <c r="I4131" s="131"/>
      <c r="J4131" s="131"/>
      <c r="K4131" s="131"/>
      <c r="L4131" s="131"/>
      <c r="U4131" s="131"/>
      <c r="V4131" s="131"/>
      <c r="W4131" s="131"/>
      <c r="X4131" s="131"/>
    </row>
    <row r="4132" spans="9:24" x14ac:dyDescent="0.25">
      <c r="I4132" s="131"/>
      <c r="J4132" s="131"/>
      <c r="K4132" s="131"/>
      <c r="L4132" s="131"/>
      <c r="U4132" s="131"/>
      <c r="V4132" s="131"/>
      <c r="W4132" s="131"/>
      <c r="X4132" s="131"/>
    </row>
    <row r="4133" spans="9:24" x14ac:dyDescent="0.25">
      <c r="I4133" s="131"/>
      <c r="J4133" s="131"/>
      <c r="K4133" s="131"/>
      <c r="L4133" s="131"/>
      <c r="U4133" s="131"/>
      <c r="V4133" s="131"/>
      <c r="W4133" s="131"/>
      <c r="X4133" s="131"/>
    </row>
    <row r="4134" spans="9:24" x14ac:dyDescent="0.25">
      <c r="I4134" s="131"/>
      <c r="J4134" s="131"/>
      <c r="K4134" s="131"/>
      <c r="L4134" s="131"/>
      <c r="U4134" s="131"/>
      <c r="V4134" s="131"/>
      <c r="W4134" s="131"/>
      <c r="X4134" s="131"/>
    </row>
    <row r="4135" spans="9:24" x14ac:dyDescent="0.25">
      <c r="I4135" s="131"/>
      <c r="J4135" s="131"/>
      <c r="K4135" s="131"/>
      <c r="L4135" s="131"/>
      <c r="U4135" s="131"/>
      <c r="V4135" s="131"/>
      <c r="W4135" s="131"/>
      <c r="X4135" s="131"/>
    </row>
    <row r="4136" spans="9:24" x14ac:dyDescent="0.25">
      <c r="I4136" s="131"/>
      <c r="J4136" s="131"/>
      <c r="K4136" s="131"/>
      <c r="L4136" s="131"/>
      <c r="U4136" s="131"/>
      <c r="V4136" s="131"/>
      <c r="W4136" s="131"/>
      <c r="X4136" s="131"/>
    </row>
    <row r="4137" spans="9:24" x14ac:dyDescent="0.25">
      <c r="I4137" s="131"/>
      <c r="J4137" s="131"/>
      <c r="K4137" s="131"/>
      <c r="L4137" s="131"/>
      <c r="U4137" s="131"/>
      <c r="V4137" s="131"/>
      <c r="W4137" s="131"/>
      <c r="X4137" s="131"/>
    </row>
    <row r="4138" spans="9:24" x14ac:dyDescent="0.25">
      <c r="I4138" s="131"/>
      <c r="J4138" s="131"/>
      <c r="K4138" s="131"/>
      <c r="L4138" s="131"/>
      <c r="U4138" s="131"/>
      <c r="V4138" s="131"/>
      <c r="W4138" s="131"/>
      <c r="X4138" s="131"/>
    </row>
    <row r="4139" spans="9:24" x14ac:dyDescent="0.25">
      <c r="I4139" s="131"/>
      <c r="J4139" s="131"/>
      <c r="K4139" s="131"/>
      <c r="L4139" s="131"/>
      <c r="U4139" s="131"/>
      <c r="V4139" s="131"/>
      <c r="W4139" s="131"/>
      <c r="X4139" s="131"/>
    </row>
    <row r="4140" spans="9:24" x14ac:dyDescent="0.25">
      <c r="I4140" s="131"/>
      <c r="J4140" s="131"/>
      <c r="K4140" s="131"/>
      <c r="L4140" s="131"/>
      <c r="U4140" s="131"/>
      <c r="V4140" s="131"/>
      <c r="W4140" s="131"/>
      <c r="X4140" s="131"/>
    </row>
    <row r="4141" spans="9:24" x14ac:dyDescent="0.25">
      <c r="I4141" s="131"/>
      <c r="J4141" s="131"/>
      <c r="K4141" s="131"/>
      <c r="L4141" s="131"/>
      <c r="U4141" s="131"/>
      <c r="V4141" s="131"/>
      <c r="W4141" s="131"/>
      <c r="X4141" s="131"/>
    </row>
    <row r="4142" spans="9:24" x14ac:dyDescent="0.25">
      <c r="I4142" s="131"/>
      <c r="J4142" s="131"/>
      <c r="K4142" s="131"/>
      <c r="L4142" s="131"/>
      <c r="U4142" s="131"/>
      <c r="V4142" s="131"/>
      <c r="W4142" s="131"/>
      <c r="X4142" s="131"/>
    </row>
    <row r="4143" spans="9:24" x14ac:dyDescent="0.25">
      <c r="I4143" s="131"/>
      <c r="J4143" s="131"/>
      <c r="K4143" s="131"/>
      <c r="L4143" s="131"/>
      <c r="U4143" s="131"/>
      <c r="V4143" s="131"/>
      <c r="W4143" s="131"/>
      <c r="X4143" s="131"/>
    </row>
    <row r="4144" spans="9:24" x14ac:dyDescent="0.25">
      <c r="I4144" s="131"/>
      <c r="J4144" s="131"/>
      <c r="K4144" s="131"/>
      <c r="L4144" s="131"/>
      <c r="U4144" s="131"/>
      <c r="V4144" s="131"/>
      <c r="W4144" s="131"/>
      <c r="X4144" s="131"/>
    </row>
    <row r="4145" spans="9:24" x14ac:dyDescent="0.25">
      <c r="I4145" s="131"/>
      <c r="J4145" s="131"/>
      <c r="K4145" s="131"/>
      <c r="L4145" s="131"/>
      <c r="U4145" s="131"/>
      <c r="V4145" s="131"/>
      <c r="W4145" s="131"/>
      <c r="X4145" s="131"/>
    </row>
    <row r="4146" spans="9:24" x14ac:dyDescent="0.25">
      <c r="I4146" s="131"/>
      <c r="J4146" s="131"/>
      <c r="K4146" s="131"/>
      <c r="L4146" s="131"/>
      <c r="U4146" s="131"/>
      <c r="V4146" s="131"/>
      <c r="W4146" s="131"/>
      <c r="X4146" s="131"/>
    </row>
    <row r="4147" spans="9:24" x14ac:dyDescent="0.25">
      <c r="I4147" s="131"/>
      <c r="J4147" s="131"/>
      <c r="K4147" s="131"/>
      <c r="L4147" s="131"/>
      <c r="U4147" s="131"/>
      <c r="V4147" s="131"/>
      <c r="W4147" s="131"/>
      <c r="X4147" s="131"/>
    </row>
    <row r="4148" spans="9:24" x14ac:dyDescent="0.25">
      <c r="I4148" s="131"/>
      <c r="J4148" s="131"/>
      <c r="K4148" s="131"/>
      <c r="L4148" s="131"/>
      <c r="U4148" s="131"/>
      <c r="V4148" s="131"/>
      <c r="W4148" s="131"/>
      <c r="X4148" s="131"/>
    </row>
    <row r="4149" spans="9:24" x14ac:dyDescent="0.25">
      <c r="I4149" s="131"/>
      <c r="J4149" s="131"/>
      <c r="K4149" s="131"/>
      <c r="L4149" s="131"/>
      <c r="U4149" s="131"/>
      <c r="V4149" s="131"/>
      <c r="W4149" s="131"/>
      <c r="X4149" s="131"/>
    </row>
    <row r="4150" spans="9:24" x14ac:dyDescent="0.25">
      <c r="I4150" s="131"/>
      <c r="J4150" s="131"/>
      <c r="K4150" s="131"/>
      <c r="L4150" s="131"/>
      <c r="U4150" s="131"/>
      <c r="V4150" s="131"/>
      <c r="W4150" s="131"/>
      <c r="X4150" s="131"/>
    </row>
    <row r="4151" spans="9:24" x14ac:dyDescent="0.25">
      <c r="I4151" s="131"/>
      <c r="J4151" s="131"/>
      <c r="K4151" s="131"/>
      <c r="L4151" s="131"/>
      <c r="U4151" s="131"/>
      <c r="V4151" s="131"/>
      <c r="W4151" s="131"/>
      <c r="X4151" s="131"/>
    </row>
    <row r="4152" spans="9:24" x14ac:dyDescent="0.25">
      <c r="I4152" s="131"/>
      <c r="J4152" s="131"/>
      <c r="K4152" s="131"/>
      <c r="L4152" s="131"/>
      <c r="U4152" s="131"/>
      <c r="V4152" s="131"/>
      <c r="W4152" s="131"/>
      <c r="X4152" s="131"/>
    </row>
    <row r="4153" spans="9:24" x14ac:dyDescent="0.25">
      <c r="I4153" s="131"/>
      <c r="J4153" s="131"/>
      <c r="K4153" s="131"/>
      <c r="L4153" s="131"/>
      <c r="U4153" s="131"/>
      <c r="V4153" s="131"/>
      <c r="W4153" s="131"/>
      <c r="X4153" s="131"/>
    </row>
    <row r="4154" spans="9:24" x14ac:dyDescent="0.25">
      <c r="I4154" s="131"/>
      <c r="J4154" s="131"/>
      <c r="K4154" s="131"/>
      <c r="L4154" s="131"/>
      <c r="U4154" s="131"/>
      <c r="V4154" s="131"/>
      <c r="W4154" s="131"/>
      <c r="X4154" s="131"/>
    </row>
    <row r="4155" spans="9:24" x14ac:dyDescent="0.25">
      <c r="I4155" s="131"/>
      <c r="J4155" s="131"/>
      <c r="K4155" s="131"/>
      <c r="L4155" s="131"/>
      <c r="U4155" s="131"/>
      <c r="V4155" s="131"/>
      <c r="W4155" s="131"/>
      <c r="X4155" s="131"/>
    </row>
    <row r="4156" spans="9:24" x14ac:dyDescent="0.25">
      <c r="I4156" s="131"/>
      <c r="J4156" s="131"/>
      <c r="K4156" s="131"/>
      <c r="L4156" s="131"/>
      <c r="U4156" s="131"/>
      <c r="V4156" s="131"/>
      <c r="W4156" s="131"/>
      <c r="X4156" s="131"/>
    </row>
    <row r="4157" spans="9:24" x14ac:dyDescent="0.25">
      <c r="I4157" s="131"/>
      <c r="J4157" s="131"/>
      <c r="K4157" s="131"/>
      <c r="L4157" s="131"/>
      <c r="U4157" s="131"/>
      <c r="V4157" s="131"/>
      <c r="W4157" s="131"/>
      <c r="X4157" s="131"/>
    </row>
    <row r="4158" spans="9:24" x14ac:dyDescent="0.25">
      <c r="I4158" s="131"/>
      <c r="J4158" s="131"/>
      <c r="K4158" s="131"/>
      <c r="L4158" s="131"/>
      <c r="U4158" s="131"/>
      <c r="V4158" s="131"/>
      <c r="W4158" s="131"/>
      <c r="X4158" s="131"/>
    </row>
    <row r="4159" spans="9:24" x14ac:dyDescent="0.25">
      <c r="I4159" s="131"/>
      <c r="J4159" s="131"/>
      <c r="K4159" s="131"/>
      <c r="L4159" s="131"/>
      <c r="U4159" s="131"/>
      <c r="V4159" s="131"/>
      <c r="W4159" s="131"/>
      <c r="X4159" s="131"/>
    </row>
    <row r="4160" spans="9:24" x14ac:dyDescent="0.25">
      <c r="I4160" s="131"/>
      <c r="J4160" s="131"/>
      <c r="K4160" s="131"/>
      <c r="L4160" s="131"/>
      <c r="U4160" s="131"/>
      <c r="V4160" s="131"/>
      <c r="W4160" s="131"/>
      <c r="X4160" s="131"/>
    </row>
    <row r="4161" spans="9:24" x14ac:dyDescent="0.25">
      <c r="I4161" s="131"/>
      <c r="J4161" s="131"/>
      <c r="K4161" s="131"/>
      <c r="L4161" s="131"/>
      <c r="U4161" s="131"/>
      <c r="V4161" s="131"/>
      <c r="W4161" s="131"/>
      <c r="X4161" s="131"/>
    </row>
    <row r="4162" spans="9:24" x14ac:dyDescent="0.25">
      <c r="I4162" s="131"/>
      <c r="J4162" s="131"/>
      <c r="K4162" s="131"/>
      <c r="L4162" s="131"/>
      <c r="U4162" s="131"/>
      <c r="V4162" s="131"/>
      <c r="W4162" s="131"/>
      <c r="X4162" s="131"/>
    </row>
    <row r="4163" spans="9:24" x14ac:dyDescent="0.25">
      <c r="I4163" s="131"/>
      <c r="J4163" s="131"/>
      <c r="K4163" s="131"/>
      <c r="L4163" s="131"/>
      <c r="U4163" s="131"/>
      <c r="V4163" s="131"/>
      <c r="W4163" s="131"/>
      <c r="X4163" s="131"/>
    </row>
    <row r="4164" spans="9:24" x14ac:dyDescent="0.25">
      <c r="I4164" s="131"/>
      <c r="J4164" s="131"/>
      <c r="K4164" s="131"/>
      <c r="L4164" s="131"/>
      <c r="U4164" s="131"/>
      <c r="V4164" s="131"/>
      <c r="W4164" s="131"/>
      <c r="X4164" s="131"/>
    </row>
    <row r="4165" spans="9:24" x14ac:dyDescent="0.25">
      <c r="I4165" s="131"/>
      <c r="J4165" s="131"/>
      <c r="K4165" s="131"/>
      <c r="L4165" s="131"/>
      <c r="U4165" s="131"/>
      <c r="V4165" s="131"/>
      <c r="W4165" s="131"/>
      <c r="X4165" s="131"/>
    </row>
    <row r="4166" spans="9:24" x14ac:dyDescent="0.25">
      <c r="I4166" s="131"/>
      <c r="J4166" s="131"/>
      <c r="K4166" s="131"/>
      <c r="L4166" s="131"/>
      <c r="U4166" s="131"/>
      <c r="V4166" s="131"/>
      <c r="W4166" s="131"/>
      <c r="X4166" s="131"/>
    </row>
    <row r="4167" spans="9:24" x14ac:dyDescent="0.25">
      <c r="I4167" s="131"/>
      <c r="J4167" s="131"/>
      <c r="K4167" s="131"/>
      <c r="L4167" s="131"/>
      <c r="U4167" s="131"/>
      <c r="V4167" s="131"/>
      <c r="W4167" s="131"/>
      <c r="X4167" s="131"/>
    </row>
    <row r="4168" spans="9:24" x14ac:dyDescent="0.25">
      <c r="I4168" s="131"/>
      <c r="J4168" s="131"/>
      <c r="K4168" s="131"/>
      <c r="L4168" s="131"/>
      <c r="U4168" s="131"/>
      <c r="V4168" s="131"/>
      <c r="W4168" s="131"/>
      <c r="X4168" s="131"/>
    </row>
    <row r="4169" spans="9:24" x14ac:dyDescent="0.25">
      <c r="I4169" s="131"/>
      <c r="J4169" s="131"/>
      <c r="K4169" s="131"/>
      <c r="L4169" s="131"/>
      <c r="U4169" s="131"/>
      <c r="V4169" s="131"/>
      <c r="W4169" s="131"/>
      <c r="X4169" s="131"/>
    </row>
    <row r="4170" spans="9:24" x14ac:dyDescent="0.25">
      <c r="I4170" s="131"/>
      <c r="J4170" s="131"/>
      <c r="K4170" s="131"/>
      <c r="L4170" s="131"/>
      <c r="U4170" s="131"/>
      <c r="V4170" s="131"/>
      <c r="W4170" s="131"/>
      <c r="X4170" s="131"/>
    </row>
    <row r="4171" spans="9:24" x14ac:dyDescent="0.25">
      <c r="I4171" s="131"/>
      <c r="J4171" s="131"/>
      <c r="K4171" s="131"/>
      <c r="L4171" s="131"/>
      <c r="U4171" s="131"/>
      <c r="V4171" s="131"/>
      <c r="W4171" s="131"/>
      <c r="X4171" s="131"/>
    </row>
    <row r="4172" spans="9:24" x14ac:dyDescent="0.25">
      <c r="I4172" s="131"/>
      <c r="J4172" s="131"/>
      <c r="K4172" s="131"/>
      <c r="L4172" s="131"/>
      <c r="U4172" s="131"/>
      <c r="V4172" s="131"/>
      <c r="W4172" s="131"/>
      <c r="X4172" s="131"/>
    </row>
    <row r="4173" spans="9:24" x14ac:dyDescent="0.25">
      <c r="I4173" s="131"/>
      <c r="J4173" s="131"/>
      <c r="K4173" s="131"/>
      <c r="L4173" s="131"/>
      <c r="U4173" s="131"/>
      <c r="V4173" s="131"/>
      <c r="W4173" s="131"/>
      <c r="X4173" s="131"/>
    </row>
    <row r="4174" spans="9:24" x14ac:dyDescent="0.25">
      <c r="I4174" s="131"/>
      <c r="J4174" s="131"/>
      <c r="K4174" s="131"/>
      <c r="L4174" s="131"/>
      <c r="U4174" s="131"/>
      <c r="V4174" s="131"/>
      <c r="W4174" s="131"/>
      <c r="X4174" s="131"/>
    </row>
    <row r="4175" spans="9:24" x14ac:dyDescent="0.25">
      <c r="I4175" s="131"/>
      <c r="J4175" s="131"/>
      <c r="K4175" s="131"/>
      <c r="L4175" s="131"/>
      <c r="U4175" s="131"/>
      <c r="V4175" s="131"/>
      <c r="W4175" s="131"/>
      <c r="X4175" s="131"/>
    </row>
    <row r="4176" spans="9:24" x14ac:dyDescent="0.25">
      <c r="I4176" s="131"/>
      <c r="J4176" s="131"/>
      <c r="K4176" s="131"/>
      <c r="L4176" s="131"/>
      <c r="U4176" s="131"/>
      <c r="V4176" s="131"/>
      <c r="W4176" s="131"/>
      <c r="X4176" s="131"/>
    </row>
    <row r="4177" spans="9:24" x14ac:dyDescent="0.25">
      <c r="I4177" s="131"/>
      <c r="J4177" s="131"/>
      <c r="K4177" s="131"/>
      <c r="L4177" s="131"/>
      <c r="U4177" s="131"/>
      <c r="V4177" s="131"/>
      <c r="W4177" s="131"/>
      <c r="X4177" s="131"/>
    </row>
    <row r="4178" spans="9:24" x14ac:dyDescent="0.25">
      <c r="I4178" s="131"/>
      <c r="J4178" s="131"/>
      <c r="K4178" s="131"/>
      <c r="L4178" s="131"/>
      <c r="U4178" s="131"/>
      <c r="V4178" s="131"/>
      <c r="W4178" s="131"/>
      <c r="X4178" s="131"/>
    </row>
    <row r="4179" spans="9:24" x14ac:dyDescent="0.25">
      <c r="I4179" s="131"/>
      <c r="J4179" s="131"/>
      <c r="K4179" s="131"/>
      <c r="L4179" s="131"/>
      <c r="U4179" s="131"/>
      <c r="V4179" s="131"/>
      <c r="W4179" s="131"/>
      <c r="X4179" s="131"/>
    </row>
    <row r="4180" spans="9:24" x14ac:dyDescent="0.25">
      <c r="I4180" s="131"/>
      <c r="J4180" s="131"/>
      <c r="K4180" s="131"/>
      <c r="L4180" s="131"/>
      <c r="U4180" s="131"/>
      <c r="V4180" s="131"/>
      <c r="W4180" s="131"/>
      <c r="X4180" s="131"/>
    </row>
    <row r="4181" spans="9:24" x14ac:dyDescent="0.25">
      <c r="I4181" s="131"/>
      <c r="J4181" s="131"/>
      <c r="K4181" s="131"/>
      <c r="L4181" s="131"/>
      <c r="U4181" s="131"/>
      <c r="V4181" s="131"/>
      <c r="W4181" s="131"/>
      <c r="X4181" s="131"/>
    </row>
    <row r="4182" spans="9:24" x14ac:dyDescent="0.25">
      <c r="I4182" s="131"/>
      <c r="J4182" s="131"/>
      <c r="K4182" s="131"/>
      <c r="L4182" s="131"/>
      <c r="U4182" s="131"/>
      <c r="V4182" s="131"/>
      <c r="W4182" s="131"/>
      <c r="X4182" s="131"/>
    </row>
    <row r="4183" spans="9:24" x14ac:dyDescent="0.25">
      <c r="I4183" s="131"/>
      <c r="J4183" s="131"/>
      <c r="K4183" s="131"/>
      <c r="L4183" s="131"/>
      <c r="U4183" s="131"/>
      <c r="V4183" s="131"/>
      <c r="W4183" s="131"/>
      <c r="X4183" s="131"/>
    </row>
    <row r="4184" spans="9:24" x14ac:dyDescent="0.25">
      <c r="I4184" s="131"/>
      <c r="J4184" s="131"/>
      <c r="K4184" s="131"/>
      <c r="L4184" s="131"/>
      <c r="U4184" s="131"/>
      <c r="V4184" s="131"/>
      <c r="W4184" s="131"/>
      <c r="X4184" s="131"/>
    </row>
    <row r="4185" spans="9:24" x14ac:dyDescent="0.25">
      <c r="I4185" s="131"/>
      <c r="J4185" s="131"/>
      <c r="K4185" s="131"/>
      <c r="L4185" s="131"/>
      <c r="U4185" s="131"/>
      <c r="V4185" s="131"/>
      <c r="W4185" s="131"/>
      <c r="X4185" s="131"/>
    </row>
    <row r="4186" spans="9:24" x14ac:dyDescent="0.25">
      <c r="I4186" s="131"/>
      <c r="J4186" s="131"/>
      <c r="K4186" s="131"/>
      <c r="L4186" s="131"/>
      <c r="U4186" s="131"/>
      <c r="V4186" s="131"/>
      <c r="W4186" s="131"/>
      <c r="X4186" s="131"/>
    </row>
    <row r="4187" spans="9:24" x14ac:dyDescent="0.25">
      <c r="I4187" s="131"/>
      <c r="J4187" s="131"/>
      <c r="K4187" s="131"/>
      <c r="L4187" s="131"/>
      <c r="U4187" s="131"/>
      <c r="V4187" s="131"/>
      <c r="W4187" s="131"/>
      <c r="X4187" s="131"/>
    </row>
    <row r="4188" spans="9:24" x14ac:dyDescent="0.25">
      <c r="I4188" s="131"/>
      <c r="J4188" s="131"/>
      <c r="K4188" s="131"/>
      <c r="L4188" s="131"/>
      <c r="U4188" s="131"/>
      <c r="V4188" s="131"/>
      <c r="W4188" s="131"/>
      <c r="X4188" s="131"/>
    </row>
    <row r="4189" spans="9:24" x14ac:dyDescent="0.25">
      <c r="I4189" s="131"/>
      <c r="J4189" s="131"/>
      <c r="K4189" s="131"/>
      <c r="L4189" s="131"/>
      <c r="U4189" s="131"/>
      <c r="V4189" s="131"/>
      <c r="W4189" s="131"/>
      <c r="X4189" s="131"/>
    </row>
    <row r="4190" spans="9:24" x14ac:dyDescent="0.25">
      <c r="I4190" s="131"/>
      <c r="J4190" s="131"/>
      <c r="K4190" s="131"/>
      <c r="L4190" s="131"/>
      <c r="U4190" s="131"/>
      <c r="V4190" s="131"/>
      <c r="W4190" s="131"/>
      <c r="X4190" s="131"/>
    </row>
    <row r="4191" spans="9:24" x14ac:dyDescent="0.25">
      <c r="I4191" s="131"/>
      <c r="J4191" s="131"/>
      <c r="K4191" s="131"/>
      <c r="L4191" s="131"/>
      <c r="U4191" s="131"/>
      <c r="V4191" s="131"/>
      <c r="W4191" s="131"/>
      <c r="X4191" s="131"/>
    </row>
    <row r="4192" spans="9:24" x14ac:dyDescent="0.25">
      <c r="I4192" s="131"/>
      <c r="J4192" s="131"/>
      <c r="K4192" s="131"/>
      <c r="L4192" s="131"/>
      <c r="U4192" s="131"/>
      <c r="V4192" s="131"/>
      <c r="W4192" s="131"/>
      <c r="X4192" s="131"/>
    </row>
    <row r="4193" spans="9:24" x14ac:dyDescent="0.25">
      <c r="I4193" s="131"/>
      <c r="J4193" s="131"/>
      <c r="K4193" s="131"/>
      <c r="L4193" s="131"/>
      <c r="U4193" s="131"/>
      <c r="V4193" s="131"/>
      <c r="W4193" s="131"/>
      <c r="X4193" s="131"/>
    </row>
    <row r="4194" spans="9:24" x14ac:dyDescent="0.25">
      <c r="I4194" s="131"/>
      <c r="J4194" s="131"/>
      <c r="K4194" s="131"/>
      <c r="L4194" s="131"/>
      <c r="U4194" s="131"/>
      <c r="V4194" s="131"/>
      <c r="W4194" s="131"/>
      <c r="X4194" s="131"/>
    </row>
    <row r="4195" spans="9:24" x14ac:dyDescent="0.25">
      <c r="I4195" s="131"/>
      <c r="J4195" s="131"/>
      <c r="K4195" s="131"/>
      <c r="L4195" s="131"/>
      <c r="U4195" s="131"/>
      <c r="V4195" s="131"/>
      <c r="W4195" s="131"/>
      <c r="X4195" s="131"/>
    </row>
    <row r="4196" spans="9:24" x14ac:dyDescent="0.25">
      <c r="I4196" s="131"/>
      <c r="J4196" s="131"/>
      <c r="K4196" s="131"/>
      <c r="L4196" s="131"/>
      <c r="U4196" s="131"/>
      <c r="V4196" s="131"/>
      <c r="W4196" s="131"/>
      <c r="X4196" s="131"/>
    </row>
    <row r="4197" spans="9:24" x14ac:dyDescent="0.25">
      <c r="I4197" s="131"/>
      <c r="J4197" s="131"/>
      <c r="K4197" s="131"/>
      <c r="L4197" s="131"/>
      <c r="U4197" s="131"/>
      <c r="V4197" s="131"/>
      <c r="W4197" s="131"/>
      <c r="X4197" s="131"/>
    </row>
    <row r="4198" spans="9:24" x14ac:dyDescent="0.25">
      <c r="I4198" s="131"/>
      <c r="J4198" s="131"/>
      <c r="K4198" s="131"/>
      <c r="L4198" s="131"/>
      <c r="U4198" s="131"/>
      <c r="V4198" s="131"/>
      <c r="W4198" s="131"/>
      <c r="X4198" s="131"/>
    </row>
    <row r="4199" spans="9:24" x14ac:dyDescent="0.25">
      <c r="I4199" s="131"/>
      <c r="J4199" s="131"/>
      <c r="K4199" s="131"/>
      <c r="L4199" s="131"/>
      <c r="U4199" s="131"/>
      <c r="V4199" s="131"/>
      <c r="W4199" s="131"/>
      <c r="X4199" s="131"/>
    </row>
    <row r="4200" spans="9:24" x14ac:dyDescent="0.25">
      <c r="I4200" s="131"/>
      <c r="J4200" s="131"/>
      <c r="K4200" s="131"/>
      <c r="L4200" s="131"/>
      <c r="U4200" s="131"/>
      <c r="V4200" s="131"/>
      <c r="W4200" s="131"/>
      <c r="X4200" s="131"/>
    </row>
    <row r="4201" spans="9:24" x14ac:dyDescent="0.25">
      <c r="I4201" s="131"/>
      <c r="J4201" s="131"/>
      <c r="K4201" s="131"/>
      <c r="L4201" s="131"/>
      <c r="U4201" s="131"/>
      <c r="V4201" s="131"/>
      <c r="W4201" s="131"/>
      <c r="X4201" s="131"/>
    </row>
    <row r="4202" spans="9:24" x14ac:dyDescent="0.25">
      <c r="I4202" s="131"/>
      <c r="J4202" s="131"/>
      <c r="K4202" s="131"/>
      <c r="L4202" s="131"/>
      <c r="U4202" s="131"/>
      <c r="V4202" s="131"/>
      <c r="W4202" s="131"/>
      <c r="X4202" s="131"/>
    </row>
    <row r="4203" spans="9:24" x14ac:dyDescent="0.25">
      <c r="I4203" s="131"/>
      <c r="J4203" s="131"/>
      <c r="K4203" s="131"/>
      <c r="L4203" s="131"/>
      <c r="U4203" s="131"/>
      <c r="V4203" s="131"/>
      <c r="W4203" s="131"/>
      <c r="X4203" s="131"/>
    </row>
    <row r="4204" spans="9:24" x14ac:dyDescent="0.25">
      <c r="I4204" s="131"/>
      <c r="J4204" s="131"/>
      <c r="K4204" s="131"/>
      <c r="L4204" s="131"/>
      <c r="U4204" s="131"/>
      <c r="V4204" s="131"/>
      <c r="W4204" s="131"/>
      <c r="X4204" s="131"/>
    </row>
    <row r="4205" spans="9:24" x14ac:dyDescent="0.25">
      <c r="I4205" s="131"/>
      <c r="J4205" s="131"/>
      <c r="K4205" s="131"/>
      <c r="L4205" s="131"/>
      <c r="U4205" s="131"/>
      <c r="V4205" s="131"/>
      <c r="W4205" s="131"/>
      <c r="X4205" s="131"/>
    </row>
    <row r="4206" spans="9:24" x14ac:dyDescent="0.25">
      <c r="I4206" s="131"/>
      <c r="J4206" s="131"/>
      <c r="K4206" s="131"/>
      <c r="L4206" s="131"/>
      <c r="U4206" s="131"/>
      <c r="V4206" s="131"/>
      <c r="W4206" s="131"/>
      <c r="X4206" s="131"/>
    </row>
    <row r="4207" spans="9:24" x14ac:dyDescent="0.25">
      <c r="I4207" s="131"/>
      <c r="J4207" s="131"/>
      <c r="K4207" s="131"/>
      <c r="L4207" s="131"/>
      <c r="U4207" s="131"/>
      <c r="V4207" s="131"/>
      <c r="W4207" s="131"/>
      <c r="X4207" s="131"/>
    </row>
    <row r="4208" spans="9:24" x14ac:dyDescent="0.25">
      <c r="I4208" s="131"/>
      <c r="J4208" s="131"/>
      <c r="K4208" s="131"/>
      <c r="L4208" s="131"/>
      <c r="U4208" s="131"/>
      <c r="V4208" s="131"/>
      <c r="W4208" s="131"/>
      <c r="X4208" s="131"/>
    </row>
    <row r="4209" spans="9:24" x14ac:dyDescent="0.25">
      <c r="I4209" s="131"/>
      <c r="J4209" s="131"/>
      <c r="K4209" s="131"/>
      <c r="L4209" s="131"/>
      <c r="U4209" s="131"/>
      <c r="V4209" s="131"/>
      <c r="W4209" s="131"/>
      <c r="X4209" s="131"/>
    </row>
    <row r="4210" spans="9:24" x14ac:dyDescent="0.25">
      <c r="I4210" s="131"/>
      <c r="J4210" s="131"/>
      <c r="K4210" s="131"/>
      <c r="L4210" s="131"/>
      <c r="U4210" s="131"/>
      <c r="V4210" s="131"/>
      <c r="W4210" s="131"/>
      <c r="X4210" s="131"/>
    </row>
    <row r="4211" spans="9:24" x14ac:dyDescent="0.25">
      <c r="I4211" s="131"/>
      <c r="J4211" s="131"/>
      <c r="K4211" s="131"/>
      <c r="L4211" s="131"/>
      <c r="U4211" s="131"/>
      <c r="V4211" s="131"/>
      <c r="W4211" s="131"/>
      <c r="X4211" s="131"/>
    </row>
    <row r="4212" spans="9:24" x14ac:dyDescent="0.25">
      <c r="I4212" s="131"/>
      <c r="J4212" s="131"/>
      <c r="K4212" s="131"/>
      <c r="L4212" s="131"/>
      <c r="U4212" s="131"/>
      <c r="V4212" s="131"/>
      <c r="W4212" s="131"/>
      <c r="X4212" s="131"/>
    </row>
    <row r="4213" spans="9:24" x14ac:dyDescent="0.25">
      <c r="I4213" s="131"/>
      <c r="J4213" s="131"/>
      <c r="K4213" s="131"/>
      <c r="L4213" s="131"/>
      <c r="U4213" s="131"/>
      <c r="V4213" s="131"/>
      <c r="W4213" s="131"/>
      <c r="X4213" s="131"/>
    </row>
    <row r="4214" spans="9:24" x14ac:dyDescent="0.25">
      <c r="I4214" s="131"/>
      <c r="J4214" s="131"/>
      <c r="K4214" s="131"/>
      <c r="L4214" s="131"/>
      <c r="U4214" s="131"/>
      <c r="V4214" s="131"/>
      <c r="W4214" s="131"/>
      <c r="X4214" s="131"/>
    </row>
    <row r="4215" spans="9:24" x14ac:dyDescent="0.25">
      <c r="I4215" s="131"/>
      <c r="J4215" s="131"/>
      <c r="K4215" s="131"/>
      <c r="L4215" s="131"/>
      <c r="U4215" s="131"/>
      <c r="V4215" s="131"/>
      <c r="W4215" s="131"/>
      <c r="X4215" s="131"/>
    </row>
    <row r="4216" spans="9:24" x14ac:dyDescent="0.25">
      <c r="I4216" s="131"/>
      <c r="J4216" s="131"/>
      <c r="K4216" s="131"/>
      <c r="L4216" s="131"/>
      <c r="U4216" s="131"/>
      <c r="V4216" s="131"/>
      <c r="W4216" s="131"/>
      <c r="X4216" s="131"/>
    </row>
    <row r="4217" spans="9:24" x14ac:dyDescent="0.25">
      <c r="I4217" s="131"/>
      <c r="J4217" s="131"/>
      <c r="K4217" s="131"/>
      <c r="L4217" s="131"/>
      <c r="U4217" s="131"/>
      <c r="V4217" s="131"/>
      <c r="W4217" s="131"/>
      <c r="X4217" s="131"/>
    </row>
    <row r="4218" spans="9:24" x14ac:dyDescent="0.25">
      <c r="I4218" s="131"/>
      <c r="J4218" s="131"/>
      <c r="K4218" s="131"/>
      <c r="L4218" s="131"/>
      <c r="U4218" s="131"/>
      <c r="V4218" s="131"/>
      <c r="W4218" s="131"/>
      <c r="X4218" s="131"/>
    </row>
    <row r="4219" spans="9:24" x14ac:dyDescent="0.25">
      <c r="I4219" s="131"/>
      <c r="J4219" s="131"/>
      <c r="K4219" s="131"/>
      <c r="L4219" s="131"/>
      <c r="U4219" s="131"/>
      <c r="V4219" s="131"/>
      <c r="W4219" s="131"/>
      <c r="X4219" s="131"/>
    </row>
    <row r="4220" spans="9:24" x14ac:dyDescent="0.25">
      <c r="I4220" s="131"/>
      <c r="J4220" s="131"/>
      <c r="K4220" s="131"/>
      <c r="L4220" s="131"/>
      <c r="U4220" s="131"/>
      <c r="V4220" s="131"/>
      <c r="W4220" s="131"/>
      <c r="X4220" s="131"/>
    </row>
    <row r="4221" spans="9:24" x14ac:dyDescent="0.25">
      <c r="I4221" s="131"/>
      <c r="J4221" s="131"/>
      <c r="K4221" s="131"/>
      <c r="L4221" s="131"/>
      <c r="U4221" s="131"/>
      <c r="V4221" s="131"/>
      <c r="W4221" s="131"/>
      <c r="X4221" s="131"/>
    </row>
    <row r="4222" spans="9:24" x14ac:dyDescent="0.25">
      <c r="I4222" s="131"/>
      <c r="J4222" s="131"/>
      <c r="K4222" s="131"/>
      <c r="L4222" s="131"/>
      <c r="U4222" s="131"/>
      <c r="V4222" s="131"/>
      <c r="W4222" s="131"/>
      <c r="X4222" s="131"/>
    </row>
    <row r="4223" spans="9:24" x14ac:dyDescent="0.25">
      <c r="I4223" s="131"/>
      <c r="J4223" s="131"/>
      <c r="K4223" s="131"/>
      <c r="L4223" s="131"/>
      <c r="U4223" s="131"/>
      <c r="V4223" s="131"/>
      <c r="W4223" s="131"/>
      <c r="X4223" s="131"/>
    </row>
    <row r="4224" spans="9:24" x14ac:dyDescent="0.25">
      <c r="I4224" s="131"/>
      <c r="J4224" s="131"/>
      <c r="K4224" s="131"/>
      <c r="L4224" s="131"/>
      <c r="U4224" s="131"/>
      <c r="V4224" s="131"/>
      <c r="W4224" s="131"/>
      <c r="X4224" s="131"/>
    </row>
    <row r="4225" spans="9:24" x14ac:dyDescent="0.25">
      <c r="I4225" s="131"/>
      <c r="J4225" s="131"/>
      <c r="K4225" s="131"/>
      <c r="L4225" s="131"/>
      <c r="U4225" s="131"/>
      <c r="V4225" s="131"/>
      <c r="W4225" s="131"/>
      <c r="X4225" s="131"/>
    </row>
    <row r="4226" spans="9:24" x14ac:dyDescent="0.25">
      <c r="I4226" s="131"/>
      <c r="J4226" s="131"/>
      <c r="K4226" s="131"/>
      <c r="L4226" s="131"/>
      <c r="U4226" s="131"/>
      <c r="V4226" s="131"/>
      <c r="W4226" s="131"/>
      <c r="X4226" s="131"/>
    </row>
    <row r="4227" spans="9:24" x14ac:dyDescent="0.25">
      <c r="I4227" s="131"/>
      <c r="J4227" s="131"/>
      <c r="K4227" s="131"/>
      <c r="L4227" s="131"/>
      <c r="U4227" s="131"/>
      <c r="V4227" s="131"/>
      <c r="W4227" s="131"/>
      <c r="X4227" s="131"/>
    </row>
    <row r="4228" spans="9:24" x14ac:dyDescent="0.25">
      <c r="I4228" s="131"/>
      <c r="J4228" s="131"/>
      <c r="K4228" s="131"/>
      <c r="L4228" s="131"/>
      <c r="U4228" s="131"/>
      <c r="V4228" s="131"/>
      <c r="W4228" s="131"/>
      <c r="X4228" s="131"/>
    </row>
    <row r="4229" spans="9:24" x14ac:dyDescent="0.25">
      <c r="I4229" s="131"/>
      <c r="J4229" s="131"/>
      <c r="K4229" s="131"/>
      <c r="L4229" s="131"/>
      <c r="U4229" s="131"/>
      <c r="V4229" s="131"/>
      <c r="W4229" s="131"/>
      <c r="X4229" s="131"/>
    </row>
    <row r="4230" spans="9:24" x14ac:dyDescent="0.25">
      <c r="I4230" s="131"/>
      <c r="J4230" s="131"/>
      <c r="K4230" s="131"/>
      <c r="L4230" s="131"/>
      <c r="U4230" s="131"/>
      <c r="V4230" s="131"/>
      <c r="W4230" s="131"/>
      <c r="X4230" s="131"/>
    </row>
    <row r="4231" spans="9:24" x14ac:dyDescent="0.25">
      <c r="I4231" s="131"/>
      <c r="J4231" s="131"/>
      <c r="K4231" s="131"/>
      <c r="L4231" s="131"/>
      <c r="U4231" s="131"/>
      <c r="V4231" s="131"/>
      <c r="W4231" s="131"/>
      <c r="X4231" s="131"/>
    </row>
    <row r="4232" spans="9:24" x14ac:dyDescent="0.25">
      <c r="I4232" s="131"/>
      <c r="J4232" s="131"/>
      <c r="K4232" s="131"/>
      <c r="L4232" s="131"/>
      <c r="U4232" s="131"/>
      <c r="V4232" s="131"/>
      <c r="W4232" s="131"/>
      <c r="X4232" s="131"/>
    </row>
    <row r="4233" spans="9:24" x14ac:dyDescent="0.25">
      <c r="I4233" s="131"/>
      <c r="J4233" s="131"/>
      <c r="K4233" s="131"/>
      <c r="L4233" s="131"/>
      <c r="U4233" s="131"/>
      <c r="V4233" s="131"/>
      <c r="W4233" s="131"/>
      <c r="X4233" s="131"/>
    </row>
    <row r="4234" spans="9:24" x14ac:dyDescent="0.25">
      <c r="I4234" s="131"/>
      <c r="J4234" s="131"/>
      <c r="K4234" s="131"/>
      <c r="L4234" s="131"/>
      <c r="U4234" s="131"/>
      <c r="V4234" s="131"/>
      <c r="W4234" s="131"/>
      <c r="X4234" s="131"/>
    </row>
    <row r="4235" spans="9:24" x14ac:dyDescent="0.25">
      <c r="I4235" s="131"/>
      <c r="J4235" s="131"/>
      <c r="K4235" s="131"/>
      <c r="L4235" s="131"/>
      <c r="U4235" s="131"/>
      <c r="V4235" s="131"/>
      <c r="W4235" s="131"/>
      <c r="X4235" s="131"/>
    </row>
    <row r="4236" spans="9:24" x14ac:dyDescent="0.25">
      <c r="I4236" s="131"/>
      <c r="J4236" s="131"/>
      <c r="K4236" s="131"/>
      <c r="L4236" s="131"/>
      <c r="U4236" s="131"/>
      <c r="V4236" s="131"/>
      <c r="W4236" s="131"/>
      <c r="X4236" s="131"/>
    </row>
    <row r="4237" spans="9:24" x14ac:dyDescent="0.25">
      <c r="I4237" s="131"/>
      <c r="J4237" s="131"/>
      <c r="K4237" s="131"/>
      <c r="L4237" s="131"/>
      <c r="U4237" s="131"/>
      <c r="V4237" s="131"/>
      <c r="W4237" s="131"/>
      <c r="X4237" s="131"/>
    </row>
    <row r="4238" spans="9:24" x14ac:dyDescent="0.25">
      <c r="I4238" s="131"/>
      <c r="J4238" s="131"/>
      <c r="K4238" s="131"/>
      <c r="L4238" s="131"/>
      <c r="U4238" s="131"/>
      <c r="V4238" s="131"/>
      <c r="W4238" s="131"/>
      <c r="X4238" s="131"/>
    </row>
    <row r="4239" spans="9:24" x14ac:dyDescent="0.25">
      <c r="I4239" s="131"/>
      <c r="J4239" s="131"/>
      <c r="K4239" s="131"/>
      <c r="L4239" s="131"/>
      <c r="U4239" s="131"/>
      <c r="V4239" s="131"/>
      <c r="W4239" s="131"/>
      <c r="X4239" s="131"/>
    </row>
    <row r="4240" spans="9:24" x14ac:dyDescent="0.25">
      <c r="I4240" s="131"/>
      <c r="J4240" s="131"/>
      <c r="K4240" s="131"/>
      <c r="L4240" s="131"/>
      <c r="U4240" s="131"/>
      <c r="V4240" s="131"/>
      <c r="W4240" s="131"/>
      <c r="X4240" s="131"/>
    </row>
    <row r="4241" spans="9:24" x14ac:dyDescent="0.25">
      <c r="I4241" s="131"/>
      <c r="J4241" s="131"/>
      <c r="K4241" s="131"/>
      <c r="L4241" s="131"/>
      <c r="U4241" s="131"/>
      <c r="V4241" s="131"/>
      <c r="W4241" s="131"/>
      <c r="X4241" s="131"/>
    </row>
    <row r="4242" spans="9:24" x14ac:dyDescent="0.25">
      <c r="I4242" s="131"/>
      <c r="J4242" s="131"/>
      <c r="K4242" s="131"/>
      <c r="L4242" s="131"/>
      <c r="U4242" s="131"/>
      <c r="V4242" s="131"/>
      <c r="W4242" s="131"/>
      <c r="X4242" s="131"/>
    </row>
    <row r="4243" spans="9:24" x14ac:dyDescent="0.25">
      <c r="I4243" s="131"/>
      <c r="J4243" s="131"/>
      <c r="K4243" s="131"/>
      <c r="L4243" s="131"/>
      <c r="U4243" s="131"/>
      <c r="V4243" s="131"/>
      <c r="W4243" s="131"/>
      <c r="X4243" s="131"/>
    </row>
    <row r="4244" spans="9:24" x14ac:dyDescent="0.25">
      <c r="I4244" s="131"/>
      <c r="J4244" s="131"/>
      <c r="K4244" s="131"/>
      <c r="L4244" s="131"/>
      <c r="U4244" s="131"/>
      <c r="V4244" s="131"/>
      <c r="W4244" s="131"/>
      <c r="X4244" s="131"/>
    </row>
    <row r="4245" spans="9:24" x14ac:dyDescent="0.25">
      <c r="I4245" s="131"/>
      <c r="J4245" s="131"/>
      <c r="K4245" s="131"/>
      <c r="L4245" s="131"/>
      <c r="U4245" s="131"/>
      <c r="V4245" s="131"/>
      <c r="W4245" s="131"/>
      <c r="X4245" s="131"/>
    </row>
    <row r="4246" spans="9:24" x14ac:dyDescent="0.25">
      <c r="I4246" s="131"/>
      <c r="J4246" s="131"/>
      <c r="K4246" s="131"/>
      <c r="L4246" s="131"/>
      <c r="U4246" s="131"/>
      <c r="V4246" s="131"/>
      <c r="W4246" s="131"/>
      <c r="X4246" s="131"/>
    </row>
    <row r="4247" spans="9:24" x14ac:dyDescent="0.25">
      <c r="I4247" s="131"/>
      <c r="J4247" s="131"/>
      <c r="K4247" s="131"/>
      <c r="L4247" s="131"/>
      <c r="U4247" s="131"/>
      <c r="V4247" s="131"/>
      <c r="W4247" s="131"/>
      <c r="X4247" s="131"/>
    </row>
    <row r="4248" spans="9:24" x14ac:dyDescent="0.25">
      <c r="I4248" s="131"/>
      <c r="J4248" s="131"/>
      <c r="K4248" s="131"/>
      <c r="L4248" s="131"/>
      <c r="U4248" s="131"/>
      <c r="V4248" s="131"/>
      <c r="W4248" s="131"/>
      <c r="X4248" s="131"/>
    </row>
    <row r="4249" spans="9:24" x14ac:dyDescent="0.25">
      <c r="I4249" s="131"/>
      <c r="J4249" s="131"/>
      <c r="K4249" s="131"/>
      <c r="L4249" s="131"/>
      <c r="U4249" s="131"/>
      <c r="V4249" s="131"/>
      <c r="W4249" s="131"/>
      <c r="X4249" s="131"/>
    </row>
    <row r="4250" spans="9:24" x14ac:dyDescent="0.25">
      <c r="I4250" s="131"/>
      <c r="J4250" s="131"/>
      <c r="K4250" s="131"/>
      <c r="L4250" s="131"/>
      <c r="U4250" s="131"/>
      <c r="V4250" s="131"/>
      <c r="W4250" s="131"/>
      <c r="X4250" s="131"/>
    </row>
    <row r="4251" spans="9:24" x14ac:dyDescent="0.25">
      <c r="I4251" s="131"/>
      <c r="J4251" s="131"/>
      <c r="K4251" s="131"/>
      <c r="L4251" s="131"/>
      <c r="U4251" s="131"/>
      <c r="V4251" s="131"/>
      <c r="W4251" s="131"/>
      <c r="X4251" s="131"/>
    </row>
    <row r="4252" spans="9:24" x14ac:dyDescent="0.25">
      <c r="I4252" s="131"/>
      <c r="J4252" s="131"/>
      <c r="K4252" s="131"/>
      <c r="L4252" s="131"/>
      <c r="U4252" s="131"/>
      <c r="V4252" s="131"/>
      <c r="W4252" s="131"/>
      <c r="X4252" s="131"/>
    </row>
    <row r="4253" spans="9:24" x14ac:dyDescent="0.25">
      <c r="I4253" s="131"/>
      <c r="J4253" s="131"/>
      <c r="K4253" s="131"/>
      <c r="L4253" s="131"/>
      <c r="U4253" s="131"/>
      <c r="V4253" s="131"/>
      <c r="W4253" s="131"/>
      <c r="X4253" s="131"/>
    </row>
    <row r="4254" spans="9:24" x14ac:dyDescent="0.25">
      <c r="I4254" s="131"/>
      <c r="J4254" s="131"/>
      <c r="K4254" s="131"/>
      <c r="L4254" s="131"/>
      <c r="U4254" s="131"/>
      <c r="V4254" s="131"/>
      <c r="W4254" s="131"/>
      <c r="X4254" s="131"/>
    </row>
    <row r="4255" spans="9:24" x14ac:dyDescent="0.25">
      <c r="I4255" s="131"/>
      <c r="J4255" s="131"/>
      <c r="K4255" s="131"/>
      <c r="L4255" s="131"/>
      <c r="U4255" s="131"/>
      <c r="V4255" s="131"/>
      <c r="W4255" s="131"/>
      <c r="X4255" s="131"/>
    </row>
    <row r="4256" spans="9:24" x14ac:dyDescent="0.25">
      <c r="I4256" s="131"/>
      <c r="J4256" s="131"/>
      <c r="K4256" s="131"/>
      <c r="L4256" s="131"/>
      <c r="U4256" s="131"/>
      <c r="V4256" s="131"/>
      <c r="W4256" s="131"/>
      <c r="X4256" s="131"/>
    </row>
    <row r="4257" spans="9:24" x14ac:dyDescent="0.25">
      <c r="I4257" s="131"/>
      <c r="J4257" s="131"/>
      <c r="K4257" s="131"/>
      <c r="L4257" s="131"/>
      <c r="U4257" s="131"/>
      <c r="V4257" s="131"/>
      <c r="W4257" s="131"/>
      <c r="X4257" s="131"/>
    </row>
    <row r="4258" spans="9:24" x14ac:dyDescent="0.25">
      <c r="I4258" s="131"/>
      <c r="J4258" s="131"/>
      <c r="K4258" s="131"/>
      <c r="L4258" s="131"/>
      <c r="U4258" s="131"/>
      <c r="V4258" s="131"/>
      <c r="W4258" s="131"/>
      <c r="X4258" s="131"/>
    </row>
    <row r="4259" spans="9:24" x14ac:dyDescent="0.25">
      <c r="I4259" s="131"/>
      <c r="J4259" s="131"/>
      <c r="K4259" s="131"/>
      <c r="L4259" s="131"/>
      <c r="U4259" s="131"/>
      <c r="V4259" s="131"/>
      <c r="W4259" s="131"/>
      <c r="X4259" s="131"/>
    </row>
    <row r="4260" spans="9:24" x14ac:dyDescent="0.25">
      <c r="I4260" s="131"/>
      <c r="J4260" s="131"/>
      <c r="K4260" s="131"/>
      <c r="L4260" s="131"/>
      <c r="U4260" s="131"/>
      <c r="V4260" s="131"/>
      <c r="W4260" s="131"/>
      <c r="X4260" s="131"/>
    </row>
    <row r="4261" spans="9:24" x14ac:dyDescent="0.25">
      <c r="I4261" s="131"/>
      <c r="J4261" s="131"/>
      <c r="K4261" s="131"/>
      <c r="L4261" s="131"/>
      <c r="U4261" s="131"/>
      <c r="V4261" s="131"/>
      <c r="W4261" s="131"/>
      <c r="X4261" s="131"/>
    </row>
    <row r="4262" spans="9:24" x14ac:dyDescent="0.25">
      <c r="I4262" s="131"/>
      <c r="J4262" s="131"/>
      <c r="K4262" s="131"/>
      <c r="L4262" s="131"/>
      <c r="U4262" s="131"/>
      <c r="V4262" s="131"/>
      <c r="W4262" s="131"/>
      <c r="X4262" s="131"/>
    </row>
    <row r="4263" spans="9:24" x14ac:dyDescent="0.25">
      <c r="I4263" s="131"/>
      <c r="J4263" s="131"/>
      <c r="K4263" s="131"/>
      <c r="L4263" s="131"/>
      <c r="U4263" s="131"/>
      <c r="V4263" s="131"/>
      <c r="W4263" s="131"/>
      <c r="X4263" s="131"/>
    </row>
    <row r="4264" spans="9:24" x14ac:dyDescent="0.25">
      <c r="I4264" s="131"/>
      <c r="J4264" s="131"/>
      <c r="K4264" s="131"/>
      <c r="L4264" s="131"/>
      <c r="U4264" s="131"/>
      <c r="V4264" s="131"/>
      <c r="W4264" s="131"/>
      <c r="X4264" s="131"/>
    </row>
    <row r="4265" spans="9:24" x14ac:dyDescent="0.25">
      <c r="I4265" s="131"/>
      <c r="J4265" s="131"/>
      <c r="K4265" s="131"/>
      <c r="L4265" s="131"/>
      <c r="U4265" s="131"/>
      <c r="V4265" s="131"/>
      <c r="W4265" s="131"/>
      <c r="X4265" s="131"/>
    </row>
    <row r="4266" spans="9:24" x14ac:dyDescent="0.25">
      <c r="I4266" s="131"/>
      <c r="J4266" s="131"/>
      <c r="K4266" s="131"/>
      <c r="L4266" s="131"/>
      <c r="U4266" s="131"/>
      <c r="V4266" s="131"/>
      <c r="W4266" s="131"/>
      <c r="X4266" s="131"/>
    </row>
    <row r="4267" spans="9:24" x14ac:dyDescent="0.25">
      <c r="I4267" s="131"/>
      <c r="J4267" s="131"/>
      <c r="K4267" s="131"/>
      <c r="L4267" s="131"/>
      <c r="U4267" s="131"/>
      <c r="V4267" s="131"/>
      <c r="W4267" s="131"/>
      <c r="X4267" s="131"/>
    </row>
    <row r="4268" spans="9:24" x14ac:dyDescent="0.25">
      <c r="I4268" s="131"/>
      <c r="J4268" s="131"/>
      <c r="K4268" s="131"/>
      <c r="L4268" s="131"/>
      <c r="U4268" s="131"/>
      <c r="V4268" s="131"/>
      <c r="W4268" s="131"/>
      <c r="X4268" s="131"/>
    </row>
    <row r="4269" spans="9:24" x14ac:dyDescent="0.25">
      <c r="I4269" s="131"/>
      <c r="J4269" s="131"/>
      <c r="K4269" s="131"/>
      <c r="L4269" s="131"/>
      <c r="U4269" s="131"/>
      <c r="V4269" s="131"/>
      <c r="W4269" s="131"/>
      <c r="X4269" s="131"/>
    </row>
    <row r="4270" spans="9:24" x14ac:dyDescent="0.25">
      <c r="I4270" s="131"/>
      <c r="J4270" s="131"/>
      <c r="K4270" s="131"/>
      <c r="L4270" s="131"/>
      <c r="U4270" s="131"/>
      <c r="V4270" s="131"/>
      <c r="W4270" s="131"/>
      <c r="X4270" s="131"/>
    </row>
    <row r="4271" spans="9:24" x14ac:dyDescent="0.25">
      <c r="I4271" s="131"/>
      <c r="J4271" s="131"/>
      <c r="K4271" s="131"/>
      <c r="L4271" s="131"/>
      <c r="U4271" s="131"/>
      <c r="V4271" s="131"/>
      <c r="W4271" s="131"/>
      <c r="X4271" s="131"/>
    </row>
    <row r="4272" spans="9:24" x14ac:dyDescent="0.25">
      <c r="I4272" s="131"/>
      <c r="J4272" s="131"/>
      <c r="K4272" s="131"/>
      <c r="L4272" s="131"/>
      <c r="U4272" s="131"/>
      <c r="V4272" s="131"/>
      <c r="W4272" s="131"/>
      <c r="X4272" s="131"/>
    </row>
    <row r="4273" spans="9:24" x14ac:dyDescent="0.25">
      <c r="I4273" s="131"/>
      <c r="J4273" s="131"/>
      <c r="K4273" s="131"/>
      <c r="L4273" s="131"/>
      <c r="U4273" s="131"/>
      <c r="V4273" s="131"/>
      <c r="W4273" s="131"/>
      <c r="X4273" s="131"/>
    </row>
    <row r="4274" spans="9:24" x14ac:dyDescent="0.25">
      <c r="I4274" s="131"/>
      <c r="J4274" s="131"/>
      <c r="K4274" s="131"/>
      <c r="L4274" s="131"/>
      <c r="U4274" s="131"/>
      <c r="V4274" s="131"/>
      <c r="W4274" s="131"/>
      <c r="X4274" s="131"/>
    </row>
    <row r="4275" spans="9:24" x14ac:dyDescent="0.25">
      <c r="I4275" s="131"/>
      <c r="J4275" s="131"/>
      <c r="K4275" s="131"/>
      <c r="L4275" s="131"/>
      <c r="U4275" s="131"/>
      <c r="V4275" s="131"/>
      <c r="W4275" s="131"/>
      <c r="X4275" s="131"/>
    </row>
    <row r="4276" spans="9:24" x14ac:dyDescent="0.25">
      <c r="I4276" s="131"/>
      <c r="J4276" s="131"/>
      <c r="K4276" s="131"/>
      <c r="L4276" s="131"/>
      <c r="U4276" s="131"/>
      <c r="V4276" s="131"/>
      <c r="W4276" s="131"/>
      <c r="X4276" s="131"/>
    </row>
    <row r="4277" spans="9:24" x14ac:dyDescent="0.25">
      <c r="I4277" s="131"/>
      <c r="J4277" s="131"/>
      <c r="K4277" s="131"/>
      <c r="L4277" s="131"/>
      <c r="U4277" s="131"/>
      <c r="V4277" s="131"/>
      <c r="W4277" s="131"/>
      <c r="X4277" s="131"/>
    </row>
    <row r="4278" spans="9:24" x14ac:dyDescent="0.25">
      <c r="I4278" s="131"/>
      <c r="J4278" s="131"/>
      <c r="K4278" s="131"/>
      <c r="L4278" s="131"/>
      <c r="U4278" s="131"/>
      <c r="V4278" s="131"/>
      <c r="W4278" s="131"/>
      <c r="X4278" s="131"/>
    </row>
    <row r="4279" spans="9:24" x14ac:dyDescent="0.25">
      <c r="I4279" s="131"/>
      <c r="J4279" s="131"/>
      <c r="K4279" s="131"/>
      <c r="L4279" s="131"/>
      <c r="U4279" s="131"/>
      <c r="V4279" s="131"/>
      <c r="W4279" s="131"/>
      <c r="X4279" s="131"/>
    </row>
    <row r="4280" spans="9:24" x14ac:dyDescent="0.25">
      <c r="I4280" s="131"/>
      <c r="J4280" s="131"/>
      <c r="K4280" s="131"/>
      <c r="L4280" s="131"/>
      <c r="U4280" s="131"/>
      <c r="V4280" s="131"/>
      <c r="W4280" s="131"/>
      <c r="X4280" s="131"/>
    </row>
    <row r="4281" spans="9:24" x14ac:dyDescent="0.25">
      <c r="I4281" s="131"/>
      <c r="J4281" s="131"/>
      <c r="K4281" s="131"/>
      <c r="L4281" s="131"/>
      <c r="U4281" s="131"/>
      <c r="V4281" s="131"/>
      <c r="W4281" s="131"/>
      <c r="X4281" s="131"/>
    </row>
    <row r="4282" spans="9:24" x14ac:dyDescent="0.25">
      <c r="I4282" s="131"/>
      <c r="J4282" s="131"/>
      <c r="K4282" s="131"/>
      <c r="L4282" s="131"/>
      <c r="U4282" s="131"/>
      <c r="V4282" s="131"/>
      <c r="W4282" s="131"/>
      <c r="X4282" s="131"/>
    </row>
    <row r="4283" spans="9:24" x14ac:dyDescent="0.25">
      <c r="I4283" s="131"/>
      <c r="J4283" s="131"/>
      <c r="K4283" s="131"/>
      <c r="L4283" s="131"/>
      <c r="U4283" s="131"/>
      <c r="V4283" s="131"/>
      <c r="W4283" s="131"/>
      <c r="X4283" s="131"/>
    </row>
    <row r="4284" spans="9:24" x14ac:dyDescent="0.25">
      <c r="I4284" s="131"/>
      <c r="J4284" s="131"/>
      <c r="K4284" s="131"/>
      <c r="L4284" s="131"/>
      <c r="U4284" s="131"/>
      <c r="V4284" s="131"/>
      <c r="W4284" s="131"/>
      <c r="X4284" s="131"/>
    </row>
    <row r="4285" spans="9:24" x14ac:dyDescent="0.25">
      <c r="I4285" s="131"/>
      <c r="J4285" s="131"/>
      <c r="K4285" s="131"/>
      <c r="L4285" s="131"/>
      <c r="U4285" s="131"/>
      <c r="V4285" s="131"/>
      <c r="W4285" s="131"/>
      <c r="X4285" s="131"/>
    </row>
    <row r="4286" spans="9:24" x14ac:dyDescent="0.25">
      <c r="I4286" s="131"/>
      <c r="J4286" s="131"/>
      <c r="K4286" s="131"/>
      <c r="L4286" s="131"/>
      <c r="U4286" s="131"/>
      <c r="V4286" s="131"/>
      <c r="W4286" s="131"/>
      <c r="X4286" s="131"/>
    </row>
    <row r="4287" spans="9:24" x14ac:dyDescent="0.25">
      <c r="I4287" s="131"/>
      <c r="J4287" s="131"/>
      <c r="K4287" s="131"/>
      <c r="L4287" s="131"/>
      <c r="U4287" s="131"/>
      <c r="V4287" s="131"/>
      <c r="W4287" s="131"/>
      <c r="X4287" s="131"/>
    </row>
    <row r="4288" spans="9:24" x14ac:dyDescent="0.25">
      <c r="I4288" s="131"/>
      <c r="J4288" s="131"/>
      <c r="K4288" s="131"/>
      <c r="L4288" s="131"/>
      <c r="U4288" s="131"/>
      <c r="V4288" s="131"/>
      <c r="W4288" s="131"/>
      <c r="X4288" s="131"/>
    </row>
    <row r="4289" spans="9:24" x14ac:dyDescent="0.25">
      <c r="I4289" s="131"/>
      <c r="J4289" s="131"/>
      <c r="K4289" s="131"/>
      <c r="L4289" s="131"/>
      <c r="U4289" s="131"/>
      <c r="V4289" s="131"/>
      <c r="W4289" s="131"/>
      <c r="X4289" s="131"/>
    </row>
    <row r="4290" spans="9:24" x14ac:dyDescent="0.25">
      <c r="I4290" s="131"/>
      <c r="J4290" s="131"/>
      <c r="K4290" s="131"/>
      <c r="L4290" s="131"/>
      <c r="U4290" s="131"/>
      <c r="V4290" s="131"/>
      <c r="W4290" s="131"/>
      <c r="X4290" s="131"/>
    </row>
    <row r="4291" spans="9:24" x14ac:dyDescent="0.25">
      <c r="I4291" s="131"/>
      <c r="J4291" s="131"/>
      <c r="K4291" s="131"/>
      <c r="L4291" s="131"/>
      <c r="U4291" s="131"/>
      <c r="V4291" s="131"/>
      <c r="W4291" s="131"/>
      <c r="X4291" s="131"/>
    </row>
    <row r="4292" spans="9:24" x14ac:dyDescent="0.25">
      <c r="I4292" s="131"/>
      <c r="J4292" s="131"/>
      <c r="K4292" s="131"/>
      <c r="L4292" s="131"/>
      <c r="U4292" s="131"/>
      <c r="V4292" s="131"/>
      <c r="W4292" s="131"/>
      <c r="X4292" s="131"/>
    </row>
    <row r="4293" spans="9:24" x14ac:dyDescent="0.25">
      <c r="I4293" s="131"/>
      <c r="J4293" s="131"/>
      <c r="K4293" s="131"/>
      <c r="L4293" s="131"/>
      <c r="U4293" s="131"/>
      <c r="V4293" s="131"/>
      <c r="W4293" s="131"/>
      <c r="X4293" s="131"/>
    </row>
    <row r="4294" spans="9:24" x14ac:dyDescent="0.25">
      <c r="I4294" s="131"/>
      <c r="J4294" s="131"/>
      <c r="K4294" s="131"/>
      <c r="L4294" s="131"/>
      <c r="U4294" s="131"/>
      <c r="V4294" s="131"/>
      <c r="W4294" s="131"/>
      <c r="X4294" s="131"/>
    </row>
    <row r="4295" spans="9:24" x14ac:dyDescent="0.25">
      <c r="I4295" s="131"/>
      <c r="J4295" s="131"/>
      <c r="K4295" s="131"/>
      <c r="L4295" s="131"/>
      <c r="U4295" s="131"/>
      <c r="V4295" s="131"/>
      <c r="W4295" s="131"/>
      <c r="X4295" s="131"/>
    </row>
    <row r="4296" spans="9:24" x14ac:dyDescent="0.25">
      <c r="I4296" s="131"/>
      <c r="J4296" s="131"/>
      <c r="K4296" s="131"/>
      <c r="L4296" s="131"/>
      <c r="U4296" s="131"/>
      <c r="V4296" s="131"/>
      <c r="W4296" s="131"/>
      <c r="X4296" s="131"/>
    </row>
    <row r="4297" spans="9:24" x14ac:dyDescent="0.25">
      <c r="I4297" s="131"/>
      <c r="J4297" s="131"/>
      <c r="K4297" s="131"/>
      <c r="L4297" s="131"/>
      <c r="U4297" s="131"/>
      <c r="V4297" s="131"/>
      <c r="W4297" s="131"/>
      <c r="X4297" s="131"/>
    </row>
    <row r="4298" spans="9:24" x14ac:dyDescent="0.25">
      <c r="I4298" s="131"/>
      <c r="J4298" s="131"/>
      <c r="K4298" s="131"/>
      <c r="L4298" s="131"/>
      <c r="U4298" s="131"/>
      <c r="V4298" s="131"/>
      <c r="W4298" s="131"/>
      <c r="X4298" s="131"/>
    </row>
    <row r="4299" spans="9:24" x14ac:dyDescent="0.25">
      <c r="I4299" s="131"/>
      <c r="J4299" s="131"/>
      <c r="K4299" s="131"/>
      <c r="L4299" s="131"/>
      <c r="U4299" s="131"/>
      <c r="V4299" s="131"/>
      <c r="W4299" s="131"/>
      <c r="X4299" s="131"/>
    </row>
    <row r="4300" spans="9:24" x14ac:dyDescent="0.25">
      <c r="I4300" s="131"/>
      <c r="J4300" s="131"/>
      <c r="K4300" s="131"/>
      <c r="L4300" s="131"/>
      <c r="U4300" s="131"/>
      <c r="V4300" s="131"/>
      <c r="W4300" s="131"/>
      <c r="X4300" s="131"/>
    </row>
    <row r="4301" spans="9:24" x14ac:dyDescent="0.25">
      <c r="I4301" s="131"/>
      <c r="J4301" s="131"/>
      <c r="K4301" s="131"/>
      <c r="L4301" s="131"/>
      <c r="U4301" s="131"/>
      <c r="V4301" s="131"/>
      <c r="W4301" s="131"/>
      <c r="X4301" s="131"/>
    </row>
    <row r="4302" spans="9:24" x14ac:dyDescent="0.25">
      <c r="I4302" s="131"/>
      <c r="J4302" s="131"/>
      <c r="K4302" s="131"/>
      <c r="L4302" s="131"/>
      <c r="U4302" s="131"/>
      <c r="V4302" s="131"/>
      <c r="W4302" s="131"/>
      <c r="X4302" s="131"/>
    </row>
    <row r="4303" spans="9:24" x14ac:dyDescent="0.25">
      <c r="I4303" s="131"/>
      <c r="J4303" s="131"/>
      <c r="K4303" s="131"/>
      <c r="L4303" s="131"/>
      <c r="U4303" s="131"/>
      <c r="V4303" s="131"/>
      <c r="W4303" s="131"/>
      <c r="X4303" s="131"/>
    </row>
    <row r="4304" spans="9:24" x14ac:dyDescent="0.25">
      <c r="I4304" s="131"/>
      <c r="J4304" s="131"/>
      <c r="K4304" s="131"/>
      <c r="L4304" s="131"/>
      <c r="U4304" s="131"/>
      <c r="V4304" s="131"/>
      <c r="W4304" s="131"/>
      <c r="X4304" s="131"/>
    </row>
    <row r="4305" spans="9:24" x14ac:dyDescent="0.25">
      <c r="I4305" s="131"/>
      <c r="J4305" s="131"/>
      <c r="K4305" s="131"/>
      <c r="L4305" s="131"/>
      <c r="U4305" s="131"/>
      <c r="V4305" s="131"/>
      <c r="W4305" s="131"/>
      <c r="X4305" s="131"/>
    </row>
    <row r="4306" spans="9:24" x14ac:dyDescent="0.25">
      <c r="I4306" s="131"/>
      <c r="J4306" s="131"/>
      <c r="K4306" s="131"/>
      <c r="L4306" s="131"/>
      <c r="U4306" s="131"/>
      <c r="V4306" s="131"/>
      <c r="W4306" s="131"/>
      <c r="X4306" s="131"/>
    </row>
    <row r="4307" spans="9:24" x14ac:dyDescent="0.25">
      <c r="I4307" s="131"/>
      <c r="J4307" s="131"/>
      <c r="K4307" s="131"/>
      <c r="L4307" s="131"/>
      <c r="U4307" s="131"/>
      <c r="V4307" s="131"/>
      <c r="W4307" s="131"/>
      <c r="X4307" s="131"/>
    </row>
    <row r="4308" spans="9:24" x14ac:dyDescent="0.25">
      <c r="I4308" s="131"/>
      <c r="J4308" s="131"/>
      <c r="K4308" s="131"/>
      <c r="L4308" s="131"/>
      <c r="U4308" s="131"/>
      <c r="V4308" s="131"/>
      <c r="W4308" s="131"/>
      <c r="X4308" s="131"/>
    </row>
    <row r="4309" spans="9:24" x14ac:dyDescent="0.25">
      <c r="I4309" s="131"/>
      <c r="J4309" s="131"/>
      <c r="K4309" s="131"/>
      <c r="L4309" s="131"/>
      <c r="U4309" s="131"/>
      <c r="V4309" s="131"/>
      <c r="W4309" s="131"/>
      <c r="X4309" s="131"/>
    </row>
    <row r="4310" spans="9:24" x14ac:dyDescent="0.25">
      <c r="I4310" s="131"/>
      <c r="J4310" s="131"/>
      <c r="K4310" s="131"/>
      <c r="L4310" s="131"/>
      <c r="U4310" s="131"/>
      <c r="V4310" s="131"/>
      <c r="W4310" s="131"/>
      <c r="X4310" s="131"/>
    </row>
    <row r="4311" spans="9:24" x14ac:dyDescent="0.25">
      <c r="I4311" s="131"/>
      <c r="J4311" s="131"/>
      <c r="K4311" s="131"/>
      <c r="L4311" s="131"/>
      <c r="U4311" s="131"/>
      <c r="V4311" s="131"/>
      <c r="W4311" s="131"/>
      <c r="X4311" s="131"/>
    </row>
    <row r="4312" spans="9:24" x14ac:dyDescent="0.25">
      <c r="I4312" s="131"/>
      <c r="J4312" s="131"/>
      <c r="K4312" s="131"/>
      <c r="L4312" s="131"/>
      <c r="U4312" s="131"/>
      <c r="V4312" s="131"/>
      <c r="W4312" s="131"/>
      <c r="X4312" s="131"/>
    </row>
    <row r="4313" spans="9:24" x14ac:dyDescent="0.25">
      <c r="I4313" s="131"/>
      <c r="J4313" s="131"/>
      <c r="K4313" s="131"/>
      <c r="L4313" s="131"/>
      <c r="U4313" s="131"/>
      <c r="V4313" s="131"/>
      <c r="W4313" s="131"/>
      <c r="X4313" s="131"/>
    </row>
    <row r="4314" spans="9:24" x14ac:dyDescent="0.25">
      <c r="I4314" s="131"/>
      <c r="J4314" s="131"/>
      <c r="K4314" s="131"/>
      <c r="L4314" s="131"/>
      <c r="U4314" s="131"/>
      <c r="V4314" s="131"/>
      <c r="W4314" s="131"/>
      <c r="X4314" s="131"/>
    </row>
    <row r="4315" spans="9:24" x14ac:dyDescent="0.25">
      <c r="I4315" s="131"/>
      <c r="J4315" s="131"/>
      <c r="K4315" s="131"/>
      <c r="L4315" s="131"/>
      <c r="U4315" s="131"/>
      <c r="V4315" s="131"/>
      <c r="W4315" s="131"/>
      <c r="X4315" s="131"/>
    </row>
    <row r="4316" spans="9:24" x14ac:dyDescent="0.25">
      <c r="I4316" s="131"/>
      <c r="J4316" s="131"/>
      <c r="K4316" s="131"/>
      <c r="L4316" s="131"/>
      <c r="U4316" s="131"/>
      <c r="V4316" s="131"/>
      <c r="W4316" s="131"/>
      <c r="X4316" s="131"/>
    </row>
    <row r="4317" spans="9:24" x14ac:dyDescent="0.25">
      <c r="I4317" s="131"/>
      <c r="J4317" s="131"/>
      <c r="K4317" s="131"/>
      <c r="L4317" s="131"/>
      <c r="U4317" s="131"/>
      <c r="V4317" s="131"/>
      <c r="W4317" s="131"/>
      <c r="X4317" s="131"/>
    </row>
    <row r="4318" spans="9:24" x14ac:dyDescent="0.25">
      <c r="I4318" s="131"/>
      <c r="J4318" s="131"/>
      <c r="K4318" s="131"/>
      <c r="L4318" s="131"/>
      <c r="U4318" s="131"/>
      <c r="V4318" s="131"/>
      <c r="W4318" s="131"/>
      <c r="X4318" s="131"/>
    </row>
    <row r="4319" spans="9:24" x14ac:dyDescent="0.25">
      <c r="I4319" s="131"/>
      <c r="J4319" s="131"/>
      <c r="K4319" s="131"/>
      <c r="L4319" s="131"/>
      <c r="U4319" s="131"/>
      <c r="V4319" s="131"/>
      <c r="W4319" s="131"/>
      <c r="X4319" s="131"/>
    </row>
    <row r="4320" spans="9:24" x14ac:dyDescent="0.25">
      <c r="I4320" s="131"/>
      <c r="J4320" s="131"/>
      <c r="K4320" s="131"/>
      <c r="L4320" s="131"/>
      <c r="U4320" s="131"/>
      <c r="V4320" s="131"/>
      <c r="W4320" s="131"/>
      <c r="X4320" s="131"/>
    </row>
    <row r="4321" spans="9:24" x14ac:dyDescent="0.25">
      <c r="I4321" s="131"/>
      <c r="J4321" s="131"/>
      <c r="K4321" s="131"/>
      <c r="L4321" s="131"/>
      <c r="U4321" s="131"/>
      <c r="V4321" s="131"/>
      <c r="W4321" s="131"/>
      <c r="X4321" s="131"/>
    </row>
    <row r="4322" spans="9:24" x14ac:dyDescent="0.25">
      <c r="I4322" s="131"/>
      <c r="J4322" s="131"/>
      <c r="K4322" s="131"/>
      <c r="L4322" s="131"/>
      <c r="U4322" s="131"/>
      <c r="V4322" s="131"/>
      <c r="W4322" s="131"/>
      <c r="X4322" s="131"/>
    </row>
    <row r="4323" spans="9:24" x14ac:dyDescent="0.25">
      <c r="I4323" s="131"/>
      <c r="J4323" s="131"/>
      <c r="K4323" s="131"/>
      <c r="L4323" s="131"/>
      <c r="U4323" s="131"/>
      <c r="V4323" s="131"/>
      <c r="W4323" s="131"/>
      <c r="X4323" s="131"/>
    </row>
    <row r="4324" spans="9:24" x14ac:dyDescent="0.25">
      <c r="I4324" s="131"/>
      <c r="J4324" s="131"/>
      <c r="K4324" s="131"/>
      <c r="L4324" s="131"/>
      <c r="U4324" s="131"/>
      <c r="V4324" s="131"/>
      <c r="W4324" s="131"/>
      <c r="X4324" s="131"/>
    </row>
    <row r="4325" spans="9:24" x14ac:dyDescent="0.25">
      <c r="I4325" s="131"/>
      <c r="J4325" s="131"/>
      <c r="K4325" s="131"/>
      <c r="L4325" s="131"/>
      <c r="U4325" s="131"/>
      <c r="V4325" s="131"/>
      <c r="W4325" s="131"/>
      <c r="X4325" s="131"/>
    </row>
    <row r="4326" spans="9:24" x14ac:dyDescent="0.25">
      <c r="I4326" s="131"/>
      <c r="J4326" s="131"/>
      <c r="K4326" s="131"/>
      <c r="L4326" s="131"/>
      <c r="U4326" s="131"/>
      <c r="V4326" s="131"/>
      <c r="W4326" s="131"/>
      <c r="X4326" s="131"/>
    </row>
    <row r="4327" spans="9:24" x14ac:dyDescent="0.25">
      <c r="I4327" s="131"/>
      <c r="J4327" s="131"/>
      <c r="K4327" s="131"/>
      <c r="L4327" s="131"/>
      <c r="U4327" s="131"/>
      <c r="V4327" s="131"/>
      <c r="W4327" s="131"/>
      <c r="X4327" s="131"/>
    </row>
    <row r="4328" spans="9:24" x14ac:dyDescent="0.25">
      <c r="I4328" s="131"/>
      <c r="J4328" s="131"/>
      <c r="K4328" s="131"/>
      <c r="L4328" s="131"/>
      <c r="U4328" s="131"/>
      <c r="V4328" s="131"/>
      <c r="W4328" s="131"/>
      <c r="X4328" s="131"/>
    </row>
    <row r="4329" spans="9:24" x14ac:dyDescent="0.25">
      <c r="I4329" s="131"/>
      <c r="J4329" s="131"/>
      <c r="K4329" s="131"/>
      <c r="L4329" s="131"/>
      <c r="U4329" s="131"/>
      <c r="V4329" s="131"/>
      <c r="W4329" s="131"/>
      <c r="X4329" s="131"/>
    </row>
    <row r="4330" spans="9:24" x14ac:dyDescent="0.25">
      <c r="I4330" s="131"/>
      <c r="J4330" s="131"/>
      <c r="K4330" s="131"/>
      <c r="L4330" s="131"/>
      <c r="U4330" s="131"/>
      <c r="V4330" s="131"/>
      <c r="W4330" s="131"/>
      <c r="X4330" s="131"/>
    </row>
    <row r="4331" spans="9:24" x14ac:dyDescent="0.25">
      <c r="I4331" s="131"/>
      <c r="J4331" s="131"/>
      <c r="K4331" s="131"/>
      <c r="L4331" s="131"/>
      <c r="U4331" s="131"/>
      <c r="V4331" s="131"/>
      <c r="W4331" s="131"/>
      <c r="X4331" s="131"/>
    </row>
    <row r="4332" spans="9:24" x14ac:dyDescent="0.25">
      <c r="I4332" s="131"/>
      <c r="J4332" s="131"/>
      <c r="K4332" s="131"/>
      <c r="L4332" s="131"/>
      <c r="U4332" s="131"/>
      <c r="V4332" s="131"/>
      <c r="W4332" s="131"/>
      <c r="X4332" s="131"/>
    </row>
    <row r="4333" spans="9:24" x14ac:dyDescent="0.25">
      <c r="I4333" s="131"/>
      <c r="J4333" s="131"/>
      <c r="K4333" s="131"/>
      <c r="L4333" s="131"/>
      <c r="U4333" s="131"/>
      <c r="V4333" s="131"/>
      <c r="W4333" s="131"/>
      <c r="X4333" s="131"/>
    </row>
    <row r="4334" spans="9:24" x14ac:dyDescent="0.25">
      <c r="I4334" s="131"/>
      <c r="J4334" s="131"/>
      <c r="K4334" s="131"/>
      <c r="L4334" s="131"/>
      <c r="U4334" s="131"/>
      <c r="V4334" s="131"/>
      <c r="W4334" s="131"/>
      <c r="X4334" s="131"/>
    </row>
    <row r="4335" spans="9:24" x14ac:dyDescent="0.25">
      <c r="I4335" s="131"/>
      <c r="J4335" s="131"/>
      <c r="K4335" s="131"/>
      <c r="L4335" s="131"/>
      <c r="U4335" s="131"/>
      <c r="V4335" s="131"/>
      <c r="W4335" s="131"/>
      <c r="X4335" s="131"/>
    </row>
    <row r="4336" spans="9:24" x14ac:dyDescent="0.25">
      <c r="I4336" s="131"/>
      <c r="J4336" s="131"/>
      <c r="K4336" s="131"/>
      <c r="L4336" s="131"/>
      <c r="U4336" s="131"/>
      <c r="V4336" s="131"/>
      <c r="W4336" s="131"/>
      <c r="X4336" s="131"/>
    </row>
    <row r="4337" spans="9:24" x14ac:dyDescent="0.25">
      <c r="I4337" s="131"/>
      <c r="J4337" s="131"/>
      <c r="K4337" s="131"/>
      <c r="L4337" s="131"/>
      <c r="U4337" s="131"/>
      <c r="V4337" s="131"/>
      <c r="W4337" s="131"/>
      <c r="X4337" s="131"/>
    </row>
    <row r="4338" spans="9:24" x14ac:dyDescent="0.25">
      <c r="I4338" s="131"/>
      <c r="J4338" s="131"/>
      <c r="K4338" s="131"/>
      <c r="L4338" s="131"/>
      <c r="U4338" s="131"/>
      <c r="V4338" s="131"/>
      <c r="W4338" s="131"/>
      <c r="X4338" s="131"/>
    </row>
    <row r="4339" spans="9:24" x14ac:dyDescent="0.25">
      <c r="I4339" s="131"/>
      <c r="J4339" s="131"/>
      <c r="K4339" s="131"/>
      <c r="L4339" s="131"/>
      <c r="U4339" s="131"/>
      <c r="V4339" s="131"/>
      <c r="W4339" s="131"/>
      <c r="X4339" s="131"/>
    </row>
    <row r="4340" spans="9:24" x14ac:dyDescent="0.25">
      <c r="I4340" s="131"/>
      <c r="J4340" s="131"/>
      <c r="K4340" s="131"/>
      <c r="L4340" s="131"/>
      <c r="U4340" s="131"/>
      <c r="V4340" s="131"/>
      <c r="W4340" s="131"/>
      <c r="X4340" s="131"/>
    </row>
    <row r="4341" spans="9:24" x14ac:dyDescent="0.25">
      <c r="I4341" s="131"/>
      <c r="J4341" s="131"/>
      <c r="K4341" s="131"/>
      <c r="L4341" s="131"/>
      <c r="U4341" s="131"/>
      <c r="V4341" s="131"/>
      <c r="W4341" s="131"/>
      <c r="X4341" s="131"/>
    </row>
    <row r="4342" spans="9:24" x14ac:dyDescent="0.25">
      <c r="I4342" s="131"/>
      <c r="J4342" s="131"/>
      <c r="K4342" s="131"/>
      <c r="L4342" s="131"/>
      <c r="U4342" s="131"/>
      <c r="V4342" s="131"/>
      <c r="W4342" s="131"/>
      <c r="X4342" s="131"/>
    </row>
    <row r="4343" spans="9:24" x14ac:dyDescent="0.25">
      <c r="I4343" s="131"/>
      <c r="J4343" s="131"/>
      <c r="K4343" s="131"/>
      <c r="L4343" s="131"/>
      <c r="U4343" s="131"/>
      <c r="V4343" s="131"/>
      <c r="W4343" s="131"/>
      <c r="X4343" s="131"/>
    </row>
    <row r="4344" spans="9:24" x14ac:dyDescent="0.25">
      <c r="I4344" s="131"/>
      <c r="J4344" s="131"/>
      <c r="K4344" s="131"/>
      <c r="L4344" s="131"/>
      <c r="U4344" s="131"/>
      <c r="V4344" s="131"/>
      <c r="W4344" s="131"/>
      <c r="X4344" s="131"/>
    </row>
    <row r="4345" spans="9:24" x14ac:dyDescent="0.25">
      <c r="I4345" s="131"/>
      <c r="J4345" s="131"/>
      <c r="K4345" s="131"/>
      <c r="L4345" s="131"/>
      <c r="U4345" s="131"/>
      <c r="V4345" s="131"/>
      <c r="W4345" s="131"/>
      <c r="X4345" s="131"/>
    </row>
    <row r="4346" spans="9:24" x14ac:dyDescent="0.25">
      <c r="I4346" s="131"/>
      <c r="J4346" s="131"/>
      <c r="K4346" s="131"/>
      <c r="L4346" s="131"/>
      <c r="U4346" s="131"/>
      <c r="V4346" s="131"/>
      <c r="W4346" s="131"/>
      <c r="X4346" s="131"/>
    </row>
    <row r="4347" spans="9:24" x14ac:dyDescent="0.25">
      <c r="I4347" s="131"/>
      <c r="J4347" s="131"/>
      <c r="K4347" s="131"/>
      <c r="L4347" s="131"/>
      <c r="U4347" s="131"/>
      <c r="V4347" s="131"/>
      <c r="W4347" s="131"/>
      <c r="X4347" s="131"/>
    </row>
    <row r="4348" spans="9:24" x14ac:dyDescent="0.25">
      <c r="I4348" s="131"/>
      <c r="J4348" s="131"/>
      <c r="K4348" s="131"/>
      <c r="L4348" s="131"/>
      <c r="U4348" s="131"/>
      <c r="V4348" s="131"/>
      <c r="W4348" s="131"/>
      <c r="X4348" s="131"/>
    </row>
    <row r="4349" spans="9:24" x14ac:dyDescent="0.25">
      <c r="I4349" s="131"/>
      <c r="J4349" s="131"/>
      <c r="K4349" s="131"/>
      <c r="L4349" s="131"/>
      <c r="U4349" s="131"/>
      <c r="V4349" s="131"/>
      <c r="W4349" s="131"/>
      <c r="X4349" s="131"/>
    </row>
    <row r="4350" spans="9:24" x14ac:dyDescent="0.25">
      <c r="I4350" s="131"/>
      <c r="J4350" s="131"/>
      <c r="K4350" s="131"/>
      <c r="L4350" s="131"/>
      <c r="U4350" s="131"/>
      <c r="V4350" s="131"/>
      <c r="W4350" s="131"/>
      <c r="X4350" s="131"/>
    </row>
    <row r="4351" spans="9:24" x14ac:dyDescent="0.25">
      <c r="I4351" s="131"/>
      <c r="J4351" s="131"/>
      <c r="K4351" s="131"/>
      <c r="L4351" s="131"/>
      <c r="U4351" s="131"/>
      <c r="V4351" s="131"/>
      <c r="W4351" s="131"/>
      <c r="X4351" s="131"/>
    </row>
    <row r="4352" spans="9:24" x14ac:dyDescent="0.25">
      <c r="I4352" s="131"/>
      <c r="J4352" s="131"/>
      <c r="K4352" s="131"/>
      <c r="L4352" s="131"/>
      <c r="U4352" s="131"/>
      <c r="V4352" s="131"/>
      <c r="W4352" s="131"/>
      <c r="X4352" s="131"/>
    </row>
    <row r="4353" spans="9:24" x14ac:dyDescent="0.25">
      <c r="I4353" s="131"/>
      <c r="J4353" s="131"/>
      <c r="K4353" s="131"/>
      <c r="L4353" s="131"/>
      <c r="U4353" s="131"/>
      <c r="V4353" s="131"/>
      <c r="W4353" s="131"/>
      <c r="X4353" s="131"/>
    </row>
    <row r="4354" spans="9:24" x14ac:dyDescent="0.25">
      <c r="I4354" s="131"/>
      <c r="J4354" s="131"/>
      <c r="K4354" s="131"/>
      <c r="L4354" s="131"/>
      <c r="U4354" s="131"/>
      <c r="V4354" s="131"/>
      <c r="W4354" s="131"/>
      <c r="X4354" s="131"/>
    </row>
    <row r="4355" spans="9:24" x14ac:dyDescent="0.25">
      <c r="I4355" s="131"/>
      <c r="J4355" s="131"/>
      <c r="K4355" s="131"/>
      <c r="L4355" s="131"/>
      <c r="U4355" s="131"/>
      <c r="V4355" s="131"/>
      <c r="W4355" s="131"/>
      <c r="X4355" s="131"/>
    </row>
    <row r="4356" spans="9:24" x14ac:dyDescent="0.25">
      <c r="I4356" s="131"/>
      <c r="J4356" s="131"/>
      <c r="K4356" s="131"/>
      <c r="L4356" s="131"/>
      <c r="U4356" s="131"/>
      <c r="V4356" s="131"/>
      <c r="W4356" s="131"/>
      <c r="X4356" s="131"/>
    </row>
    <row r="4357" spans="9:24" x14ac:dyDescent="0.25">
      <c r="I4357" s="131"/>
      <c r="J4357" s="131"/>
      <c r="K4357" s="131"/>
      <c r="L4357" s="131"/>
      <c r="U4357" s="131"/>
      <c r="V4357" s="131"/>
      <c r="W4357" s="131"/>
      <c r="X4357" s="131"/>
    </row>
    <row r="4358" spans="9:24" x14ac:dyDescent="0.25">
      <c r="I4358" s="131"/>
      <c r="J4358" s="131"/>
      <c r="K4358" s="131"/>
      <c r="L4358" s="131"/>
      <c r="U4358" s="131"/>
      <c r="V4358" s="131"/>
      <c r="W4358" s="131"/>
      <c r="X4358" s="131"/>
    </row>
    <row r="4359" spans="9:24" x14ac:dyDescent="0.25">
      <c r="I4359" s="131"/>
      <c r="J4359" s="131"/>
      <c r="K4359" s="131"/>
      <c r="L4359" s="131"/>
      <c r="U4359" s="131"/>
      <c r="V4359" s="131"/>
      <c r="W4359" s="131"/>
      <c r="X4359" s="131"/>
    </row>
    <row r="4360" spans="9:24" x14ac:dyDescent="0.25">
      <c r="I4360" s="131"/>
      <c r="J4360" s="131"/>
      <c r="K4360" s="131"/>
      <c r="L4360" s="131"/>
      <c r="U4360" s="131"/>
      <c r="V4360" s="131"/>
      <c r="W4360" s="131"/>
      <c r="X4360" s="131"/>
    </row>
    <row r="4361" spans="9:24" x14ac:dyDescent="0.25">
      <c r="I4361" s="131"/>
      <c r="J4361" s="131"/>
      <c r="K4361" s="131"/>
      <c r="L4361" s="131"/>
      <c r="U4361" s="131"/>
      <c r="V4361" s="131"/>
      <c r="W4361" s="131"/>
      <c r="X4361" s="131"/>
    </row>
    <row r="4362" spans="9:24" x14ac:dyDescent="0.25">
      <c r="I4362" s="131"/>
      <c r="J4362" s="131"/>
      <c r="K4362" s="131"/>
      <c r="L4362" s="131"/>
      <c r="U4362" s="131"/>
      <c r="V4362" s="131"/>
      <c r="W4362" s="131"/>
      <c r="X4362" s="131"/>
    </row>
    <row r="4363" spans="9:24" x14ac:dyDescent="0.25">
      <c r="I4363" s="131"/>
      <c r="J4363" s="131"/>
      <c r="K4363" s="131"/>
      <c r="L4363" s="131"/>
      <c r="U4363" s="131"/>
      <c r="V4363" s="131"/>
      <c r="W4363" s="131"/>
      <c r="X4363" s="131"/>
    </row>
    <row r="4364" spans="9:24" x14ac:dyDescent="0.25">
      <c r="I4364" s="131"/>
      <c r="J4364" s="131"/>
      <c r="K4364" s="131"/>
      <c r="L4364" s="131"/>
      <c r="U4364" s="131"/>
      <c r="V4364" s="131"/>
      <c r="W4364" s="131"/>
      <c r="X4364" s="131"/>
    </row>
    <row r="4365" spans="9:24" x14ac:dyDescent="0.25">
      <c r="I4365" s="131"/>
      <c r="J4365" s="131"/>
      <c r="K4365" s="131"/>
      <c r="L4365" s="131"/>
      <c r="U4365" s="131"/>
      <c r="V4365" s="131"/>
      <c r="W4365" s="131"/>
      <c r="X4365" s="131"/>
    </row>
    <row r="4366" spans="9:24" x14ac:dyDescent="0.25">
      <c r="I4366" s="131"/>
      <c r="J4366" s="131"/>
      <c r="K4366" s="131"/>
      <c r="L4366" s="131"/>
      <c r="U4366" s="131"/>
      <c r="V4366" s="131"/>
      <c r="W4366" s="131"/>
      <c r="X4366" s="131"/>
    </row>
    <row r="4367" spans="9:24" x14ac:dyDescent="0.25">
      <c r="I4367" s="131"/>
      <c r="J4367" s="131"/>
      <c r="K4367" s="131"/>
      <c r="L4367" s="131"/>
      <c r="U4367" s="131"/>
      <c r="V4367" s="131"/>
      <c r="W4367" s="131"/>
      <c r="X4367" s="131"/>
    </row>
    <row r="4368" spans="9:24" x14ac:dyDescent="0.25">
      <c r="I4368" s="131"/>
      <c r="J4368" s="131"/>
      <c r="K4368" s="131"/>
      <c r="L4368" s="131"/>
      <c r="U4368" s="131"/>
      <c r="V4368" s="131"/>
      <c r="W4368" s="131"/>
      <c r="X4368" s="131"/>
    </row>
    <row r="4369" spans="9:24" x14ac:dyDescent="0.25">
      <c r="I4369" s="131"/>
      <c r="J4369" s="131"/>
      <c r="K4369" s="131"/>
      <c r="L4369" s="131"/>
      <c r="U4369" s="131"/>
      <c r="V4369" s="131"/>
      <c r="W4369" s="131"/>
      <c r="X4369" s="131"/>
    </row>
    <row r="4370" spans="9:24" x14ac:dyDescent="0.25">
      <c r="I4370" s="131"/>
      <c r="J4370" s="131"/>
      <c r="K4370" s="131"/>
      <c r="L4370" s="131"/>
      <c r="U4370" s="131"/>
      <c r="V4370" s="131"/>
      <c r="W4370" s="131"/>
      <c r="X4370" s="131"/>
    </row>
    <row r="4371" spans="9:24" x14ac:dyDescent="0.25">
      <c r="I4371" s="131"/>
      <c r="J4371" s="131"/>
      <c r="K4371" s="131"/>
      <c r="L4371" s="131"/>
      <c r="U4371" s="131"/>
      <c r="V4371" s="131"/>
      <c r="W4371" s="131"/>
      <c r="X4371" s="131"/>
    </row>
    <row r="4372" spans="9:24" x14ac:dyDescent="0.25">
      <c r="I4372" s="131"/>
      <c r="J4372" s="131"/>
      <c r="K4372" s="131"/>
      <c r="L4372" s="131"/>
      <c r="U4372" s="131"/>
      <c r="V4372" s="131"/>
      <c r="W4372" s="131"/>
      <c r="X4372" s="131"/>
    </row>
    <row r="4373" spans="9:24" x14ac:dyDescent="0.25">
      <c r="I4373" s="131"/>
      <c r="J4373" s="131"/>
      <c r="K4373" s="131"/>
      <c r="L4373" s="131"/>
      <c r="U4373" s="131"/>
      <c r="V4373" s="131"/>
      <c r="W4373" s="131"/>
      <c r="X4373" s="131"/>
    </row>
    <row r="4374" spans="9:24" x14ac:dyDescent="0.25">
      <c r="I4374" s="131"/>
      <c r="J4374" s="131"/>
      <c r="K4374" s="131"/>
      <c r="L4374" s="131"/>
      <c r="U4374" s="131"/>
      <c r="V4374" s="131"/>
      <c r="W4374" s="131"/>
      <c r="X4374" s="131"/>
    </row>
    <row r="4375" spans="9:24" x14ac:dyDescent="0.25">
      <c r="I4375" s="131"/>
      <c r="J4375" s="131"/>
      <c r="K4375" s="131"/>
      <c r="L4375" s="131"/>
      <c r="U4375" s="131"/>
      <c r="V4375" s="131"/>
      <c r="W4375" s="131"/>
      <c r="X4375" s="131"/>
    </row>
    <row r="4376" spans="9:24" x14ac:dyDescent="0.25">
      <c r="I4376" s="131"/>
      <c r="J4376" s="131"/>
      <c r="K4376" s="131"/>
      <c r="L4376" s="131"/>
      <c r="U4376" s="131"/>
      <c r="V4376" s="131"/>
      <c r="W4376" s="131"/>
      <c r="X4376" s="131"/>
    </row>
    <row r="4377" spans="9:24" x14ac:dyDescent="0.25">
      <c r="I4377" s="131"/>
      <c r="J4377" s="131"/>
      <c r="K4377" s="131"/>
      <c r="L4377" s="131"/>
      <c r="U4377" s="131"/>
      <c r="V4377" s="131"/>
      <c r="W4377" s="131"/>
      <c r="X4377" s="131"/>
    </row>
    <row r="4378" spans="9:24" x14ac:dyDescent="0.25">
      <c r="I4378" s="131"/>
      <c r="J4378" s="131"/>
      <c r="K4378" s="131"/>
      <c r="L4378" s="131"/>
      <c r="U4378" s="131"/>
      <c r="V4378" s="131"/>
      <c r="W4378" s="131"/>
      <c r="X4378" s="131"/>
    </row>
    <row r="4379" spans="9:24" x14ac:dyDescent="0.25">
      <c r="I4379" s="131"/>
      <c r="J4379" s="131"/>
      <c r="K4379" s="131"/>
      <c r="L4379" s="131"/>
      <c r="U4379" s="131"/>
      <c r="V4379" s="131"/>
      <c r="W4379" s="131"/>
      <c r="X4379" s="131"/>
    </row>
    <row r="4380" spans="9:24" x14ac:dyDescent="0.25">
      <c r="I4380" s="131"/>
      <c r="J4380" s="131"/>
      <c r="K4380" s="131"/>
      <c r="L4380" s="131"/>
      <c r="U4380" s="131"/>
      <c r="V4380" s="131"/>
      <c r="W4380" s="131"/>
      <c r="X4380" s="131"/>
    </row>
    <row r="4381" spans="9:24" x14ac:dyDescent="0.25">
      <c r="I4381" s="131"/>
      <c r="J4381" s="131"/>
      <c r="K4381" s="131"/>
      <c r="L4381" s="131"/>
      <c r="U4381" s="131"/>
      <c r="V4381" s="131"/>
      <c r="W4381" s="131"/>
      <c r="X4381" s="131"/>
    </row>
    <row r="4382" spans="9:24" x14ac:dyDescent="0.25">
      <c r="I4382" s="131"/>
      <c r="J4382" s="131"/>
      <c r="K4382" s="131"/>
      <c r="L4382" s="131"/>
      <c r="U4382" s="131"/>
      <c r="V4382" s="131"/>
      <c r="W4382" s="131"/>
      <c r="X4382" s="131"/>
    </row>
    <row r="4383" spans="9:24" x14ac:dyDescent="0.25">
      <c r="I4383" s="131"/>
      <c r="J4383" s="131"/>
      <c r="K4383" s="131"/>
      <c r="L4383" s="131"/>
      <c r="U4383" s="131"/>
      <c r="V4383" s="131"/>
      <c r="W4383" s="131"/>
      <c r="X4383" s="131"/>
    </row>
    <row r="4384" spans="9:24" x14ac:dyDescent="0.25">
      <c r="I4384" s="131"/>
      <c r="J4384" s="131"/>
      <c r="K4384" s="131"/>
      <c r="L4384" s="131"/>
      <c r="U4384" s="131"/>
      <c r="V4384" s="131"/>
      <c r="W4384" s="131"/>
      <c r="X4384" s="131"/>
    </row>
    <row r="4385" spans="9:24" x14ac:dyDescent="0.25">
      <c r="I4385" s="131"/>
      <c r="J4385" s="131"/>
      <c r="K4385" s="131"/>
      <c r="L4385" s="131"/>
      <c r="U4385" s="131"/>
      <c r="V4385" s="131"/>
      <c r="W4385" s="131"/>
      <c r="X4385" s="131"/>
    </row>
    <row r="4386" spans="9:24" x14ac:dyDescent="0.25">
      <c r="I4386" s="131"/>
      <c r="J4386" s="131"/>
      <c r="K4386" s="131"/>
      <c r="L4386" s="131"/>
      <c r="U4386" s="131"/>
      <c r="V4386" s="131"/>
      <c r="W4386" s="131"/>
      <c r="X4386" s="131"/>
    </row>
    <row r="4387" spans="9:24" x14ac:dyDescent="0.25">
      <c r="I4387" s="131"/>
      <c r="J4387" s="131"/>
      <c r="K4387" s="131"/>
      <c r="L4387" s="131"/>
      <c r="U4387" s="131"/>
      <c r="V4387" s="131"/>
      <c r="W4387" s="131"/>
      <c r="X4387" s="131"/>
    </row>
    <row r="4388" spans="9:24" x14ac:dyDescent="0.25">
      <c r="I4388" s="131"/>
      <c r="J4388" s="131"/>
      <c r="K4388" s="131"/>
      <c r="L4388" s="131"/>
      <c r="U4388" s="131"/>
      <c r="V4388" s="131"/>
      <c r="W4388" s="131"/>
      <c r="X4388" s="131"/>
    </row>
    <row r="4389" spans="9:24" x14ac:dyDescent="0.25">
      <c r="I4389" s="131"/>
      <c r="J4389" s="131"/>
      <c r="K4389" s="131"/>
      <c r="L4389" s="131"/>
      <c r="U4389" s="131"/>
      <c r="V4389" s="131"/>
      <c r="W4389" s="131"/>
      <c r="X4389" s="131"/>
    </row>
    <row r="4390" spans="9:24" x14ac:dyDescent="0.25">
      <c r="I4390" s="131"/>
      <c r="J4390" s="131"/>
      <c r="K4390" s="131"/>
      <c r="L4390" s="131"/>
      <c r="U4390" s="131"/>
      <c r="V4390" s="131"/>
      <c r="W4390" s="131"/>
      <c r="X4390" s="131"/>
    </row>
    <row r="4391" spans="9:24" x14ac:dyDescent="0.25">
      <c r="I4391" s="131"/>
      <c r="J4391" s="131"/>
      <c r="K4391" s="131"/>
      <c r="L4391" s="131"/>
      <c r="U4391" s="131"/>
      <c r="V4391" s="131"/>
      <c r="W4391" s="131"/>
      <c r="X4391" s="131"/>
    </row>
    <row r="4392" spans="9:24" x14ac:dyDescent="0.25">
      <c r="I4392" s="131"/>
      <c r="J4392" s="131"/>
      <c r="K4392" s="131"/>
      <c r="L4392" s="131"/>
      <c r="U4392" s="131"/>
      <c r="V4392" s="131"/>
      <c r="W4392" s="131"/>
      <c r="X4392" s="131"/>
    </row>
    <row r="4393" spans="9:24" x14ac:dyDescent="0.25">
      <c r="I4393" s="131"/>
      <c r="J4393" s="131"/>
      <c r="K4393" s="131"/>
      <c r="L4393" s="131"/>
      <c r="U4393" s="131"/>
      <c r="V4393" s="131"/>
      <c r="W4393" s="131"/>
      <c r="X4393" s="131"/>
    </row>
    <row r="4394" spans="9:24" x14ac:dyDescent="0.25">
      <c r="I4394" s="131"/>
      <c r="J4394" s="131"/>
      <c r="K4394" s="131"/>
      <c r="L4394" s="131"/>
      <c r="U4394" s="131"/>
      <c r="V4394" s="131"/>
      <c r="W4394" s="131"/>
      <c r="X4394" s="131"/>
    </row>
    <row r="4395" spans="9:24" x14ac:dyDescent="0.25">
      <c r="I4395" s="131"/>
      <c r="J4395" s="131"/>
      <c r="K4395" s="131"/>
      <c r="L4395" s="131"/>
      <c r="U4395" s="131"/>
      <c r="V4395" s="131"/>
      <c r="W4395" s="131"/>
      <c r="X4395" s="131"/>
    </row>
    <row r="4396" spans="9:24" x14ac:dyDescent="0.25">
      <c r="I4396" s="131"/>
      <c r="J4396" s="131"/>
      <c r="K4396" s="131"/>
      <c r="L4396" s="131"/>
      <c r="U4396" s="131"/>
      <c r="V4396" s="131"/>
      <c r="W4396" s="131"/>
      <c r="X4396" s="131"/>
    </row>
    <row r="4397" spans="9:24" x14ac:dyDescent="0.25">
      <c r="I4397" s="131"/>
      <c r="J4397" s="131"/>
      <c r="K4397" s="131"/>
      <c r="L4397" s="131"/>
      <c r="U4397" s="131"/>
      <c r="V4397" s="131"/>
      <c r="W4397" s="131"/>
      <c r="X4397" s="131"/>
    </row>
    <row r="4398" spans="9:24" x14ac:dyDescent="0.25">
      <c r="I4398" s="131"/>
      <c r="J4398" s="131"/>
      <c r="K4398" s="131"/>
      <c r="L4398" s="131"/>
      <c r="U4398" s="131"/>
      <c r="V4398" s="131"/>
      <c r="W4398" s="131"/>
      <c r="X4398" s="131"/>
    </row>
    <row r="4399" spans="9:24" x14ac:dyDescent="0.25">
      <c r="I4399" s="131"/>
      <c r="J4399" s="131"/>
      <c r="K4399" s="131"/>
      <c r="L4399" s="131"/>
      <c r="U4399" s="131"/>
      <c r="V4399" s="131"/>
      <c r="W4399" s="131"/>
      <c r="X4399" s="131"/>
    </row>
    <row r="4400" spans="9:24" x14ac:dyDescent="0.25">
      <c r="I4400" s="131"/>
      <c r="J4400" s="131"/>
      <c r="K4400" s="131"/>
      <c r="L4400" s="131"/>
      <c r="U4400" s="131"/>
      <c r="V4400" s="131"/>
      <c r="W4400" s="131"/>
      <c r="X4400" s="131"/>
    </row>
    <row r="4401" spans="9:24" x14ac:dyDescent="0.25">
      <c r="I4401" s="131"/>
      <c r="J4401" s="131"/>
      <c r="K4401" s="131"/>
      <c r="L4401" s="131"/>
      <c r="U4401" s="131"/>
      <c r="V4401" s="131"/>
      <c r="W4401" s="131"/>
      <c r="X4401" s="131"/>
    </row>
    <row r="4402" spans="9:24" x14ac:dyDescent="0.25">
      <c r="I4402" s="131"/>
      <c r="J4402" s="131"/>
      <c r="K4402" s="131"/>
      <c r="L4402" s="131"/>
      <c r="U4402" s="131"/>
      <c r="V4402" s="131"/>
      <c r="W4402" s="131"/>
      <c r="X4402" s="131"/>
    </row>
    <row r="4403" spans="9:24" x14ac:dyDescent="0.25">
      <c r="I4403" s="131"/>
      <c r="J4403" s="131"/>
      <c r="K4403" s="131"/>
      <c r="L4403" s="131"/>
      <c r="U4403" s="131"/>
      <c r="V4403" s="131"/>
      <c r="W4403" s="131"/>
      <c r="X4403" s="131"/>
    </row>
    <row r="4404" spans="9:24" x14ac:dyDescent="0.25">
      <c r="I4404" s="131"/>
      <c r="J4404" s="131"/>
      <c r="K4404" s="131"/>
      <c r="L4404" s="131"/>
      <c r="U4404" s="131"/>
      <c r="V4404" s="131"/>
      <c r="W4404" s="131"/>
      <c r="X4404" s="131"/>
    </row>
    <row r="4405" spans="9:24" x14ac:dyDescent="0.25">
      <c r="I4405" s="131"/>
      <c r="J4405" s="131"/>
      <c r="K4405" s="131"/>
      <c r="L4405" s="131"/>
      <c r="U4405" s="131"/>
      <c r="V4405" s="131"/>
      <c r="W4405" s="131"/>
      <c r="X4405" s="131"/>
    </row>
    <row r="4406" spans="9:24" x14ac:dyDescent="0.25">
      <c r="I4406" s="131"/>
      <c r="J4406" s="131"/>
      <c r="K4406" s="131"/>
      <c r="L4406" s="131"/>
      <c r="U4406" s="131"/>
      <c r="V4406" s="131"/>
      <c r="W4406" s="131"/>
      <c r="X4406" s="131"/>
    </row>
    <row r="4407" spans="9:24" x14ac:dyDescent="0.25">
      <c r="I4407" s="131"/>
      <c r="J4407" s="131"/>
      <c r="K4407" s="131"/>
      <c r="L4407" s="131"/>
      <c r="U4407" s="131"/>
      <c r="V4407" s="131"/>
      <c r="W4407" s="131"/>
      <c r="X4407" s="131"/>
    </row>
    <row r="4408" spans="9:24" x14ac:dyDescent="0.25">
      <c r="I4408" s="131"/>
      <c r="J4408" s="131"/>
      <c r="K4408" s="131"/>
      <c r="L4408" s="131"/>
      <c r="U4408" s="131"/>
      <c r="V4408" s="131"/>
      <c r="W4408" s="131"/>
      <c r="X4408" s="131"/>
    </row>
    <row r="4409" spans="9:24" x14ac:dyDescent="0.25">
      <c r="I4409" s="131"/>
      <c r="J4409" s="131"/>
      <c r="K4409" s="131"/>
      <c r="L4409" s="131"/>
      <c r="U4409" s="131"/>
      <c r="V4409" s="131"/>
      <c r="W4409" s="131"/>
      <c r="X4409" s="131"/>
    </row>
    <row r="4410" spans="9:24" x14ac:dyDescent="0.25">
      <c r="I4410" s="131"/>
      <c r="J4410" s="131"/>
      <c r="K4410" s="131"/>
      <c r="L4410" s="131"/>
      <c r="U4410" s="131"/>
      <c r="V4410" s="131"/>
      <c r="W4410" s="131"/>
      <c r="X4410" s="131"/>
    </row>
    <row r="4411" spans="9:24" x14ac:dyDescent="0.25">
      <c r="I4411" s="131"/>
      <c r="J4411" s="131"/>
      <c r="K4411" s="131"/>
      <c r="L4411" s="131"/>
      <c r="U4411" s="131"/>
      <c r="V4411" s="131"/>
      <c r="W4411" s="131"/>
      <c r="X4411" s="131"/>
    </row>
    <row r="4412" spans="9:24" x14ac:dyDescent="0.25">
      <c r="I4412" s="131"/>
      <c r="J4412" s="131"/>
      <c r="K4412" s="131"/>
      <c r="L4412" s="131"/>
      <c r="U4412" s="131"/>
      <c r="V4412" s="131"/>
      <c r="W4412" s="131"/>
      <c r="X4412" s="131"/>
    </row>
    <row r="4413" spans="9:24" x14ac:dyDescent="0.25">
      <c r="I4413" s="131"/>
      <c r="J4413" s="131"/>
      <c r="K4413" s="131"/>
      <c r="L4413" s="131"/>
      <c r="U4413" s="131"/>
      <c r="V4413" s="131"/>
      <c r="W4413" s="131"/>
      <c r="X4413" s="131"/>
    </row>
    <row r="4414" spans="9:24" x14ac:dyDescent="0.25">
      <c r="I4414" s="131"/>
      <c r="J4414" s="131"/>
      <c r="K4414" s="131"/>
      <c r="L4414" s="131"/>
      <c r="U4414" s="131"/>
      <c r="V4414" s="131"/>
      <c r="W4414" s="131"/>
      <c r="X4414" s="131"/>
    </row>
    <row r="4415" spans="9:24" x14ac:dyDescent="0.25">
      <c r="I4415" s="131"/>
      <c r="J4415" s="131"/>
      <c r="K4415" s="131"/>
      <c r="L4415" s="131"/>
      <c r="U4415" s="131"/>
      <c r="V4415" s="131"/>
      <c r="W4415" s="131"/>
      <c r="X4415" s="131"/>
    </row>
    <row r="4416" spans="9:24" x14ac:dyDescent="0.25">
      <c r="I4416" s="131"/>
      <c r="J4416" s="131"/>
      <c r="K4416" s="131"/>
      <c r="L4416" s="131"/>
      <c r="U4416" s="131"/>
      <c r="V4416" s="131"/>
      <c r="W4416" s="131"/>
      <c r="X4416" s="131"/>
    </row>
    <row r="4417" spans="9:24" x14ac:dyDescent="0.25">
      <c r="I4417" s="131"/>
      <c r="J4417" s="131"/>
      <c r="K4417" s="131"/>
      <c r="L4417" s="131"/>
      <c r="U4417" s="131"/>
      <c r="V4417" s="131"/>
      <c r="W4417" s="131"/>
      <c r="X4417" s="131"/>
    </row>
    <row r="4418" spans="9:24" x14ac:dyDescent="0.25">
      <c r="I4418" s="131"/>
      <c r="J4418" s="131"/>
      <c r="K4418" s="131"/>
      <c r="L4418" s="131"/>
      <c r="U4418" s="131"/>
      <c r="V4418" s="131"/>
      <c r="W4418" s="131"/>
      <c r="X4418" s="131"/>
    </row>
    <row r="4419" spans="9:24" x14ac:dyDescent="0.25">
      <c r="I4419" s="131"/>
      <c r="J4419" s="131"/>
      <c r="K4419" s="131"/>
      <c r="L4419" s="131"/>
      <c r="U4419" s="131"/>
      <c r="V4419" s="131"/>
      <c r="W4419" s="131"/>
      <c r="X4419" s="131"/>
    </row>
    <row r="4420" spans="9:24" x14ac:dyDescent="0.25">
      <c r="I4420" s="131"/>
      <c r="J4420" s="131"/>
      <c r="K4420" s="131"/>
      <c r="L4420" s="131"/>
      <c r="U4420" s="131"/>
      <c r="V4420" s="131"/>
      <c r="W4420" s="131"/>
      <c r="X4420" s="131"/>
    </row>
    <row r="4421" spans="9:24" x14ac:dyDescent="0.25">
      <c r="I4421" s="131"/>
      <c r="J4421" s="131"/>
      <c r="K4421" s="131"/>
      <c r="L4421" s="131"/>
      <c r="U4421" s="131"/>
      <c r="V4421" s="131"/>
      <c r="W4421" s="131"/>
      <c r="X4421" s="131"/>
    </row>
    <row r="4422" spans="9:24" x14ac:dyDescent="0.25">
      <c r="I4422" s="131"/>
      <c r="J4422" s="131"/>
      <c r="K4422" s="131"/>
      <c r="L4422" s="131"/>
      <c r="U4422" s="131"/>
      <c r="V4422" s="131"/>
      <c r="W4422" s="131"/>
      <c r="X4422" s="131"/>
    </row>
    <row r="4423" spans="9:24" x14ac:dyDescent="0.25">
      <c r="I4423" s="131"/>
      <c r="J4423" s="131"/>
      <c r="K4423" s="131"/>
      <c r="L4423" s="131"/>
      <c r="U4423" s="131"/>
      <c r="V4423" s="131"/>
      <c r="W4423" s="131"/>
      <c r="X4423" s="131"/>
    </row>
    <row r="4424" spans="9:24" x14ac:dyDescent="0.25">
      <c r="I4424" s="131"/>
      <c r="J4424" s="131"/>
      <c r="K4424" s="131"/>
      <c r="L4424" s="131"/>
      <c r="U4424" s="131"/>
      <c r="V4424" s="131"/>
      <c r="W4424" s="131"/>
      <c r="X4424" s="131"/>
    </row>
    <row r="4425" spans="9:24" x14ac:dyDescent="0.25">
      <c r="I4425" s="131"/>
      <c r="J4425" s="131"/>
      <c r="K4425" s="131"/>
      <c r="L4425" s="131"/>
      <c r="U4425" s="131"/>
      <c r="V4425" s="131"/>
      <c r="W4425" s="131"/>
      <c r="X4425" s="131"/>
    </row>
    <row r="4426" spans="9:24" x14ac:dyDescent="0.25">
      <c r="I4426" s="131"/>
      <c r="J4426" s="131"/>
      <c r="K4426" s="131"/>
      <c r="L4426" s="131"/>
      <c r="U4426" s="131"/>
      <c r="V4426" s="131"/>
      <c r="W4426" s="131"/>
      <c r="X4426" s="131"/>
    </row>
    <row r="4427" spans="9:24" x14ac:dyDescent="0.25">
      <c r="I4427" s="131"/>
      <c r="J4427" s="131"/>
      <c r="K4427" s="131"/>
      <c r="L4427" s="131"/>
      <c r="U4427" s="131"/>
      <c r="V4427" s="131"/>
      <c r="W4427" s="131"/>
      <c r="X4427" s="131"/>
    </row>
    <row r="4428" spans="9:24" x14ac:dyDescent="0.25">
      <c r="I4428" s="131"/>
      <c r="J4428" s="131"/>
      <c r="K4428" s="131"/>
      <c r="L4428" s="131"/>
      <c r="U4428" s="131"/>
      <c r="V4428" s="131"/>
      <c r="W4428" s="131"/>
      <c r="X4428" s="131"/>
    </row>
    <row r="4429" spans="9:24" x14ac:dyDescent="0.25">
      <c r="I4429" s="131"/>
      <c r="J4429" s="131"/>
      <c r="K4429" s="131"/>
      <c r="L4429" s="131"/>
      <c r="U4429" s="131"/>
      <c r="V4429" s="131"/>
      <c r="W4429" s="131"/>
      <c r="X4429" s="131"/>
    </row>
    <row r="4430" spans="9:24" x14ac:dyDescent="0.25">
      <c r="I4430" s="131"/>
      <c r="J4430" s="131"/>
      <c r="K4430" s="131"/>
      <c r="L4430" s="131"/>
      <c r="U4430" s="131"/>
      <c r="V4430" s="131"/>
      <c r="W4430" s="131"/>
      <c r="X4430" s="131"/>
    </row>
    <row r="4431" spans="9:24" x14ac:dyDescent="0.25">
      <c r="I4431" s="131"/>
      <c r="J4431" s="131"/>
      <c r="K4431" s="131"/>
      <c r="L4431" s="131"/>
      <c r="U4431" s="131"/>
      <c r="V4431" s="131"/>
      <c r="W4431" s="131"/>
      <c r="X4431" s="131"/>
    </row>
    <row r="4432" spans="9:24" x14ac:dyDescent="0.25">
      <c r="I4432" s="131"/>
      <c r="J4432" s="131"/>
      <c r="K4432" s="131"/>
      <c r="L4432" s="131"/>
      <c r="U4432" s="131"/>
      <c r="V4432" s="131"/>
      <c r="W4432" s="131"/>
      <c r="X4432" s="131"/>
    </row>
    <row r="4433" spans="9:24" x14ac:dyDescent="0.25">
      <c r="I4433" s="131"/>
      <c r="J4433" s="131"/>
      <c r="K4433" s="131"/>
      <c r="L4433" s="131"/>
      <c r="U4433" s="131"/>
      <c r="V4433" s="131"/>
      <c r="W4433" s="131"/>
      <c r="X4433" s="131"/>
    </row>
    <row r="4434" spans="9:24" x14ac:dyDescent="0.25">
      <c r="I4434" s="131"/>
      <c r="J4434" s="131"/>
      <c r="K4434" s="131"/>
      <c r="L4434" s="131"/>
      <c r="U4434" s="131"/>
      <c r="V4434" s="131"/>
      <c r="W4434" s="131"/>
      <c r="X4434" s="131"/>
    </row>
    <row r="4435" spans="9:24" x14ac:dyDescent="0.25">
      <c r="I4435" s="131"/>
      <c r="J4435" s="131"/>
      <c r="K4435" s="131"/>
      <c r="L4435" s="131"/>
      <c r="U4435" s="131"/>
      <c r="V4435" s="131"/>
      <c r="W4435" s="131"/>
      <c r="X4435" s="131"/>
    </row>
    <row r="4436" spans="9:24" x14ac:dyDescent="0.25">
      <c r="I4436" s="131"/>
      <c r="J4436" s="131"/>
      <c r="K4436" s="131"/>
      <c r="L4436" s="131"/>
      <c r="U4436" s="131"/>
      <c r="V4436" s="131"/>
      <c r="W4436" s="131"/>
      <c r="X4436" s="131"/>
    </row>
    <row r="4437" spans="9:24" x14ac:dyDescent="0.25">
      <c r="I4437" s="131"/>
      <c r="J4437" s="131"/>
      <c r="K4437" s="131"/>
      <c r="L4437" s="131"/>
      <c r="U4437" s="131"/>
      <c r="V4437" s="131"/>
      <c r="W4437" s="131"/>
      <c r="X4437" s="131"/>
    </row>
    <row r="4438" spans="9:24" x14ac:dyDescent="0.25">
      <c r="I4438" s="131"/>
      <c r="J4438" s="131"/>
      <c r="K4438" s="131"/>
      <c r="L4438" s="131"/>
      <c r="U4438" s="131"/>
      <c r="V4438" s="131"/>
      <c r="W4438" s="131"/>
      <c r="X4438" s="131"/>
    </row>
    <row r="4439" spans="9:24" x14ac:dyDescent="0.25">
      <c r="I4439" s="131"/>
      <c r="J4439" s="131"/>
      <c r="K4439" s="131"/>
      <c r="L4439" s="131"/>
      <c r="U4439" s="131"/>
      <c r="V4439" s="131"/>
      <c r="W4439" s="131"/>
      <c r="X4439" s="131"/>
    </row>
    <row r="4440" spans="9:24" x14ac:dyDescent="0.25">
      <c r="I4440" s="131"/>
      <c r="J4440" s="131"/>
      <c r="K4440" s="131"/>
      <c r="L4440" s="131"/>
      <c r="U4440" s="131"/>
      <c r="V4440" s="131"/>
      <c r="W4440" s="131"/>
      <c r="X4440" s="131"/>
    </row>
    <row r="4441" spans="9:24" x14ac:dyDescent="0.25">
      <c r="I4441" s="131"/>
      <c r="J4441" s="131"/>
      <c r="K4441" s="131"/>
      <c r="L4441" s="131"/>
      <c r="U4441" s="131"/>
      <c r="V4441" s="131"/>
      <c r="W4441" s="131"/>
      <c r="X4441" s="131"/>
    </row>
    <row r="4442" spans="9:24" x14ac:dyDescent="0.25">
      <c r="I4442" s="131"/>
      <c r="J4442" s="131"/>
      <c r="K4442" s="131"/>
      <c r="L4442" s="131"/>
      <c r="U4442" s="131"/>
      <c r="V4442" s="131"/>
      <c r="W4442" s="131"/>
      <c r="X4442" s="131"/>
    </row>
    <row r="4443" spans="9:24" x14ac:dyDescent="0.25">
      <c r="I4443" s="131"/>
      <c r="J4443" s="131"/>
      <c r="K4443" s="131"/>
      <c r="L4443" s="131"/>
      <c r="U4443" s="131"/>
      <c r="V4443" s="131"/>
      <c r="W4443" s="131"/>
      <c r="X4443" s="131"/>
    </row>
    <row r="4444" spans="9:24" x14ac:dyDescent="0.25">
      <c r="I4444" s="131"/>
      <c r="J4444" s="131"/>
      <c r="K4444" s="131"/>
      <c r="L4444" s="131"/>
      <c r="U4444" s="131"/>
      <c r="V4444" s="131"/>
      <c r="W4444" s="131"/>
      <c r="X4444" s="131"/>
    </row>
    <row r="4445" spans="9:24" x14ac:dyDescent="0.25">
      <c r="I4445" s="131"/>
      <c r="J4445" s="131"/>
      <c r="K4445" s="131"/>
      <c r="L4445" s="131"/>
      <c r="U4445" s="131"/>
      <c r="V4445" s="131"/>
      <c r="W4445" s="131"/>
      <c r="X4445" s="131"/>
    </row>
    <row r="4446" spans="9:24" x14ac:dyDescent="0.25">
      <c r="I4446" s="131"/>
      <c r="J4446" s="131"/>
      <c r="K4446" s="131"/>
      <c r="L4446" s="131"/>
      <c r="U4446" s="131"/>
      <c r="V4446" s="131"/>
      <c r="W4446" s="131"/>
      <c r="X4446" s="131"/>
    </row>
    <row r="4447" spans="9:24" x14ac:dyDescent="0.25">
      <c r="I4447" s="131"/>
      <c r="J4447" s="131"/>
      <c r="K4447" s="131"/>
      <c r="L4447" s="131"/>
      <c r="U4447" s="131"/>
      <c r="V4447" s="131"/>
      <c r="W4447" s="131"/>
      <c r="X4447" s="131"/>
    </row>
    <row r="4448" spans="9:24" x14ac:dyDescent="0.25">
      <c r="I4448" s="131"/>
      <c r="J4448" s="131"/>
      <c r="K4448" s="131"/>
      <c r="L4448" s="131"/>
      <c r="U4448" s="131"/>
      <c r="V4448" s="131"/>
      <c r="W4448" s="131"/>
      <c r="X4448" s="131"/>
    </row>
    <row r="4449" spans="9:24" x14ac:dyDescent="0.25">
      <c r="I4449" s="131"/>
      <c r="J4449" s="131"/>
      <c r="K4449" s="131"/>
      <c r="L4449" s="131"/>
      <c r="U4449" s="131"/>
      <c r="V4449" s="131"/>
      <c r="W4449" s="131"/>
      <c r="X4449" s="131"/>
    </row>
    <row r="4450" spans="9:24" x14ac:dyDescent="0.25">
      <c r="I4450" s="131"/>
      <c r="J4450" s="131"/>
      <c r="K4450" s="131"/>
      <c r="L4450" s="131"/>
      <c r="U4450" s="131"/>
      <c r="V4450" s="131"/>
      <c r="W4450" s="131"/>
      <c r="X4450" s="131"/>
    </row>
    <row r="4451" spans="9:24" x14ac:dyDescent="0.25">
      <c r="I4451" s="131"/>
      <c r="J4451" s="131"/>
      <c r="K4451" s="131"/>
      <c r="L4451" s="131"/>
      <c r="U4451" s="131"/>
      <c r="V4451" s="131"/>
      <c r="W4451" s="131"/>
      <c r="X4451" s="131"/>
    </row>
    <row r="4452" spans="9:24" x14ac:dyDescent="0.25">
      <c r="I4452" s="131"/>
      <c r="J4452" s="131"/>
      <c r="K4452" s="131"/>
      <c r="L4452" s="131"/>
      <c r="U4452" s="131"/>
      <c r="V4452" s="131"/>
      <c r="W4452" s="131"/>
      <c r="X4452" s="131"/>
    </row>
    <row r="4453" spans="9:24" x14ac:dyDescent="0.25">
      <c r="I4453" s="131"/>
      <c r="J4453" s="131"/>
      <c r="K4453" s="131"/>
      <c r="L4453" s="131"/>
      <c r="U4453" s="131"/>
      <c r="V4453" s="131"/>
      <c r="W4453" s="131"/>
      <c r="X4453" s="131"/>
    </row>
    <row r="4454" spans="9:24" x14ac:dyDescent="0.25">
      <c r="I4454" s="131"/>
      <c r="J4454" s="131"/>
      <c r="K4454" s="131"/>
      <c r="L4454" s="131"/>
      <c r="U4454" s="131"/>
      <c r="V4454" s="131"/>
      <c r="W4454" s="131"/>
      <c r="X4454" s="131"/>
    </row>
    <row r="4455" spans="9:24" x14ac:dyDescent="0.25">
      <c r="I4455" s="131"/>
      <c r="J4455" s="131"/>
      <c r="K4455" s="131"/>
      <c r="L4455" s="131"/>
      <c r="U4455" s="131"/>
      <c r="V4455" s="131"/>
      <c r="W4455" s="131"/>
      <c r="X4455" s="131"/>
    </row>
    <row r="4456" spans="9:24" x14ac:dyDescent="0.25">
      <c r="I4456" s="131"/>
      <c r="J4456" s="131"/>
      <c r="K4456" s="131"/>
      <c r="L4456" s="131"/>
      <c r="U4456" s="131"/>
      <c r="V4456" s="131"/>
      <c r="W4456" s="131"/>
      <c r="X4456" s="131"/>
    </row>
    <row r="4457" spans="9:24" x14ac:dyDescent="0.25">
      <c r="I4457" s="131"/>
      <c r="J4457" s="131"/>
      <c r="K4457" s="131"/>
      <c r="L4457" s="131"/>
      <c r="U4457" s="131"/>
      <c r="V4457" s="131"/>
      <c r="W4457" s="131"/>
      <c r="X4457" s="131"/>
    </row>
    <row r="4458" spans="9:24" x14ac:dyDescent="0.25">
      <c r="I4458" s="131"/>
      <c r="J4458" s="131"/>
      <c r="K4458" s="131"/>
      <c r="L4458" s="131"/>
      <c r="U4458" s="131"/>
      <c r="V4458" s="131"/>
      <c r="W4458" s="131"/>
      <c r="X4458" s="131"/>
    </row>
    <row r="4459" spans="9:24" x14ac:dyDescent="0.25">
      <c r="I4459" s="131"/>
      <c r="J4459" s="131"/>
      <c r="K4459" s="131"/>
      <c r="L4459" s="131"/>
      <c r="U4459" s="131"/>
      <c r="V4459" s="131"/>
      <c r="W4459" s="131"/>
      <c r="X4459" s="131"/>
    </row>
    <row r="4460" spans="9:24" x14ac:dyDescent="0.25">
      <c r="I4460" s="131"/>
      <c r="J4460" s="131"/>
      <c r="K4460" s="131"/>
      <c r="L4460" s="131"/>
      <c r="U4460" s="131"/>
      <c r="V4460" s="131"/>
      <c r="W4460" s="131"/>
      <c r="X4460" s="131"/>
    </row>
    <row r="4461" spans="9:24" x14ac:dyDescent="0.25">
      <c r="I4461" s="131"/>
      <c r="J4461" s="131"/>
      <c r="K4461" s="131"/>
      <c r="L4461" s="131"/>
      <c r="U4461" s="131"/>
      <c r="V4461" s="131"/>
      <c r="W4461" s="131"/>
      <c r="X4461" s="131"/>
    </row>
    <row r="4462" spans="9:24" x14ac:dyDescent="0.25">
      <c r="I4462" s="131"/>
      <c r="J4462" s="131"/>
      <c r="K4462" s="131"/>
      <c r="L4462" s="131"/>
      <c r="U4462" s="131"/>
      <c r="V4462" s="131"/>
      <c r="W4462" s="131"/>
      <c r="X4462" s="131"/>
    </row>
    <row r="4463" spans="9:24" x14ac:dyDescent="0.25">
      <c r="I4463" s="131"/>
      <c r="J4463" s="131"/>
      <c r="K4463" s="131"/>
      <c r="L4463" s="131"/>
      <c r="U4463" s="131"/>
      <c r="V4463" s="131"/>
      <c r="W4463" s="131"/>
      <c r="X4463" s="131"/>
    </row>
    <row r="4464" spans="9:24" x14ac:dyDescent="0.25">
      <c r="I4464" s="131"/>
      <c r="J4464" s="131"/>
      <c r="K4464" s="131"/>
      <c r="L4464" s="131"/>
      <c r="U4464" s="131"/>
      <c r="V4464" s="131"/>
      <c r="W4464" s="131"/>
      <c r="X4464" s="131"/>
    </row>
    <row r="4465" spans="9:24" x14ac:dyDescent="0.25">
      <c r="I4465" s="131"/>
      <c r="J4465" s="131"/>
      <c r="K4465" s="131"/>
      <c r="L4465" s="131"/>
      <c r="U4465" s="131"/>
      <c r="V4465" s="131"/>
      <c r="W4465" s="131"/>
      <c r="X4465" s="131"/>
    </row>
    <row r="4466" spans="9:24" x14ac:dyDescent="0.25">
      <c r="I4466" s="131"/>
      <c r="J4466" s="131"/>
      <c r="K4466" s="131"/>
      <c r="L4466" s="131"/>
      <c r="U4466" s="131"/>
      <c r="V4466" s="131"/>
      <c r="W4466" s="131"/>
      <c r="X4466" s="131"/>
    </row>
    <row r="4467" spans="9:24" x14ac:dyDescent="0.25">
      <c r="I4467" s="131"/>
      <c r="J4467" s="131"/>
      <c r="K4467" s="131"/>
      <c r="L4467" s="131"/>
      <c r="U4467" s="131"/>
      <c r="V4467" s="131"/>
      <c r="W4467" s="131"/>
      <c r="X4467" s="131"/>
    </row>
    <row r="4468" spans="9:24" x14ac:dyDescent="0.25">
      <c r="I4468" s="131"/>
      <c r="J4468" s="131"/>
      <c r="K4468" s="131"/>
      <c r="L4468" s="131"/>
      <c r="U4468" s="131"/>
      <c r="V4468" s="131"/>
      <c r="W4468" s="131"/>
      <c r="X4468" s="131"/>
    </row>
    <row r="4469" spans="9:24" x14ac:dyDescent="0.25">
      <c r="I4469" s="131"/>
      <c r="J4469" s="131"/>
      <c r="K4469" s="131"/>
      <c r="L4469" s="131"/>
      <c r="U4469" s="131"/>
      <c r="V4469" s="131"/>
      <c r="W4469" s="131"/>
      <c r="X4469" s="131"/>
    </row>
    <row r="4470" spans="9:24" x14ac:dyDescent="0.25">
      <c r="I4470" s="131"/>
      <c r="J4470" s="131"/>
      <c r="K4470" s="131"/>
      <c r="L4470" s="131"/>
      <c r="U4470" s="131"/>
      <c r="V4470" s="131"/>
      <c r="W4470" s="131"/>
      <c r="X4470" s="131"/>
    </row>
    <row r="4471" spans="9:24" x14ac:dyDescent="0.25">
      <c r="I4471" s="131"/>
      <c r="J4471" s="131"/>
      <c r="K4471" s="131"/>
      <c r="L4471" s="131"/>
      <c r="U4471" s="131"/>
      <c r="V4471" s="131"/>
      <c r="W4471" s="131"/>
      <c r="X4471" s="131"/>
    </row>
    <row r="4472" spans="9:24" x14ac:dyDescent="0.25">
      <c r="I4472" s="131"/>
      <c r="J4472" s="131"/>
      <c r="K4472" s="131"/>
      <c r="L4472" s="131"/>
      <c r="U4472" s="131"/>
      <c r="V4472" s="131"/>
      <c r="W4472" s="131"/>
      <c r="X4472" s="131"/>
    </row>
    <row r="4473" spans="9:24" x14ac:dyDescent="0.25">
      <c r="I4473" s="131"/>
      <c r="J4473" s="131"/>
      <c r="K4473" s="131"/>
      <c r="L4473" s="131"/>
      <c r="U4473" s="131"/>
      <c r="V4473" s="131"/>
      <c r="W4473" s="131"/>
      <c r="X4473" s="131"/>
    </row>
    <row r="4474" spans="9:24" x14ac:dyDescent="0.25">
      <c r="I4474" s="131"/>
      <c r="J4474" s="131"/>
      <c r="K4474" s="131"/>
      <c r="L4474" s="131"/>
      <c r="U4474" s="131"/>
      <c r="V4474" s="131"/>
      <c r="W4474" s="131"/>
      <c r="X4474" s="131"/>
    </row>
    <row r="4475" spans="9:24" x14ac:dyDescent="0.25">
      <c r="I4475" s="131"/>
      <c r="J4475" s="131"/>
      <c r="K4475" s="131"/>
      <c r="L4475" s="131"/>
      <c r="U4475" s="131"/>
      <c r="V4475" s="131"/>
      <c r="W4475" s="131"/>
      <c r="X4475" s="131"/>
    </row>
    <row r="4476" spans="9:24" x14ac:dyDescent="0.25">
      <c r="I4476" s="131"/>
      <c r="J4476" s="131"/>
      <c r="K4476" s="131"/>
      <c r="L4476" s="131"/>
      <c r="U4476" s="131"/>
      <c r="V4476" s="131"/>
      <c r="W4476" s="131"/>
      <c r="X4476" s="131"/>
    </row>
    <row r="4477" spans="9:24" x14ac:dyDescent="0.25">
      <c r="I4477" s="131"/>
      <c r="J4477" s="131"/>
      <c r="K4477" s="131"/>
      <c r="L4477" s="131"/>
      <c r="U4477" s="131"/>
      <c r="V4477" s="131"/>
      <c r="W4477" s="131"/>
      <c r="X4477" s="131"/>
    </row>
    <row r="4478" spans="9:24" x14ac:dyDescent="0.25">
      <c r="I4478" s="131"/>
      <c r="J4478" s="131"/>
      <c r="K4478" s="131"/>
      <c r="L4478" s="131"/>
      <c r="U4478" s="131"/>
      <c r="V4478" s="131"/>
      <c r="W4478" s="131"/>
      <c r="X4478" s="131"/>
    </row>
    <row r="4479" spans="9:24" x14ac:dyDescent="0.25">
      <c r="I4479" s="131"/>
      <c r="J4479" s="131"/>
      <c r="K4479" s="131"/>
      <c r="L4479" s="131"/>
      <c r="U4479" s="131"/>
      <c r="V4479" s="131"/>
      <c r="W4479" s="131"/>
      <c r="X4479" s="131"/>
    </row>
    <row r="4480" spans="9:24" x14ac:dyDescent="0.25">
      <c r="I4480" s="131"/>
      <c r="J4480" s="131"/>
      <c r="K4480" s="131"/>
      <c r="L4480" s="131"/>
      <c r="U4480" s="131"/>
      <c r="V4480" s="131"/>
      <c r="W4480" s="131"/>
      <c r="X4480" s="131"/>
    </row>
    <row r="4481" spans="9:24" x14ac:dyDescent="0.25">
      <c r="I4481" s="131"/>
      <c r="J4481" s="131"/>
      <c r="K4481" s="131"/>
      <c r="L4481" s="131"/>
      <c r="U4481" s="131"/>
      <c r="V4481" s="131"/>
      <c r="W4481" s="131"/>
      <c r="X4481" s="131"/>
    </row>
    <row r="4482" spans="9:24" x14ac:dyDescent="0.25">
      <c r="I4482" s="131"/>
      <c r="J4482" s="131"/>
      <c r="K4482" s="131"/>
      <c r="L4482" s="131"/>
      <c r="U4482" s="131"/>
      <c r="V4482" s="131"/>
      <c r="W4482" s="131"/>
      <c r="X4482" s="131"/>
    </row>
    <row r="4483" spans="9:24" x14ac:dyDescent="0.25">
      <c r="I4483" s="131"/>
      <c r="J4483" s="131"/>
      <c r="K4483" s="131"/>
      <c r="L4483" s="131"/>
      <c r="U4483" s="131"/>
      <c r="V4483" s="131"/>
      <c r="W4483" s="131"/>
      <c r="X4483" s="131"/>
    </row>
    <row r="4484" spans="9:24" x14ac:dyDescent="0.25">
      <c r="I4484" s="131"/>
      <c r="J4484" s="131"/>
      <c r="K4484" s="131"/>
      <c r="L4484" s="131"/>
      <c r="U4484" s="131"/>
      <c r="V4484" s="131"/>
      <c r="W4484" s="131"/>
      <c r="X4484" s="131"/>
    </row>
    <row r="4485" spans="9:24" x14ac:dyDescent="0.25">
      <c r="I4485" s="131"/>
      <c r="J4485" s="131"/>
      <c r="K4485" s="131"/>
      <c r="L4485" s="131"/>
      <c r="U4485" s="131"/>
      <c r="V4485" s="131"/>
      <c r="W4485" s="131"/>
      <c r="X4485" s="131"/>
    </row>
    <row r="4486" spans="9:24" x14ac:dyDescent="0.25">
      <c r="I4486" s="131"/>
      <c r="J4486" s="131"/>
      <c r="K4486" s="131"/>
      <c r="L4486" s="131"/>
      <c r="U4486" s="131"/>
      <c r="V4486" s="131"/>
      <c r="W4486" s="131"/>
      <c r="X4486" s="131"/>
    </row>
    <row r="4487" spans="9:24" x14ac:dyDescent="0.25">
      <c r="I4487" s="131"/>
      <c r="J4487" s="131"/>
      <c r="K4487" s="131"/>
      <c r="L4487" s="131"/>
      <c r="U4487" s="131"/>
      <c r="V4487" s="131"/>
      <c r="W4487" s="131"/>
      <c r="X4487" s="131"/>
    </row>
    <row r="4488" spans="9:24" x14ac:dyDescent="0.25">
      <c r="I4488" s="131"/>
      <c r="J4488" s="131"/>
      <c r="K4488" s="131"/>
      <c r="L4488" s="131"/>
      <c r="U4488" s="131"/>
      <c r="V4488" s="131"/>
      <c r="W4488" s="131"/>
      <c r="X4488" s="131"/>
    </row>
    <row r="4489" spans="9:24" x14ac:dyDescent="0.25">
      <c r="I4489" s="131"/>
      <c r="J4489" s="131"/>
      <c r="K4489" s="131"/>
      <c r="L4489" s="131"/>
      <c r="U4489" s="131"/>
      <c r="V4489" s="131"/>
      <c r="W4489" s="131"/>
      <c r="X4489" s="131"/>
    </row>
    <row r="4490" spans="9:24" x14ac:dyDescent="0.25">
      <c r="I4490" s="131"/>
      <c r="J4490" s="131"/>
      <c r="K4490" s="131"/>
      <c r="L4490" s="131"/>
      <c r="U4490" s="131"/>
      <c r="V4490" s="131"/>
      <c r="W4490" s="131"/>
      <c r="X4490" s="131"/>
    </row>
    <row r="4491" spans="9:24" x14ac:dyDescent="0.25">
      <c r="I4491" s="131"/>
      <c r="J4491" s="131"/>
      <c r="K4491" s="131"/>
      <c r="L4491" s="131"/>
      <c r="U4491" s="131"/>
      <c r="V4491" s="131"/>
      <c r="W4491" s="131"/>
      <c r="X4491" s="131"/>
    </row>
    <row r="4492" spans="9:24" x14ac:dyDescent="0.25">
      <c r="I4492" s="131"/>
      <c r="J4492" s="131"/>
      <c r="K4492" s="131"/>
      <c r="L4492" s="131"/>
      <c r="U4492" s="131"/>
      <c r="V4492" s="131"/>
      <c r="W4492" s="131"/>
      <c r="X4492" s="131"/>
    </row>
    <row r="4493" spans="9:24" x14ac:dyDescent="0.25">
      <c r="I4493" s="131"/>
      <c r="J4493" s="131"/>
      <c r="K4493" s="131"/>
      <c r="L4493" s="131"/>
      <c r="U4493" s="131"/>
      <c r="V4493" s="131"/>
      <c r="W4493" s="131"/>
      <c r="X4493" s="131"/>
    </row>
    <row r="4494" spans="9:24" x14ac:dyDescent="0.25">
      <c r="I4494" s="131"/>
      <c r="J4494" s="131"/>
      <c r="K4494" s="131"/>
      <c r="L4494" s="131"/>
      <c r="U4494" s="131"/>
      <c r="V4494" s="131"/>
      <c r="W4494" s="131"/>
      <c r="X4494" s="131"/>
    </row>
    <row r="4495" spans="9:24" x14ac:dyDescent="0.25">
      <c r="I4495" s="131"/>
      <c r="J4495" s="131"/>
      <c r="K4495" s="131"/>
      <c r="L4495" s="131"/>
      <c r="U4495" s="131"/>
      <c r="V4495" s="131"/>
      <c r="W4495" s="131"/>
      <c r="X4495" s="131"/>
    </row>
    <row r="4496" spans="9:24" x14ac:dyDescent="0.25">
      <c r="I4496" s="131"/>
      <c r="J4496" s="131"/>
      <c r="K4496" s="131"/>
      <c r="L4496" s="131"/>
      <c r="U4496" s="131"/>
      <c r="V4496" s="131"/>
      <c r="W4496" s="131"/>
      <c r="X4496" s="131"/>
    </row>
    <row r="4497" spans="9:24" x14ac:dyDescent="0.25">
      <c r="I4497" s="131"/>
      <c r="J4497" s="131"/>
      <c r="K4497" s="131"/>
      <c r="L4497" s="131"/>
      <c r="U4497" s="131"/>
      <c r="V4497" s="131"/>
      <c r="W4497" s="131"/>
      <c r="X4497" s="131"/>
    </row>
    <row r="4498" spans="9:24" x14ac:dyDescent="0.25">
      <c r="I4498" s="131"/>
      <c r="J4498" s="131"/>
      <c r="K4498" s="131"/>
      <c r="L4498" s="131"/>
      <c r="U4498" s="131"/>
      <c r="V4498" s="131"/>
      <c r="W4498" s="131"/>
      <c r="X4498" s="131"/>
    </row>
    <row r="4499" spans="9:24" x14ac:dyDescent="0.25">
      <c r="I4499" s="131"/>
      <c r="J4499" s="131"/>
      <c r="K4499" s="131"/>
      <c r="L4499" s="131"/>
      <c r="U4499" s="131"/>
      <c r="V4499" s="131"/>
      <c r="W4499" s="131"/>
      <c r="X4499" s="131"/>
    </row>
    <row r="4500" spans="9:24" x14ac:dyDescent="0.25">
      <c r="I4500" s="131"/>
      <c r="J4500" s="131"/>
      <c r="K4500" s="131"/>
      <c r="L4500" s="131"/>
      <c r="U4500" s="131"/>
      <c r="V4500" s="131"/>
      <c r="W4500" s="131"/>
      <c r="X4500" s="131"/>
    </row>
    <row r="4501" spans="9:24" x14ac:dyDescent="0.25">
      <c r="I4501" s="131"/>
      <c r="J4501" s="131"/>
      <c r="K4501" s="131"/>
      <c r="L4501" s="131"/>
      <c r="U4501" s="131"/>
      <c r="V4501" s="131"/>
      <c r="W4501" s="131"/>
      <c r="X4501" s="131"/>
    </row>
    <row r="4502" spans="9:24" x14ac:dyDescent="0.25">
      <c r="I4502" s="131"/>
      <c r="J4502" s="131"/>
      <c r="K4502" s="131"/>
      <c r="L4502" s="131"/>
      <c r="U4502" s="131"/>
      <c r="V4502" s="131"/>
      <c r="W4502" s="131"/>
      <c r="X4502" s="131"/>
    </row>
    <row r="4503" spans="9:24" x14ac:dyDescent="0.25">
      <c r="I4503" s="131"/>
      <c r="J4503" s="131"/>
      <c r="K4503" s="131"/>
      <c r="L4503" s="131"/>
      <c r="U4503" s="131"/>
      <c r="V4503" s="131"/>
      <c r="W4503" s="131"/>
      <c r="X4503" s="131"/>
    </row>
    <row r="4504" spans="9:24" x14ac:dyDescent="0.25">
      <c r="I4504" s="131"/>
      <c r="J4504" s="131"/>
      <c r="K4504" s="131"/>
      <c r="L4504" s="131"/>
      <c r="U4504" s="131"/>
      <c r="V4504" s="131"/>
      <c r="W4504" s="131"/>
      <c r="X4504" s="131"/>
    </row>
    <row r="4505" spans="9:24" x14ac:dyDescent="0.25">
      <c r="I4505" s="131"/>
      <c r="J4505" s="131"/>
      <c r="K4505" s="131"/>
      <c r="L4505" s="131"/>
      <c r="U4505" s="131"/>
      <c r="V4505" s="131"/>
      <c r="W4505" s="131"/>
      <c r="X4505" s="131"/>
    </row>
    <row r="4506" spans="9:24" x14ac:dyDescent="0.25">
      <c r="I4506" s="131"/>
      <c r="J4506" s="131"/>
      <c r="K4506" s="131"/>
      <c r="L4506" s="131"/>
      <c r="U4506" s="131"/>
      <c r="V4506" s="131"/>
      <c r="W4506" s="131"/>
      <c r="X4506" s="131"/>
    </row>
    <row r="4507" spans="9:24" x14ac:dyDescent="0.25">
      <c r="I4507" s="131"/>
      <c r="J4507" s="131"/>
      <c r="K4507" s="131"/>
      <c r="L4507" s="131"/>
      <c r="U4507" s="131"/>
      <c r="V4507" s="131"/>
      <c r="W4507" s="131"/>
      <c r="X4507" s="131"/>
    </row>
    <row r="4508" spans="9:24" x14ac:dyDescent="0.25">
      <c r="I4508" s="131"/>
      <c r="J4508" s="131"/>
      <c r="K4508" s="131"/>
      <c r="L4508" s="131"/>
      <c r="U4508" s="131"/>
      <c r="V4508" s="131"/>
      <c r="W4508" s="131"/>
      <c r="X4508" s="131"/>
    </row>
    <row r="4509" spans="9:24" x14ac:dyDescent="0.25">
      <c r="I4509" s="131"/>
      <c r="J4509" s="131"/>
      <c r="K4509" s="131"/>
      <c r="L4509" s="131"/>
      <c r="U4509" s="131"/>
      <c r="V4509" s="131"/>
      <c r="W4509" s="131"/>
      <c r="X4509" s="131"/>
    </row>
    <row r="4510" spans="9:24" x14ac:dyDescent="0.25">
      <c r="I4510" s="131"/>
      <c r="J4510" s="131"/>
      <c r="K4510" s="131"/>
      <c r="L4510" s="131"/>
      <c r="U4510" s="131"/>
      <c r="V4510" s="131"/>
      <c r="W4510" s="131"/>
      <c r="X4510" s="131"/>
    </row>
    <row r="4511" spans="9:24" x14ac:dyDescent="0.25">
      <c r="I4511" s="131"/>
      <c r="J4511" s="131"/>
      <c r="K4511" s="131"/>
      <c r="L4511" s="131"/>
      <c r="U4511" s="131"/>
      <c r="V4511" s="131"/>
      <c r="W4511" s="131"/>
      <c r="X4511" s="131"/>
    </row>
    <row r="4512" spans="9:24" x14ac:dyDescent="0.25">
      <c r="I4512" s="131"/>
      <c r="J4512" s="131"/>
      <c r="K4512" s="131"/>
      <c r="L4512" s="131"/>
      <c r="U4512" s="131"/>
      <c r="V4512" s="131"/>
      <c r="W4512" s="131"/>
      <c r="X4512" s="131"/>
    </row>
    <row r="4513" spans="9:24" x14ac:dyDescent="0.25">
      <c r="I4513" s="131"/>
      <c r="J4513" s="131"/>
      <c r="K4513" s="131"/>
      <c r="L4513" s="131"/>
      <c r="U4513" s="131"/>
      <c r="V4513" s="131"/>
      <c r="W4513" s="131"/>
      <c r="X4513" s="131"/>
    </row>
    <row r="4514" spans="9:24" x14ac:dyDescent="0.25">
      <c r="I4514" s="131"/>
      <c r="J4514" s="131"/>
      <c r="K4514" s="131"/>
      <c r="L4514" s="131"/>
      <c r="U4514" s="131"/>
      <c r="V4514" s="131"/>
      <c r="W4514" s="131"/>
      <c r="X4514" s="131"/>
    </row>
    <row r="4515" spans="9:24" x14ac:dyDescent="0.25">
      <c r="I4515" s="131"/>
      <c r="J4515" s="131"/>
      <c r="K4515" s="131"/>
      <c r="L4515" s="131"/>
      <c r="U4515" s="131"/>
      <c r="V4515" s="131"/>
      <c r="W4515" s="131"/>
      <c r="X4515" s="131"/>
    </row>
    <row r="4516" spans="9:24" x14ac:dyDescent="0.25">
      <c r="I4516" s="131"/>
      <c r="J4516" s="131"/>
      <c r="K4516" s="131"/>
      <c r="L4516" s="131"/>
      <c r="U4516" s="131"/>
      <c r="V4516" s="131"/>
      <c r="W4516" s="131"/>
      <c r="X4516" s="131"/>
    </row>
    <row r="4517" spans="9:24" x14ac:dyDescent="0.25">
      <c r="I4517" s="131"/>
      <c r="J4517" s="131"/>
      <c r="K4517" s="131"/>
      <c r="L4517" s="131"/>
      <c r="U4517" s="131"/>
      <c r="V4517" s="131"/>
      <c r="W4517" s="131"/>
      <c r="X4517" s="131"/>
    </row>
    <row r="4518" spans="9:24" x14ac:dyDescent="0.25">
      <c r="I4518" s="131"/>
      <c r="J4518" s="131"/>
      <c r="K4518" s="131"/>
      <c r="L4518" s="131"/>
      <c r="U4518" s="131"/>
      <c r="V4518" s="131"/>
      <c r="W4518" s="131"/>
      <c r="X4518" s="131"/>
    </row>
    <row r="4519" spans="9:24" x14ac:dyDescent="0.25">
      <c r="I4519" s="131"/>
      <c r="J4519" s="131"/>
      <c r="K4519" s="131"/>
      <c r="L4519" s="131"/>
      <c r="U4519" s="131"/>
      <c r="V4519" s="131"/>
      <c r="W4519" s="131"/>
      <c r="X4519" s="131"/>
    </row>
    <row r="4520" spans="9:24" x14ac:dyDescent="0.25">
      <c r="I4520" s="131"/>
      <c r="J4520" s="131"/>
      <c r="K4520" s="131"/>
      <c r="L4520" s="131"/>
      <c r="U4520" s="131"/>
      <c r="V4520" s="131"/>
      <c r="W4520" s="131"/>
      <c r="X4520" s="131"/>
    </row>
    <row r="4521" spans="9:24" x14ac:dyDescent="0.25">
      <c r="I4521" s="131"/>
      <c r="J4521" s="131"/>
      <c r="K4521" s="131"/>
      <c r="L4521" s="131"/>
      <c r="U4521" s="131"/>
      <c r="V4521" s="131"/>
      <c r="W4521" s="131"/>
      <c r="X4521" s="131"/>
    </row>
    <row r="4522" spans="9:24" x14ac:dyDescent="0.25">
      <c r="I4522" s="131"/>
      <c r="J4522" s="131"/>
      <c r="K4522" s="131"/>
      <c r="L4522" s="131"/>
      <c r="U4522" s="131"/>
      <c r="V4522" s="131"/>
      <c r="W4522" s="131"/>
      <c r="X4522" s="131"/>
    </row>
    <row r="4523" spans="9:24" x14ac:dyDescent="0.25">
      <c r="I4523" s="131"/>
      <c r="J4523" s="131"/>
      <c r="K4523" s="131"/>
      <c r="L4523" s="131"/>
      <c r="U4523" s="131"/>
      <c r="V4523" s="131"/>
      <c r="W4523" s="131"/>
      <c r="X4523" s="131"/>
    </row>
    <row r="4524" spans="9:24" x14ac:dyDescent="0.25">
      <c r="I4524" s="131"/>
      <c r="J4524" s="131"/>
      <c r="K4524" s="131"/>
      <c r="L4524" s="131"/>
      <c r="U4524" s="131"/>
      <c r="V4524" s="131"/>
      <c r="W4524" s="131"/>
      <c r="X4524" s="131"/>
    </row>
    <row r="4525" spans="9:24" x14ac:dyDescent="0.25">
      <c r="I4525" s="131"/>
      <c r="J4525" s="131"/>
      <c r="K4525" s="131"/>
      <c r="L4525" s="131"/>
      <c r="U4525" s="131"/>
      <c r="V4525" s="131"/>
      <c r="W4525" s="131"/>
      <c r="X4525" s="131"/>
    </row>
    <row r="4526" spans="9:24" x14ac:dyDescent="0.25">
      <c r="I4526" s="131"/>
      <c r="J4526" s="131"/>
      <c r="K4526" s="131"/>
      <c r="L4526" s="131"/>
      <c r="U4526" s="131"/>
      <c r="V4526" s="131"/>
      <c r="W4526" s="131"/>
      <c r="X4526" s="131"/>
    </row>
    <row r="4527" spans="9:24" x14ac:dyDescent="0.25">
      <c r="I4527" s="131"/>
      <c r="J4527" s="131"/>
      <c r="K4527" s="131"/>
      <c r="L4527" s="131"/>
      <c r="U4527" s="131"/>
      <c r="V4527" s="131"/>
      <c r="W4527" s="131"/>
      <c r="X4527" s="131"/>
    </row>
    <row r="4528" spans="9:24" x14ac:dyDescent="0.25">
      <c r="I4528" s="131"/>
      <c r="J4528" s="131"/>
      <c r="K4528" s="131"/>
      <c r="L4528" s="131"/>
      <c r="U4528" s="131"/>
      <c r="V4528" s="131"/>
      <c r="W4528" s="131"/>
      <c r="X4528" s="131"/>
    </row>
    <row r="4529" spans="9:24" x14ac:dyDescent="0.25">
      <c r="I4529" s="131"/>
      <c r="J4529" s="131"/>
      <c r="K4529" s="131"/>
      <c r="L4529" s="131"/>
      <c r="U4529" s="131"/>
      <c r="V4529" s="131"/>
      <c r="W4529" s="131"/>
      <c r="X4529" s="131"/>
    </row>
    <row r="4530" spans="9:24" x14ac:dyDescent="0.25">
      <c r="I4530" s="131"/>
      <c r="J4530" s="131"/>
      <c r="K4530" s="131"/>
      <c r="L4530" s="131"/>
      <c r="U4530" s="131"/>
      <c r="V4530" s="131"/>
      <c r="W4530" s="131"/>
      <c r="X4530" s="131"/>
    </row>
    <row r="4531" spans="9:24" x14ac:dyDescent="0.25">
      <c r="I4531" s="131"/>
      <c r="J4531" s="131"/>
      <c r="K4531" s="131"/>
      <c r="L4531" s="131"/>
      <c r="U4531" s="131"/>
      <c r="V4531" s="131"/>
      <c r="W4531" s="131"/>
      <c r="X4531" s="131"/>
    </row>
    <row r="4532" spans="9:24" x14ac:dyDescent="0.25">
      <c r="I4532" s="131"/>
      <c r="J4532" s="131"/>
      <c r="K4532" s="131"/>
      <c r="L4532" s="131"/>
      <c r="U4532" s="131"/>
      <c r="V4532" s="131"/>
      <c r="W4532" s="131"/>
      <c r="X4532" s="131"/>
    </row>
    <row r="4533" spans="9:24" x14ac:dyDescent="0.25">
      <c r="I4533" s="131"/>
      <c r="J4533" s="131"/>
      <c r="K4533" s="131"/>
      <c r="L4533" s="131"/>
      <c r="U4533" s="131"/>
      <c r="V4533" s="131"/>
      <c r="W4533" s="131"/>
      <c r="X4533" s="131"/>
    </row>
    <row r="4534" spans="9:24" x14ac:dyDescent="0.25">
      <c r="I4534" s="131"/>
      <c r="J4534" s="131"/>
      <c r="K4534" s="131"/>
      <c r="L4534" s="131"/>
      <c r="U4534" s="131"/>
      <c r="V4534" s="131"/>
      <c r="W4534" s="131"/>
      <c r="X4534" s="131"/>
    </row>
    <row r="4535" spans="9:24" x14ac:dyDescent="0.25">
      <c r="I4535" s="131"/>
      <c r="J4535" s="131"/>
      <c r="K4535" s="131"/>
      <c r="L4535" s="131"/>
      <c r="U4535" s="131"/>
      <c r="V4535" s="131"/>
      <c r="W4535" s="131"/>
      <c r="X4535" s="131"/>
    </row>
    <row r="4536" spans="9:24" x14ac:dyDescent="0.25">
      <c r="I4536" s="131"/>
      <c r="J4536" s="131"/>
      <c r="K4536" s="131"/>
      <c r="L4536" s="131"/>
      <c r="U4536" s="131"/>
      <c r="V4536" s="131"/>
      <c r="W4536" s="131"/>
      <c r="X4536" s="131"/>
    </row>
    <row r="4537" spans="9:24" x14ac:dyDescent="0.25">
      <c r="I4537" s="131"/>
      <c r="J4537" s="131"/>
      <c r="K4537" s="131"/>
      <c r="L4537" s="131"/>
      <c r="U4537" s="131"/>
      <c r="V4537" s="131"/>
      <c r="W4537" s="131"/>
      <c r="X4537" s="131"/>
    </row>
    <row r="4538" spans="9:24" x14ac:dyDescent="0.25">
      <c r="I4538" s="131"/>
      <c r="J4538" s="131"/>
      <c r="K4538" s="131"/>
      <c r="L4538" s="131"/>
      <c r="U4538" s="131"/>
      <c r="V4538" s="131"/>
      <c r="W4538" s="131"/>
      <c r="X4538" s="131"/>
    </row>
    <row r="4539" spans="9:24" x14ac:dyDescent="0.25">
      <c r="I4539" s="131"/>
      <c r="J4539" s="131"/>
      <c r="K4539" s="131"/>
      <c r="L4539" s="131"/>
      <c r="U4539" s="131"/>
      <c r="V4539" s="131"/>
      <c r="W4539" s="131"/>
      <c r="X4539" s="131"/>
    </row>
    <row r="4540" spans="9:24" x14ac:dyDescent="0.25">
      <c r="I4540" s="131"/>
      <c r="J4540" s="131"/>
      <c r="K4540" s="131"/>
      <c r="L4540" s="131"/>
      <c r="U4540" s="131"/>
      <c r="V4540" s="131"/>
      <c r="W4540" s="131"/>
      <c r="X4540" s="131"/>
    </row>
    <row r="4541" spans="9:24" x14ac:dyDescent="0.25">
      <c r="I4541" s="131"/>
      <c r="J4541" s="131"/>
      <c r="K4541" s="131"/>
      <c r="L4541" s="131"/>
      <c r="U4541" s="131"/>
      <c r="V4541" s="131"/>
      <c r="W4541" s="131"/>
      <c r="X4541" s="131"/>
    </row>
    <row r="4542" spans="9:24" x14ac:dyDescent="0.25">
      <c r="I4542" s="131"/>
      <c r="J4542" s="131"/>
      <c r="K4542" s="131"/>
      <c r="L4542" s="131"/>
      <c r="U4542" s="131"/>
      <c r="V4542" s="131"/>
      <c r="W4542" s="131"/>
      <c r="X4542" s="131"/>
    </row>
    <row r="4543" spans="9:24" x14ac:dyDescent="0.25">
      <c r="I4543" s="131"/>
      <c r="J4543" s="131"/>
      <c r="K4543" s="131"/>
      <c r="L4543" s="131"/>
      <c r="U4543" s="131"/>
      <c r="V4543" s="131"/>
      <c r="W4543" s="131"/>
      <c r="X4543" s="131"/>
    </row>
    <row r="4544" spans="9:24" x14ac:dyDescent="0.25">
      <c r="I4544" s="131"/>
      <c r="J4544" s="131"/>
      <c r="K4544" s="131"/>
      <c r="L4544" s="131"/>
      <c r="U4544" s="131"/>
      <c r="V4544" s="131"/>
      <c r="W4544" s="131"/>
      <c r="X4544" s="131"/>
    </row>
    <row r="4545" spans="9:24" x14ac:dyDescent="0.25">
      <c r="I4545" s="131"/>
      <c r="J4545" s="131"/>
      <c r="K4545" s="131"/>
      <c r="L4545" s="131"/>
      <c r="U4545" s="131"/>
      <c r="V4545" s="131"/>
      <c r="W4545" s="131"/>
      <c r="X4545" s="131"/>
    </row>
    <row r="4546" spans="9:24" x14ac:dyDescent="0.25">
      <c r="I4546" s="131"/>
      <c r="J4546" s="131"/>
      <c r="K4546" s="131"/>
      <c r="L4546" s="131"/>
      <c r="U4546" s="131"/>
      <c r="V4546" s="131"/>
      <c r="W4546" s="131"/>
      <c r="X4546" s="131"/>
    </row>
    <row r="4547" spans="9:24" x14ac:dyDescent="0.25">
      <c r="I4547" s="131"/>
      <c r="J4547" s="131"/>
      <c r="K4547" s="131"/>
      <c r="L4547" s="131"/>
      <c r="U4547" s="131"/>
      <c r="V4547" s="131"/>
      <c r="W4547" s="131"/>
      <c r="X4547" s="131"/>
    </row>
    <row r="4548" spans="9:24" x14ac:dyDescent="0.25">
      <c r="I4548" s="131"/>
      <c r="J4548" s="131"/>
      <c r="K4548" s="131"/>
      <c r="L4548" s="131"/>
      <c r="U4548" s="131"/>
      <c r="V4548" s="131"/>
      <c r="W4548" s="131"/>
      <c r="X4548" s="131"/>
    </row>
    <row r="4549" spans="9:24" x14ac:dyDescent="0.25">
      <c r="I4549" s="131"/>
      <c r="J4549" s="131"/>
      <c r="K4549" s="131"/>
      <c r="L4549" s="131"/>
      <c r="U4549" s="131"/>
      <c r="V4549" s="131"/>
      <c r="W4549" s="131"/>
      <c r="X4549" s="131"/>
    </row>
    <row r="4550" spans="9:24" x14ac:dyDescent="0.25">
      <c r="I4550" s="131"/>
      <c r="J4550" s="131"/>
      <c r="K4550" s="131"/>
      <c r="L4550" s="131"/>
      <c r="U4550" s="131"/>
      <c r="V4550" s="131"/>
      <c r="W4550" s="131"/>
      <c r="X4550" s="131"/>
    </row>
    <row r="4551" spans="9:24" x14ac:dyDescent="0.25">
      <c r="I4551" s="131"/>
      <c r="J4551" s="131"/>
      <c r="K4551" s="131"/>
      <c r="L4551" s="131"/>
      <c r="U4551" s="131"/>
      <c r="V4551" s="131"/>
      <c r="W4551" s="131"/>
      <c r="X4551" s="131"/>
    </row>
    <row r="4552" spans="9:24" x14ac:dyDescent="0.25">
      <c r="I4552" s="131"/>
      <c r="J4552" s="131"/>
      <c r="K4552" s="131"/>
      <c r="L4552" s="131"/>
      <c r="U4552" s="131"/>
      <c r="V4552" s="131"/>
      <c r="W4552" s="131"/>
      <c r="X4552" s="131"/>
    </row>
    <row r="4553" spans="9:24" x14ac:dyDescent="0.25">
      <c r="I4553" s="131"/>
      <c r="J4553" s="131"/>
      <c r="K4553" s="131"/>
      <c r="L4553" s="131"/>
      <c r="U4553" s="131"/>
      <c r="V4553" s="131"/>
      <c r="W4553" s="131"/>
      <c r="X4553" s="131"/>
    </row>
    <row r="4554" spans="9:24" x14ac:dyDescent="0.25">
      <c r="I4554" s="131"/>
      <c r="J4554" s="131"/>
      <c r="K4554" s="131"/>
      <c r="L4554" s="131"/>
      <c r="U4554" s="131"/>
      <c r="V4554" s="131"/>
      <c r="W4554" s="131"/>
      <c r="X4554" s="131"/>
    </row>
    <row r="4555" spans="9:24" x14ac:dyDescent="0.25">
      <c r="I4555" s="131"/>
      <c r="J4555" s="131"/>
      <c r="K4555" s="131"/>
      <c r="L4555" s="131"/>
      <c r="U4555" s="131"/>
      <c r="V4555" s="131"/>
      <c r="W4555" s="131"/>
      <c r="X4555" s="131"/>
    </row>
    <row r="4556" spans="9:24" x14ac:dyDescent="0.25">
      <c r="I4556" s="131"/>
      <c r="J4556" s="131"/>
      <c r="K4556" s="131"/>
      <c r="L4556" s="131"/>
      <c r="U4556" s="131"/>
      <c r="V4556" s="131"/>
      <c r="W4556" s="131"/>
      <c r="X4556" s="131"/>
    </row>
    <row r="4557" spans="9:24" x14ac:dyDescent="0.25">
      <c r="I4557" s="131"/>
      <c r="J4557" s="131"/>
      <c r="K4557" s="131"/>
      <c r="L4557" s="131"/>
      <c r="U4557" s="131"/>
      <c r="V4557" s="131"/>
      <c r="W4557" s="131"/>
      <c r="X4557" s="131"/>
    </row>
    <row r="4558" spans="9:24" x14ac:dyDescent="0.25">
      <c r="I4558" s="131"/>
      <c r="J4558" s="131"/>
      <c r="K4558" s="131"/>
      <c r="L4558" s="131"/>
      <c r="U4558" s="131"/>
      <c r="V4558" s="131"/>
      <c r="W4558" s="131"/>
      <c r="X4558" s="131"/>
    </row>
    <row r="4559" spans="9:24" x14ac:dyDescent="0.25">
      <c r="I4559" s="131"/>
      <c r="J4559" s="131"/>
      <c r="K4559" s="131"/>
      <c r="L4559" s="131"/>
      <c r="U4559" s="131"/>
      <c r="V4559" s="131"/>
      <c r="W4559" s="131"/>
      <c r="X4559" s="131"/>
    </row>
    <row r="4560" spans="9:24" x14ac:dyDescent="0.25">
      <c r="I4560" s="131"/>
      <c r="J4560" s="131"/>
      <c r="K4560" s="131"/>
      <c r="L4560" s="131"/>
      <c r="U4560" s="131"/>
      <c r="V4560" s="131"/>
      <c r="W4560" s="131"/>
      <c r="X4560" s="131"/>
    </row>
    <row r="4561" spans="9:24" x14ac:dyDescent="0.25">
      <c r="I4561" s="131"/>
      <c r="J4561" s="131"/>
      <c r="K4561" s="131"/>
      <c r="L4561" s="131"/>
      <c r="U4561" s="131"/>
      <c r="V4561" s="131"/>
      <c r="W4561" s="131"/>
      <c r="X4561" s="131"/>
    </row>
    <row r="4562" spans="9:24" x14ac:dyDescent="0.25">
      <c r="I4562" s="131"/>
      <c r="J4562" s="131"/>
      <c r="K4562" s="131"/>
      <c r="L4562" s="131"/>
      <c r="U4562" s="131"/>
      <c r="V4562" s="131"/>
      <c r="W4562" s="131"/>
      <c r="X4562" s="131"/>
    </row>
    <row r="4563" spans="9:24" x14ac:dyDescent="0.25">
      <c r="I4563" s="131"/>
      <c r="J4563" s="131"/>
      <c r="K4563" s="131"/>
      <c r="L4563" s="131"/>
      <c r="U4563" s="131"/>
      <c r="V4563" s="131"/>
      <c r="W4563" s="131"/>
      <c r="X4563" s="131"/>
    </row>
    <row r="4564" spans="9:24" x14ac:dyDescent="0.25">
      <c r="I4564" s="131"/>
      <c r="J4564" s="131"/>
      <c r="K4564" s="131"/>
      <c r="L4564" s="131"/>
      <c r="U4564" s="131"/>
      <c r="V4564" s="131"/>
      <c r="W4564" s="131"/>
      <c r="X4564" s="131"/>
    </row>
    <row r="4565" spans="9:24" x14ac:dyDescent="0.25">
      <c r="I4565" s="131"/>
      <c r="J4565" s="131"/>
      <c r="K4565" s="131"/>
      <c r="L4565" s="131"/>
      <c r="U4565" s="131"/>
      <c r="V4565" s="131"/>
      <c r="W4565" s="131"/>
      <c r="X4565" s="131"/>
    </row>
    <row r="4566" spans="9:24" x14ac:dyDescent="0.25">
      <c r="I4566" s="131"/>
      <c r="J4566" s="131"/>
      <c r="K4566" s="131"/>
      <c r="L4566" s="131"/>
      <c r="U4566" s="131"/>
      <c r="V4566" s="131"/>
      <c r="W4566" s="131"/>
      <c r="X4566" s="131"/>
    </row>
    <row r="4567" spans="9:24" x14ac:dyDescent="0.25">
      <c r="I4567" s="131"/>
      <c r="J4567" s="131"/>
      <c r="K4567" s="131"/>
      <c r="L4567" s="131"/>
      <c r="U4567" s="131"/>
      <c r="V4567" s="131"/>
      <c r="W4567" s="131"/>
      <c r="X4567" s="131"/>
    </row>
    <row r="4568" spans="9:24" x14ac:dyDescent="0.25">
      <c r="I4568" s="131"/>
      <c r="J4568" s="131"/>
      <c r="K4568" s="131"/>
      <c r="L4568" s="131"/>
      <c r="U4568" s="131"/>
      <c r="V4568" s="131"/>
      <c r="W4568" s="131"/>
      <c r="X4568" s="131"/>
    </row>
    <row r="4569" spans="9:24" x14ac:dyDescent="0.25">
      <c r="I4569" s="131"/>
      <c r="J4569" s="131"/>
      <c r="K4569" s="131"/>
      <c r="L4569" s="131"/>
      <c r="U4569" s="131"/>
      <c r="V4569" s="131"/>
      <c r="W4569" s="131"/>
      <c r="X4569" s="131"/>
    </row>
    <row r="4570" spans="9:24" x14ac:dyDescent="0.25">
      <c r="I4570" s="131"/>
      <c r="J4570" s="131"/>
      <c r="K4570" s="131"/>
      <c r="L4570" s="131"/>
      <c r="U4570" s="131"/>
      <c r="V4570" s="131"/>
      <c r="W4570" s="131"/>
      <c r="X4570" s="131"/>
    </row>
    <row r="4571" spans="9:24" x14ac:dyDescent="0.25">
      <c r="I4571" s="131"/>
      <c r="J4571" s="131"/>
      <c r="K4571" s="131"/>
      <c r="L4571" s="131"/>
      <c r="U4571" s="131"/>
      <c r="V4571" s="131"/>
      <c r="W4571" s="131"/>
      <c r="X4571" s="131"/>
    </row>
    <row r="4572" spans="9:24" x14ac:dyDescent="0.25">
      <c r="I4572" s="131"/>
      <c r="J4572" s="131"/>
      <c r="K4572" s="131"/>
      <c r="L4572" s="131"/>
      <c r="U4572" s="131"/>
      <c r="V4572" s="131"/>
      <c r="W4572" s="131"/>
      <c r="X4572" s="131"/>
    </row>
    <row r="4573" spans="9:24" x14ac:dyDescent="0.25">
      <c r="I4573" s="131"/>
      <c r="J4573" s="131"/>
      <c r="K4573" s="131"/>
      <c r="L4573" s="131"/>
      <c r="U4573" s="131"/>
      <c r="V4573" s="131"/>
      <c r="W4573" s="131"/>
      <c r="X4573" s="131"/>
    </row>
    <row r="4574" spans="9:24" x14ac:dyDescent="0.25">
      <c r="I4574" s="131"/>
      <c r="J4574" s="131"/>
      <c r="K4574" s="131"/>
      <c r="L4574" s="131"/>
      <c r="U4574" s="131"/>
      <c r="V4574" s="131"/>
      <c r="W4574" s="131"/>
      <c r="X4574" s="131"/>
    </row>
    <row r="4575" spans="9:24" x14ac:dyDescent="0.25">
      <c r="I4575" s="131"/>
      <c r="J4575" s="131"/>
      <c r="K4575" s="131"/>
      <c r="L4575" s="131"/>
      <c r="U4575" s="131"/>
      <c r="V4575" s="131"/>
      <c r="W4575" s="131"/>
      <c r="X4575" s="131"/>
    </row>
    <row r="4576" spans="9:24" x14ac:dyDescent="0.25">
      <c r="I4576" s="131"/>
      <c r="J4576" s="131"/>
      <c r="K4576" s="131"/>
      <c r="L4576" s="131"/>
      <c r="U4576" s="131"/>
      <c r="V4576" s="131"/>
      <c r="W4576" s="131"/>
      <c r="X4576" s="131"/>
    </row>
    <row r="4577" spans="9:24" x14ac:dyDescent="0.25">
      <c r="I4577" s="131"/>
      <c r="J4577" s="131"/>
      <c r="K4577" s="131"/>
      <c r="L4577" s="131"/>
      <c r="U4577" s="131"/>
      <c r="V4577" s="131"/>
      <c r="W4577" s="131"/>
      <c r="X4577" s="131"/>
    </row>
    <row r="4578" spans="9:24" x14ac:dyDescent="0.25">
      <c r="I4578" s="131"/>
      <c r="J4578" s="131"/>
      <c r="K4578" s="131"/>
      <c r="L4578" s="131"/>
      <c r="U4578" s="131"/>
      <c r="V4578" s="131"/>
      <c r="W4578" s="131"/>
      <c r="X4578" s="131"/>
    </row>
    <row r="4579" spans="9:24" x14ac:dyDescent="0.25">
      <c r="I4579" s="131"/>
      <c r="J4579" s="131"/>
      <c r="K4579" s="131"/>
      <c r="L4579" s="131"/>
      <c r="U4579" s="131"/>
      <c r="V4579" s="131"/>
      <c r="W4579" s="131"/>
      <c r="X4579" s="131"/>
    </row>
    <row r="4580" spans="9:24" x14ac:dyDescent="0.25">
      <c r="I4580" s="131"/>
      <c r="J4580" s="131"/>
      <c r="K4580" s="131"/>
      <c r="L4580" s="131"/>
      <c r="U4580" s="131"/>
      <c r="V4580" s="131"/>
      <c r="W4580" s="131"/>
      <c r="X4580" s="131"/>
    </row>
    <row r="4581" spans="9:24" x14ac:dyDescent="0.25">
      <c r="I4581" s="131"/>
      <c r="J4581" s="131"/>
      <c r="K4581" s="131"/>
      <c r="L4581" s="131"/>
      <c r="U4581" s="131"/>
      <c r="V4581" s="131"/>
      <c r="W4581" s="131"/>
      <c r="X4581" s="131"/>
    </row>
    <row r="4582" spans="9:24" x14ac:dyDescent="0.25">
      <c r="I4582" s="131"/>
      <c r="J4582" s="131"/>
      <c r="K4582" s="131"/>
      <c r="L4582" s="131"/>
      <c r="U4582" s="131"/>
      <c r="V4582" s="131"/>
      <c r="W4582" s="131"/>
      <c r="X4582" s="131"/>
    </row>
    <row r="4583" spans="9:24" x14ac:dyDescent="0.25">
      <c r="I4583" s="131"/>
      <c r="J4583" s="131"/>
      <c r="K4583" s="131"/>
      <c r="L4583" s="131"/>
      <c r="U4583" s="131"/>
      <c r="V4583" s="131"/>
      <c r="W4583" s="131"/>
      <c r="X4583" s="131"/>
    </row>
    <row r="4584" spans="9:24" x14ac:dyDescent="0.25">
      <c r="I4584" s="131"/>
      <c r="J4584" s="131"/>
      <c r="K4584" s="131"/>
      <c r="L4584" s="131"/>
      <c r="U4584" s="131"/>
      <c r="V4584" s="131"/>
      <c r="W4584" s="131"/>
      <c r="X4584" s="131"/>
    </row>
    <row r="4585" spans="9:24" x14ac:dyDescent="0.25">
      <c r="I4585" s="131"/>
      <c r="J4585" s="131"/>
      <c r="K4585" s="131"/>
      <c r="L4585" s="131"/>
      <c r="U4585" s="131"/>
      <c r="V4585" s="131"/>
      <c r="W4585" s="131"/>
      <c r="X4585" s="131"/>
    </row>
    <row r="4586" spans="9:24" x14ac:dyDescent="0.25">
      <c r="I4586" s="131"/>
      <c r="J4586" s="131"/>
      <c r="K4586" s="131"/>
      <c r="L4586" s="131"/>
      <c r="U4586" s="131"/>
      <c r="V4586" s="131"/>
      <c r="W4586" s="131"/>
      <c r="X4586" s="131"/>
    </row>
    <row r="4587" spans="9:24" x14ac:dyDescent="0.25">
      <c r="I4587" s="131"/>
      <c r="J4587" s="131"/>
      <c r="K4587" s="131"/>
      <c r="L4587" s="131"/>
      <c r="U4587" s="131"/>
      <c r="V4587" s="131"/>
      <c r="W4587" s="131"/>
      <c r="X4587" s="131"/>
    </row>
    <row r="4588" spans="9:24" x14ac:dyDescent="0.25">
      <c r="I4588" s="131"/>
      <c r="J4588" s="131"/>
      <c r="K4588" s="131"/>
      <c r="L4588" s="131"/>
      <c r="U4588" s="131"/>
      <c r="V4588" s="131"/>
      <c r="W4588" s="131"/>
      <c r="X4588" s="131"/>
    </row>
    <row r="4589" spans="9:24" x14ac:dyDescent="0.25">
      <c r="I4589" s="131"/>
      <c r="J4589" s="131"/>
      <c r="K4589" s="131"/>
      <c r="L4589" s="131"/>
      <c r="U4589" s="131"/>
      <c r="V4589" s="131"/>
      <c r="W4589" s="131"/>
      <c r="X4589" s="131"/>
    </row>
    <row r="4590" spans="9:24" x14ac:dyDescent="0.25">
      <c r="I4590" s="131"/>
      <c r="J4590" s="131"/>
      <c r="K4590" s="131"/>
      <c r="L4590" s="131"/>
      <c r="U4590" s="131"/>
      <c r="V4590" s="131"/>
      <c r="W4590" s="131"/>
      <c r="X4590" s="131"/>
    </row>
    <row r="4591" spans="9:24" x14ac:dyDescent="0.25">
      <c r="I4591" s="131"/>
      <c r="J4591" s="131"/>
      <c r="K4591" s="131"/>
      <c r="L4591" s="131"/>
      <c r="U4591" s="131"/>
      <c r="V4591" s="131"/>
      <c r="W4591" s="131"/>
      <c r="X4591" s="131"/>
    </row>
    <row r="4592" spans="9:24" x14ac:dyDescent="0.25">
      <c r="I4592" s="131"/>
      <c r="J4592" s="131"/>
      <c r="K4592" s="131"/>
      <c r="L4592" s="131"/>
      <c r="U4592" s="131"/>
      <c r="V4592" s="131"/>
      <c r="W4592" s="131"/>
      <c r="X4592" s="131"/>
    </row>
    <row r="4593" spans="9:24" x14ac:dyDescent="0.25">
      <c r="I4593" s="131"/>
      <c r="J4593" s="131"/>
      <c r="K4593" s="131"/>
      <c r="L4593" s="131"/>
      <c r="U4593" s="131"/>
      <c r="V4593" s="131"/>
      <c r="W4593" s="131"/>
      <c r="X4593" s="131"/>
    </row>
    <row r="4594" spans="9:24" x14ac:dyDescent="0.25">
      <c r="I4594" s="131"/>
      <c r="J4594" s="131"/>
      <c r="K4594" s="131"/>
      <c r="L4594" s="131"/>
      <c r="U4594" s="131"/>
      <c r="V4594" s="131"/>
      <c r="W4594" s="131"/>
      <c r="X4594" s="131"/>
    </row>
    <row r="4595" spans="9:24" x14ac:dyDescent="0.25">
      <c r="I4595" s="131"/>
      <c r="J4595" s="131"/>
      <c r="K4595" s="131"/>
      <c r="L4595" s="131"/>
      <c r="U4595" s="131"/>
      <c r="V4595" s="131"/>
      <c r="W4595" s="131"/>
      <c r="X4595" s="131"/>
    </row>
    <row r="4596" spans="9:24" x14ac:dyDescent="0.25">
      <c r="I4596" s="131"/>
      <c r="J4596" s="131"/>
      <c r="K4596" s="131"/>
      <c r="L4596" s="131"/>
      <c r="U4596" s="131"/>
      <c r="V4596" s="131"/>
      <c r="W4596" s="131"/>
      <c r="X4596" s="131"/>
    </row>
    <row r="4597" spans="9:24" x14ac:dyDescent="0.25">
      <c r="I4597" s="131"/>
      <c r="J4597" s="131"/>
      <c r="K4597" s="131"/>
      <c r="L4597" s="131"/>
      <c r="U4597" s="131"/>
      <c r="V4597" s="131"/>
      <c r="W4597" s="131"/>
      <c r="X4597" s="131"/>
    </row>
    <row r="4598" spans="9:24" x14ac:dyDescent="0.25">
      <c r="I4598" s="131"/>
      <c r="J4598" s="131"/>
      <c r="K4598" s="131"/>
      <c r="L4598" s="131"/>
      <c r="U4598" s="131"/>
      <c r="V4598" s="131"/>
      <c r="W4598" s="131"/>
      <c r="X4598" s="131"/>
    </row>
    <row r="4599" spans="9:24" x14ac:dyDescent="0.25">
      <c r="I4599" s="131"/>
      <c r="J4599" s="131"/>
      <c r="K4599" s="131"/>
      <c r="L4599" s="131"/>
      <c r="U4599" s="131"/>
      <c r="V4599" s="131"/>
      <c r="W4599" s="131"/>
      <c r="X4599" s="131"/>
    </row>
    <row r="4600" spans="9:24" x14ac:dyDescent="0.25">
      <c r="I4600" s="131"/>
      <c r="J4600" s="131"/>
      <c r="K4600" s="131"/>
      <c r="L4600" s="131"/>
      <c r="U4600" s="131"/>
      <c r="V4600" s="131"/>
      <c r="W4600" s="131"/>
      <c r="X4600" s="131"/>
    </row>
    <row r="4601" spans="9:24" x14ac:dyDescent="0.25">
      <c r="I4601" s="131"/>
      <c r="J4601" s="131"/>
      <c r="K4601" s="131"/>
      <c r="L4601" s="131"/>
      <c r="U4601" s="131"/>
      <c r="V4601" s="131"/>
      <c r="W4601" s="131"/>
      <c r="X4601" s="131"/>
    </row>
    <row r="4602" spans="9:24" x14ac:dyDescent="0.25">
      <c r="I4602" s="131"/>
      <c r="J4602" s="131"/>
      <c r="K4602" s="131"/>
      <c r="L4602" s="131"/>
      <c r="U4602" s="131"/>
      <c r="V4602" s="131"/>
      <c r="W4602" s="131"/>
      <c r="X4602" s="131"/>
    </row>
    <row r="4603" spans="9:24" x14ac:dyDescent="0.25">
      <c r="I4603" s="131"/>
      <c r="J4603" s="131"/>
      <c r="K4603" s="131"/>
      <c r="L4603" s="131"/>
      <c r="U4603" s="131"/>
      <c r="V4603" s="131"/>
      <c r="W4603" s="131"/>
      <c r="X4603" s="131"/>
    </row>
    <row r="4604" spans="9:24" x14ac:dyDescent="0.25">
      <c r="I4604" s="131"/>
      <c r="J4604" s="131"/>
      <c r="K4604" s="131"/>
      <c r="L4604" s="131"/>
      <c r="U4604" s="131"/>
      <c r="V4604" s="131"/>
      <c r="W4604" s="131"/>
      <c r="X4604" s="131"/>
    </row>
    <row r="4605" spans="9:24" x14ac:dyDescent="0.25">
      <c r="I4605" s="131"/>
      <c r="J4605" s="131"/>
      <c r="K4605" s="131"/>
      <c r="L4605" s="131"/>
      <c r="U4605" s="131"/>
      <c r="V4605" s="131"/>
      <c r="W4605" s="131"/>
      <c r="X4605" s="131"/>
    </row>
    <row r="4606" spans="9:24" x14ac:dyDescent="0.25">
      <c r="I4606" s="131"/>
      <c r="J4606" s="131"/>
      <c r="K4606" s="131"/>
      <c r="L4606" s="131"/>
      <c r="U4606" s="131"/>
      <c r="V4606" s="131"/>
      <c r="W4606" s="131"/>
      <c r="X4606" s="131"/>
    </row>
    <row r="4607" spans="9:24" x14ac:dyDescent="0.25">
      <c r="I4607" s="131"/>
      <c r="J4607" s="131"/>
      <c r="K4607" s="131"/>
      <c r="L4607" s="131"/>
      <c r="U4607" s="131"/>
      <c r="V4607" s="131"/>
      <c r="W4607" s="131"/>
      <c r="X4607" s="131"/>
    </row>
    <row r="4608" spans="9:24" x14ac:dyDescent="0.25">
      <c r="I4608" s="131"/>
      <c r="J4608" s="131"/>
      <c r="K4608" s="131"/>
      <c r="L4608" s="131"/>
      <c r="U4608" s="131"/>
      <c r="V4608" s="131"/>
      <c r="W4608" s="131"/>
      <c r="X4608" s="131"/>
    </row>
    <row r="4609" spans="9:24" x14ac:dyDescent="0.25">
      <c r="I4609" s="131"/>
      <c r="J4609" s="131"/>
      <c r="K4609" s="131"/>
      <c r="L4609" s="131"/>
      <c r="U4609" s="131"/>
      <c r="V4609" s="131"/>
      <c r="W4609" s="131"/>
      <c r="X4609" s="131"/>
    </row>
    <row r="4610" spans="9:24" x14ac:dyDescent="0.25">
      <c r="I4610" s="131"/>
      <c r="J4610" s="131"/>
      <c r="K4610" s="131"/>
      <c r="L4610" s="131"/>
      <c r="U4610" s="131"/>
      <c r="V4610" s="131"/>
      <c r="W4610" s="131"/>
      <c r="X4610" s="131"/>
    </row>
    <row r="4611" spans="9:24" x14ac:dyDescent="0.25">
      <c r="I4611" s="131"/>
      <c r="J4611" s="131"/>
      <c r="K4611" s="131"/>
      <c r="L4611" s="131"/>
      <c r="U4611" s="131"/>
      <c r="V4611" s="131"/>
      <c r="W4611" s="131"/>
      <c r="X4611" s="131"/>
    </row>
    <row r="4612" spans="9:24" x14ac:dyDescent="0.25">
      <c r="I4612" s="131"/>
      <c r="J4612" s="131"/>
      <c r="K4612" s="131"/>
      <c r="L4612" s="131"/>
      <c r="U4612" s="131"/>
      <c r="V4612" s="131"/>
      <c r="W4612" s="131"/>
      <c r="X4612" s="131"/>
    </row>
    <row r="4613" spans="9:24" x14ac:dyDescent="0.25">
      <c r="I4613" s="131"/>
      <c r="J4613" s="131"/>
      <c r="K4613" s="131"/>
      <c r="L4613" s="131"/>
      <c r="U4613" s="131"/>
      <c r="V4613" s="131"/>
      <c r="W4613" s="131"/>
      <c r="X4613" s="131"/>
    </row>
    <row r="4614" spans="9:24" x14ac:dyDescent="0.25">
      <c r="I4614" s="131"/>
      <c r="J4614" s="131"/>
      <c r="K4614" s="131"/>
      <c r="L4614" s="131"/>
      <c r="U4614" s="131"/>
      <c r="V4614" s="131"/>
      <c r="W4614" s="131"/>
      <c r="X4614" s="131"/>
    </row>
    <row r="4615" spans="9:24" x14ac:dyDescent="0.25">
      <c r="I4615" s="131"/>
      <c r="J4615" s="131"/>
      <c r="K4615" s="131"/>
      <c r="L4615" s="131"/>
      <c r="U4615" s="131"/>
      <c r="V4615" s="131"/>
      <c r="W4615" s="131"/>
      <c r="X4615" s="131"/>
    </row>
    <row r="4616" spans="9:24" x14ac:dyDescent="0.25">
      <c r="I4616" s="131"/>
      <c r="J4616" s="131"/>
      <c r="K4616" s="131"/>
      <c r="L4616" s="131"/>
      <c r="U4616" s="131"/>
      <c r="V4616" s="131"/>
      <c r="W4616" s="131"/>
      <c r="X4616" s="131"/>
    </row>
    <row r="4617" spans="9:24" x14ac:dyDescent="0.25">
      <c r="I4617" s="131"/>
      <c r="J4617" s="131"/>
      <c r="K4617" s="131"/>
      <c r="L4617" s="131"/>
      <c r="U4617" s="131"/>
      <c r="V4617" s="131"/>
      <c r="W4617" s="131"/>
      <c r="X4617" s="131"/>
    </row>
    <row r="4618" spans="9:24" x14ac:dyDescent="0.25">
      <c r="I4618" s="131"/>
      <c r="J4618" s="131"/>
      <c r="K4618" s="131"/>
      <c r="L4618" s="131"/>
      <c r="U4618" s="131"/>
      <c r="V4618" s="131"/>
      <c r="W4618" s="131"/>
      <c r="X4618" s="131"/>
    </row>
    <row r="4619" spans="9:24" x14ac:dyDescent="0.25">
      <c r="I4619" s="131"/>
      <c r="J4619" s="131"/>
      <c r="K4619" s="131"/>
      <c r="L4619" s="131"/>
      <c r="U4619" s="131"/>
      <c r="V4619" s="131"/>
      <c r="W4619" s="131"/>
      <c r="X4619" s="131"/>
    </row>
    <row r="4620" spans="9:24" x14ac:dyDescent="0.25">
      <c r="I4620" s="131"/>
      <c r="J4620" s="131"/>
      <c r="K4620" s="131"/>
      <c r="L4620" s="131"/>
      <c r="U4620" s="131"/>
      <c r="V4620" s="131"/>
      <c r="W4620" s="131"/>
      <c r="X4620" s="131"/>
    </row>
    <row r="4621" spans="9:24" x14ac:dyDescent="0.25">
      <c r="I4621" s="131"/>
      <c r="J4621" s="131"/>
      <c r="K4621" s="131"/>
      <c r="L4621" s="131"/>
      <c r="U4621" s="131"/>
      <c r="V4621" s="131"/>
      <c r="W4621" s="131"/>
      <c r="X4621" s="131"/>
    </row>
    <row r="4622" spans="9:24" x14ac:dyDescent="0.25">
      <c r="I4622" s="131"/>
      <c r="J4622" s="131"/>
      <c r="K4622" s="131"/>
      <c r="L4622" s="131"/>
      <c r="U4622" s="131"/>
      <c r="V4622" s="131"/>
      <c r="W4622" s="131"/>
      <c r="X4622" s="131"/>
    </row>
    <row r="4623" spans="9:24" x14ac:dyDescent="0.25">
      <c r="I4623" s="131"/>
      <c r="J4623" s="131"/>
      <c r="K4623" s="131"/>
      <c r="L4623" s="131"/>
      <c r="U4623" s="131"/>
      <c r="V4623" s="131"/>
      <c r="W4623" s="131"/>
      <c r="X4623" s="131"/>
    </row>
    <row r="4624" spans="9:24" x14ac:dyDescent="0.25">
      <c r="I4624" s="131"/>
      <c r="J4624" s="131"/>
      <c r="K4624" s="131"/>
      <c r="L4624" s="131"/>
      <c r="U4624" s="131"/>
      <c r="V4624" s="131"/>
      <c r="W4624" s="131"/>
      <c r="X4624" s="131"/>
    </row>
    <row r="4625" spans="9:24" x14ac:dyDescent="0.25">
      <c r="I4625" s="131"/>
      <c r="J4625" s="131"/>
      <c r="K4625" s="131"/>
      <c r="L4625" s="131"/>
      <c r="U4625" s="131"/>
      <c r="V4625" s="131"/>
      <c r="W4625" s="131"/>
      <c r="X4625" s="131"/>
    </row>
    <row r="4626" spans="9:24" x14ac:dyDescent="0.25">
      <c r="I4626" s="131"/>
      <c r="J4626" s="131"/>
      <c r="K4626" s="131"/>
      <c r="L4626" s="131"/>
      <c r="U4626" s="131"/>
      <c r="V4626" s="131"/>
      <c r="W4626" s="131"/>
      <c r="X4626" s="131"/>
    </row>
    <row r="4627" spans="9:24" x14ac:dyDescent="0.25">
      <c r="I4627" s="131"/>
      <c r="J4627" s="131"/>
      <c r="K4627" s="131"/>
      <c r="L4627" s="131"/>
      <c r="U4627" s="131"/>
      <c r="V4627" s="131"/>
      <c r="W4627" s="131"/>
      <c r="X4627" s="131"/>
    </row>
    <row r="4628" spans="9:24" x14ac:dyDescent="0.25">
      <c r="I4628" s="131"/>
      <c r="J4628" s="131"/>
      <c r="K4628" s="131"/>
      <c r="L4628" s="131"/>
      <c r="U4628" s="131"/>
      <c r="V4628" s="131"/>
      <c r="W4628" s="131"/>
      <c r="X4628" s="131"/>
    </row>
    <row r="4629" spans="9:24" x14ac:dyDescent="0.25">
      <c r="I4629" s="131"/>
      <c r="J4629" s="131"/>
      <c r="K4629" s="131"/>
      <c r="L4629" s="131"/>
      <c r="U4629" s="131"/>
      <c r="V4629" s="131"/>
      <c r="W4629" s="131"/>
      <c r="X4629" s="131"/>
    </row>
    <row r="4630" spans="9:24" x14ac:dyDescent="0.25">
      <c r="I4630" s="131"/>
      <c r="J4630" s="131"/>
      <c r="K4630" s="131"/>
      <c r="L4630" s="131"/>
      <c r="U4630" s="131"/>
      <c r="V4630" s="131"/>
      <c r="W4630" s="131"/>
      <c r="X4630" s="131"/>
    </row>
    <row r="4631" spans="9:24" x14ac:dyDescent="0.25">
      <c r="I4631" s="131"/>
      <c r="J4631" s="131"/>
      <c r="K4631" s="131"/>
      <c r="L4631" s="131"/>
      <c r="U4631" s="131"/>
      <c r="V4631" s="131"/>
      <c r="W4631" s="131"/>
      <c r="X4631" s="131"/>
    </row>
    <row r="4632" spans="9:24" x14ac:dyDescent="0.25">
      <c r="I4632" s="131"/>
      <c r="J4632" s="131"/>
      <c r="K4632" s="131"/>
      <c r="L4632" s="131"/>
      <c r="U4632" s="131"/>
      <c r="V4632" s="131"/>
      <c r="W4632" s="131"/>
      <c r="X4632" s="131"/>
    </row>
    <row r="4633" spans="9:24" x14ac:dyDescent="0.25">
      <c r="I4633" s="131"/>
      <c r="J4633" s="131"/>
      <c r="K4633" s="131"/>
      <c r="L4633" s="131"/>
      <c r="U4633" s="131"/>
      <c r="V4633" s="131"/>
      <c r="W4633" s="131"/>
      <c r="X4633" s="131"/>
    </row>
    <row r="4634" spans="9:24" x14ac:dyDescent="0.25">
      <c r="I4634" s="131"/>
      <c r="J4634" s="131"/>
      <c r="K4634" s="131"/>
      <c r="L4634" s="131"/>
      <c r="U4634" s="131"/>
      <c r="V4634" s="131"/>
      <c r="W4634" s="131"/>
      <c r="X4634" s="131"/>
    </row>
    <row r="4635" spans="9:24" x14ac:dyDescent="0.25">
      <c r="I4635" s="131"/>
      <c r="J4635" s="131"/>
      <c r="K4635" s="131"/>
      <c r="L4635" s="131"/>
      <c r="U4635" s="131"/>
      <c r="V4635" s="131"/>
      <c r="W4635" s="131"/>
      <c r="X4635" s="131"/>
    </row>
    <row r="4636" spans="9:24" x14ac:dyDescent="0.25">
      <c r="I4636" s="131"/>
      <c r="J4636" s="131"/>
      <c r="K4636" s="131"/>
      <c r="L4636" s="131"/>
      <c r="U4636" s="131"/>
      <c r="V4636" s="131"/>
      <c r="W4636" s="131"/>
      <c r="X4636" s="131"/>
    </row>
    <row r="4637" spans="9:24" x14ac:dyDescent="0.25">
      <c r="I4637" s="131"/>
      <c r="J4637" s="131"/>
      <c r="K4637" s="131"/>
      <c r="L4637" s="131"/>
      <c r="U4637" s="131"/>
      <c r="V4637" s="131"/>
      <c r="W4637" s="131"/>
      <c r="X4637" s="131"/>
    </row>
    <row r="4638" spans="9:24" x14ac:dyDescent="0.25">
      <c r="I4638" s="131"/>
      <c r="J4638" s="131"/>
      <c r="K4638" s="131"/>
      <c r="L4638" s="131"/>
      <c r="U4638" s="131"/>
      <c r="V4638" s="131"/>
      <c r="W4638" s="131"/>
      <c r="X4638" s="131"/>
    </row>
    <row r="4639" spans="9:24" x14ac:dyDescent="0.25">
      <c r="I4639" s="131"/>
      <c r="J4639" s="131"/>
      <c r="K4639" s="131"/>
      <c r="L4639" s="131"/>
      <c r="U4639" s="131"/>
      <c r="V4639" s="131"/>
      <c r="W4639" s="131"/>
      <c r="X4639" s="131"/>
    </row>
    <row r="4640" spans="9:24" x14ac:dyDescent="0.25">
      <c r="I4640" s="131"/>
      <c r="J4640" s="131"/>
      <c r="K4640" s="131"/>
      <c r="L4640" s="131"/>
      <c r="U4640" s="131"/>
      <c r="V4640" s="131"/>
      <c r="W4640" s="131"/>
      <c r="X4640" s="131"/>
    </row>
    <row r="4641" spans="9:24" x14ac:dyDescent="0.25">
      <c r="I4641" s="131"/>
      <c r="J4641" s="131"/>
      <c r="K4641" s="131"/>
      <c r="L4641" s="131"/>
      <c r="U4641" s="131"/>
      <c r="V4641" s="131"/>
      <c r="W4641" s="131"/>
      <c r="X4641" s="131"/>
    </row>
    <row r="4642" spans="9:24" x14ac:dyDescent="0.25">
      <c r="I4642" s="131"/>
      <c r="J4642" s="131"/>
      <c r="K4642" s="131"/>
      <c r="L4642" s="131"/>
      <c r="U4642" s="131"/>
      <c r="V4642" s="131"/>
      <c r="W4642" s="131"/>
      <c r="X4642" s="131"/>
    </row>
    <row r="4643" spans="9:24" x14ac:dyDescent="0.25">
      <c r="I4643" s="131"/>
      <c r="J4643" s="131"/>
      <c r="K4643" s="131"/>
      <c r="L4643" s="131"/>
      <c r="U4643" s="131"/>
      <c r="V4643" s="131"/>
      <c r="W4643" s="131"/>
      <c r="X4643" s="131"/>
    </row>
    <row r="4644" spans="9:24" x14ac:dyDescent="0.25">
      <c r="I4644" s="131"/>
      <c r="J4644" s="131"/>
      <c r="K4644" s="131"/>
      <c r="L4644" s="131"/>
      <c r="U4644" s="131"/>
      <c r="V4644" s="131"/>
      <c r="W4644" s="131"/>
      <c r="X4644" s="131"/>
    </row>
    <row r="4645" spans="9:24" x14ac:dyDescent="0.25">
      <c r="I4645" s="131"/>
      <c r="J4645" s="131"/>
      <c r="K4645" s="131"/>
      <c r="L4645" s="131"/>
      <c r="U4645" s="131"/>
      <c r="V4645" s="131"/>
      <c r="W4645" s="131"/>
      <c r="X4645" s="131"/>
    </row>
    <row r="4646" spans="9:24" x14ac:dyDescent="0.25">
      <c r="I4646" s="131"/>
      <c r="J4646" s="131"/>
      <c r="K4646" s="131"/>
      <c r="L4646" s="131"/>
      <c r="U4646" s="131"/>
      <c r="V4646" s="131"/>
      <c r="W4646" s="131"/>
      <c r="X4646" s="131"/>
    </row>
    <row r="4647" spans="9:24" x14ac:dyDescent="0.25">
      <c r="I4647" s="131"/>
      <c r="J4647" s="131"/>
      <c r="K4647" s="131"/>
      <c r="L4647" s="131"/>
      <c r="U4647" s="131"/>
      <c r="V4647" s="131"/>
      <c r="W4647" s="131"/>
      <c r="X4647" s="131"/>
    </row>
    <row r="4648" spans="9:24" x14ac:dyDescent="0.25">
      <c r="I4648" s="131"/>
      <c r="J4648" s="131"/>
      <c r="K4648" s="131"/>
      <c r="L4648" s="131"/>
      <c r="U4648" s="131"/>
      <c r="V4648" s="131"/>
      <c r="W4648" s="131"/>
      <c r="X4648" s="131"/>
    </row>
    <row r="4649" spans="9:24" x14ac:dyDescent="0.25">
      <c r="I4649" s="131"/>
      <c r="J4649" s="131"/>
      <c r="K4649" s="131"/>
      <c r="L4649" s="131"/>
      <c r="U4649" s="131"/>
      <c r="V4649" s="131"/>
      <c r="W4649" s="131"/>
      <c r="X4649" s="131"/>
    </row>
    <row r="4650" spans="9:24" x14ac:dyDescent="0.25">
      <c r="I4650" s="131"/>
      <c r="J4650" s="131"/>
      <c r="K4650" s="131"/>
      <c r="L4650" s="131"/>
      <c r="U4650" s="131"/>
      <c r="V4650" s="131"/>
      <c r="W4650" s="131"/>
      <c r="X4650" s="131"/>
    </row>
    <row r="4651" spans="9:24" x14ac:dyDescent="0.25">
      <c r="I4651" s="131"/>
      <c r="J4651" s="131"/>
      <c r="K4651" s="131"/>
      <c r="L4651" s="131"/>
      <c r="U4651" s="131"/>
      <c r="V4651" s="131"/>
      <c r="W4651" s="131"/>
      <c r="X4651" s="131"/>
    </row>
    <row r="4652" spans="9:24" x14ac:dyDescent="0.25">
      <c r="I4652" s="131"/>
      <c r="J4652" s="131"/>
      <c r="K4652" s="131"/>
      <c r="L4652" s="131"/>
      <c r="U4652" s="131"/>
      <c r="V4652" s="131"/>
      <c r="W4652" s="131"/>
      <c r="X4652" s="131"/>
    </row>
    <row r="4653" spans="9:24" x14ac:dyDescent="0.25">
      <c r="I4653" s="131"/>
      <c r="J4653" s="131"/>
      <c r="K4653" s="131"/>
      <c r="L4653" s="131"/>
      <c r="U4653" s="131"/>
      <c r="V4653" s="131"/>
      <c r="W4653" s="131"/>
      <c r="X4653" s="131"/>
    </row>
    <row r="4654" spans="9:24" x14ac:dyDescent="0.25">
      <c r="I4654" s="131"/>
      <c r="J4654" s="131"/>
      <c r="K4654" s="131"/>
      <c r="L4654" s="131"/>
      <c r="U4654" s="131"/>
      <c r="V4654" s="131"/>
      <c r="W4654" s="131"/>
      <c r="X4654" s="131"/>
    </row>
    <row r="4655" spans="9:24" x14ac:dyDescent="0.25">
      <c r="I4655" s="131"/>
      <c r="J4655" s="131"/>
      <c r="K4655" s="131"/>
      <c r="L4655" s="131"/>
      <c r="U4655" s="131"/>
      <c r="V4655" s="131"/>
      <c r="W4655" s="131"/>
      <c r="X4655" s="131"/>
    </row>
    <row r="4656" spans="9:24" x14ac:dyDescent="0.25">
      <c r="I4656" s="131"/>
      <c r="J4656" s="131"/>
      <c r="K4656" s="131"/>
      <c r="L4656" s="131"/>
      <c r="U4656" s="131"/>
      <c r="V4656" s="131"/>
      <c r="W4656" s="131"/>
      <c r="X4656" s="131"/>
    </row>
    <row r="4657" spans="9:24" x14ac:dyDescent="0.25">
      <c r="I4657" s="131"/>
      <c r="J4657" s="131"/>
      <c r="K4657" s="131"/>
      <c r="L4657" s="131"/>
      <c r="U4657" s="131"/>
      <c r="V4657" s="131"/>
      <c r="W4657" s="131"/>
      <c r="X4657" s="131"/>
    </row>
    <row r="4658" spans="9:24" x14ac:dyDescent="0.25">
      <c r="I4658" s="131"/>
      <c r="J4658" s="131"/>
      <c r="K4658" s="131"/>
      <c r="L4658" s="131"/>
      <c r="U4658" s="131"/>
      <c r="V4658" s="131"/>
      <c r="W4658" s="131"/>
      <c r="X4658" s="131"/>
    </row>
    <row r="4659" spans="9:24" x14ac:dyDescent="0.25">
      <c r="I4659" s="131"/>
      <c r="J4659" s="131"/>
      <c r="K4659" s="131"/>
      <c r="L4659" s="131"/>
      <c r="U4659" s="131"/>
      <c r="V4659" s="131"/>
      <c r="W4659" s="131"/>
      <c r="X4659" s="131"/>
    </row>
    <row r="4660" spans="9:24" x14ac:dyDescent="0.25">
      <c r="I4660" s="131"/>
      <c r="J4660" s="131"/>
      <c r="K4660" s="131"/>
      <c r="L4660" s="131"/>
      <c r="U4660" s="131"/>
      <c r="V4660" s="131"/>
      <c r="W4660" s="131"/>
      <c r="X4660" s="131"/>
    </row>
    <row r="4661" spans="9:24" x14ac:dyDescent="0.25">
      <c r="I4661" s="131"/>
      <c r="J4661" s="131"/>
      <c r="K4661" s="131"/>
      <c r="L4661" s="131"/>
      <c r="U4661" s="131"/>
      <c r="V4661" s="131"/>
      <c r="W4661" s="131"/>
      <c r="X4661" s="131"/>
    </row>
    <row r="4662" spans="9:24" x14ac:dyDescent="0.25">
      <c r="I4662" s="131"/>
      <c r="J4662" s="131"/>
      <c r="K4662" s="131"/>
      <c r="L4662" s="131"/>
      <c r="U4662" s="131"/>
      <c r="V4662" s="131"/>
      <c r="W4662" s="131"/>
      <c r="X4662" s="131"/>
    </row>
    <row r="4663" spans="9:24" x14ac:dyDescent="0.25">
      <c r="I4663" s="131"/>
      <c r="J4663" s="131"/>
      <c r="K4663" s="131"/>
      <c r="L4663" s="131"/>
      <c r="U4663" s="131"/>
      <c r="V4663" s="131"/>
      <c r="W4663" s="131"/>
      <c r="X4663" s="131"/>
    </row>
    <row r="4664" spans="9:24" x14ac:dyDescent="0.25">
      <c r="I4664" s="131"/>
      <c r="J4664" s="131"/>
      <c r="K4664" s="131"/>
      <c r="L4664" s="131"/>
      <c r="U4664" s="131"/>
      <c r="V4664" s="131"/>
      <c r="W4664" s="131"/>
      <c r="X4664" s="131"/>
    </row>
    <row r="4665" spans="9:24" x14ac:dyDescent="0.25">
      <c r="I4665" s="131"/>
      <c r="J4665" s="131"/>
      <c r="K4665" s="131"/>
      <c r="L4665" s="131"/>
      <c r="U4665" s="131"/>
      <c r="V4665" s="131"/>
      <c r="W4665" s="131"/>
      <c r="X4665" s="131"/>
    </row>
    <row r="4666" spans="9:24" x14ac:dyDescent="0.25">
      <c r="I4666" s="131"/>
      <c r="J4666" s="131"/>
      <c r="K4666" s="131"/>
      <c r="L4666" s="131"/>
      <c r="U4666" s="131"/>
      <c r="V4666" s="131"/>
      <c r="W4666" s="131"/>
      <c r="X4666" s="131"/>
    </row>
    <row r="4667" spans="9:24" x14ac:dyDescent="0.25">
      <c r="I4667" s="131"/>
      <c r="J4667" s="131"/>
      <c r="K4667" s="131"/>
      <c r="L4667" s="131"/>
      <c r="U4667" s="131"/>
      <c r="V4667" s="131"/>
      <c r="W4667" s="131"/>
      <c r="X4667" s="131"/>
    </row>
    <row r="4668" spans="9:24" x14ac:dyDescent="0.25">
      <c r="I4668" s="131"/>
      <c r="J4668" s="131"/>
      <c r="K4668" s="131"/>
      <c r="L4668" s="131"/>
      <c r="U4668" s="131"/>
      <c r="V4668" s="131"/>
      <c r="W4668" s="131"/>
      <c r="X4668" s="131"/>
    </row>
    <row r="4669" spans="9:24" x14ac:dyDescent="0.25">
      <c r="I4669" s="131"/>
      <c r="J4669" s="131"/>
      <c r="K4669" s="131"/>
      <c r="L4669" s="131"/>
      <c r="U4669" s="131"/>
      <c r="V4669" s="131"/>
      <c r="W4669" s="131"/>
      <c r="X4669" s="131"/>
    </row>
    <row r="4670" spans="9:24" x14ac:dyDescent="0.25">
      <c r="I4670" s="131"/>
      <c r="J4670" s="131"/>
      <c r="K4670" s="131"/>
      <c r="L4670" s="131"/>
      <c r="U4670" s="131"/>
      <c r="V4670" s="131"/>
      <c r="W4670" s="131"/>
      <c r="X4670" s="131"/>
    </row>
    <row r="4671" spans="9:24" x14ac:dyDescent="0.25">
      <c r="I4671" s="131"/>
      <c r="J4671" s="131"/>
      <c r="K4671" s="131"/>
      <c r="L4671" s="131"/>
      <c r="U4671" s="131"/>
      <c r="V4671" s="131"/>
      <c r="W4671" s="131"/>
      <c r="X4671" s="131"/>
    </row>
    <row r="4672" spans="9:24" x14ac:dyDescent="0.25">
      <c r="I4672" s="131"/>
      <c r="J4672" s="131"/>
      <c r="K4672" s="131"/>
      <c r="L4672" s="131"/>
      <c r="U4672" s="131"/>
      <c r="V4672" s="131"/>
      <c r="W4672" s="131"/>
      <c r="X4672" s="131"/>
    </row>
    <row r="4673" spans="9:24" x14ac:dyDescent="0.25">
      <c r="I4673" s="131"/>
      <c r="J4673" s="131"/>
      <c r="K4673" s="131"/>
      <c r="L4673" s="131"/>
      <c r="U4673" s="131"/>
      <c r="V4673" s="131"/>
      <c r="W4673" s="131"/>
      <c r="X4673" s="131"/>
    </row>
    <row r="4674" spans="9:24" x14ac:dyDescent="0.25">
      <c r="I4674" s="131"/>
      <c r="J4674" s="131"/>
      <c r="K4674" s="131"/>
      <c r="L4674" s="131"/>
      <c r="U4674" s="131"/>
      <c r="V4674" s="131"/>
      <c r="W4674" s="131"/>
      <c r="X4674" s="131"/>
    </row>
    <row r="4675" spans="9:24" x14ac:dyDescent="0.25">
      <c r="I4675" s="131"/>
      <c r="J4675" s="131"/>
      <c r="K4675" s="131"/>
      <c r="L4675" s="131"/>
      <c r="U4675" s="131"/>
      <c r="V4675" s="131"/>
      <c r="W4675" s="131"/>
      <c r="X4675" s="131"/>
    </row>
    <row r="4676" spans="9:24" x14ac:dyDescent="0.25">
      <c r="I4676" s="131"/>
      <c r="J4676" s="131"/>
      <c r="K4676" s="131"/>
      <c r="L4676" s="131"/>
      <c r="U4676" s="131"/>
      <c r="V4676" s="131"/>
      <c r="W4676" s="131"/>
      <c r="X4676" s="131"/>
    </row>
    <row r="4677" spans="9:24" x14ac:dyDescent="0.25">
      <c r="I4677" s="131"/>
      <c r="J4677" s="131"/>
      <c r="K4677" s="131"/>
      <c r="L4677" s="131"/>
      <c r="U4677" s="131"/>
      <c r="V4677" s="131"/>
      <c r="W4677" s="131"/>
      <c r="X4677" s="131"/>
    </row>
    <row r="4678" spans="9:24" x14ac:dyDescent="0.25">
      <c r="I4678" s="131"/>
      <c r="J4678" s="131"/>
      <c r="K4678" s="131"/>
      <c r="L4678" s="131"/>
      <c r="U4678" s="131"/>
      <c r="V4678" s="131"/>
      <c r="W4678" s="131"/>
      <c r="X4678" s="131"/>
    </row>
    <row r="4679" spans="9:24" x14ac:dyDescent="0.25">
      <c r="I4679" s="131"/>
      <c r="J4679" s="131"/>
      <c r="K4679" s="131"/>
      <c r="L4679" s="131"/>
      <c r="U4679" s="131"/>
      <c r="V4679" s="131"/>
      <c r="W4679" s="131"/>
      <c r="X4679" s="131"/>
    </row>
    <row r="4680" spans="9:24" x14ac:dyDescent="0.25">
      <c r="I4680" s="131"/>
      <c r="J4680" s="131"/>
      <c r="K4680" s="131"/>
      <c r="L4680" s="131"/>
      <c r="U4680" s="131"/>
      <c r="V4680" s="131"/>
      <c r="W4680" s="131"/>
      <c r="X4680" s="131"/>
    </row>
    <row r="4681" spans="9:24" x14ac:dyDescent="0.25">
      <c r="I4681" s="131"/>
      <c r="J4681" s="131"/>
      <c r="K4681" s="131"/>
      <c r="L4681" s="131"/>
      <c r="U4681" s="131"/>
      <c r="V4681" s="131"/>
      <c r="W4681" s="131"/>
      <c r="X4681" s="131"/>
    </row>
    <row r="4682" spans="9:24" x14ac:dyDescent="0.25">
      <c r="I4682" s="131"/>
      <c r="J4682" s="131"/>
      <c r="K4682" s="131"/>
      <c r="L4682" s="131"/>
      <c r="U4682" s="131"/>
      <c r="V4682" s="131"/>
      <c r="W4682" s="131"/>
      <c r="X4682" s="131"/>
    </row>
    <row r="4683" spans="9:24" x14ac:dyDescent="0.25">
      <c r="I4683" s="131"/>
      <c r="J4683" s="131"/>
      <c r="K4683" s="131"/>
      <c r="L4683" s="131"/>
      <c r="U4683" s="131"/>
      <c r="V4683" s="131"/>
      <c r="W4683" s="131"/>
      <c r="X4683" s="131"/>
    </row>
    <row r="4684" spans="9:24" x14ac:dyDescent="0.25">
      <c r="I4684" s="131"/>
      <c r="J4684" s="131"/>
      <c r="K4684" s="131"/>
      <c r="L4684" s="131"/>
      <c r="U4684" s="131"/>
      <c r="V4684" s="131"/>
      <c r="W4684" s="131"/>
      <c r="X4684" s="131"/>
    </row>
    <row r="4685" spans="9:24" x14ac:dyDescent="0.25">
      <c r="I4685" s="131"/>
      <c r="J4685" s="131"/>
      <c r="K4685" s="131"/>
      <c r="L4685" s="131"/>
      <c r="U4685" s="131"/>
      <c r="V4685" s="131"/>
      <c r="W4685" s="131"/>
      <c r="X4685" s="131"/>
    </row>
    <row r="4686" spans="9:24" x14ac:dyDescent="0.25">
      <c r="I4686" s="131"/>
      <c r="J4686" s="131"/>
      <c r="K4686" s="131"/>
      <c r="L4686" s="131"/>
      <c r="U4686" s="131"/>
      <c r="V4686" s="131"/>
      <c r="W4686" s="131"/>
      <c r="X4686" s="131"/>
    </row>
    <row r="4687" spans="9:24" x14ac:dyDescent="0.25">
      <c r="I4687" s="131"/>
      <c r="J4687" s="131"/>
      <c r="K4687" s="131"/>
      <c r="L4687" s="131"/>
      <c r="U4687" s="131"/>
      <c r="V4687" s="131"/>
      <c r="W4687" s="131"/>
      <c r="X4687" s="131"/>
    </row>
    <row r="4688" spans="9:24" x14ac:dyDescent="0.25">
      <c r="I4688" s="131"/>
      <c r="J4688" s="131"/>
      <c r="K4688" s="131"/>
      <c r="L4688" s="131"/>
      <c r="U4688" s="131"/>
      <c r="V4688" s="131"/>
      <c r="W4688" s="131"/>
      <c r="X4688" s="131"/>
    </row>
    <row r="4689" spans="9:24" x14ac:dyDescent="0.25">
      <c r="I4689" s="131"/>
      <c r="J4689" s="131"/>
      <c r="K4689" s="131"/>
      <c r="L4689" s="131"/>
      <c r="U4689" s="131"/>
      <c r="V4689" s="131"/>
      <c r="W4689" s="131"/>
      <c r="X4689" s="131"/>
    </row>
    <row r="4690" spans="9:24" x14ac:dyDescent="0.25">
      <c r="I4690" s="131"/>
      <c r="J4690" s="131"/>
      <c r="K4690" s="131"/>
      <c r="L4690" s="131"/>
      <c r="U4690" s="131"/>
      <c r="V4690" s="131"/>
      <c r="W4690" s="131"/>
      <c r="X4690" s="131"/>
    </row>
    <row r="4691" spans="9:24" x14ac:dyDescent="0.25">
      <c r="I4691" s="131"/>
      <c r="J4691" s="131"/>
      <c r="K4691" s="131"/>
      <c r="L4691" s="131"/>
      <c r="U4691" s="131"/>
      <c r="V4691" s="131"/>
      <c r="W4691" s="131"/>
      <c r="X4691" s="131"/>
    </row>
    <row r="4692" spans="9:24" x14ac:dyDescent="0.25">
      <c r="I4692" s="131"/>
      <c r="J4692" s="131"/>
      <c r="K4692" s="131"/>
      <c r="L4692" s="131"/>
      <c r="U4692" s="131"/>
      <c r="V4692" s="131"/>
      <c r="W4692" s="131"/>
      <c r="X4692" s="131"/>
    </row>
    <row r="4693" spans="9:24" x14ac:dyDescent="0.25">
      <c r="I4693" s="131"/>
      <c r="J4693" s="131"/>
      <c r="K4693" s="131"/>
      <c r="L4693" s="131"/>
      <c r="U4693" s="131"/>
      <c r="V4693" s="131"/>
      <c r="W4693" s="131"/>
      <c r="X4693" s="131"/>
    </row>
    <row r="4694" spans="9:24" x14ac:dyDescent="0.25">
      <c r="I4694" s="131"/>
      <c r="J4694" s="131"/>
      <c r="K4694" s="131"/>
      <c r="L4694" s="131"/>
      <c r="U4694" s="131"/>
      <c r="V4694" s="131"/>
      <c r="W4694" s="131"/>
      <c r="X4694" s="131"/>
    </row>
    <row r="4695" spans="9:24" x14ac:dyDescent="0.25">
      <c r="I4695" s="131"/>
      <c r="J4695" s="131"/>
      <c r="K4695" s="131"/>
      <c r="L4695" s="131"/>
      <c r="U4695" s="131"/>
      <c r="V4695" s="131"/>
      <c r="W4695" s="131"/>
      <c r="X4695" s="131"/>
    </row>
    <row r="4696" spans="9:24" x14ac:dyDescent="0.25">
      <c r="I4696" s="131"/>
      <c r="J4696" s="131"/>
      <c r="K4696" s="131"/>
      <c r="L4696" s="131"/>
      <c r="U4696" s="131"/>
      <c r="V4696" s="131"/>
      <c r="W4696" s="131"/>
      <c r="X4696" s="131"/>
    </row>
    <row r="4697" spans="9:24" x14ac:dyDescent="0.25">
      <c r="I4697" s="131"/>
      <c r="J4697" s="131"/>
      <c r="K4697" s="131"/>
      <c r="L4697" s="131"/>
      <c r="U4697" s="131"/>
      <c r="V4697" s="131"/>
      <c r="W4697" s="131"/>
      <c r="X4697" s="131"/>
    </row>
    <row r="4698" spans="9:24" x14ac:dyDescent="0.25">
      <c r="I4698" s="131"/>
      <c r="J4698" s="131"/>
      <c r="K4698" s="131"/>
      <c r="L4698" s="131"/>
      <c r="U4698" s="131"/>
      <c r="V4698" s="131"/>
      <c r="W4698" s="131"/>
      <c r="X4698" s="131"/>
    </row>
    <row r="4699" spans="9:24" x14ac:dyDescent="0.25">
      <c r="I4699" s="131"/>
      <c r="J4699" s="131"/>
      <c r="K4699" s="131"/>
      <c r="L4699" s="131"/>
      <c r="U4699" s="131"/>
      <c r="V4699" s="131"/>
      <c r="W4699" s="131"/>
      <c r="X4699" s="131"/>
    </row>
    <row r="4700" spans="9:24" x14ac:dyDescent="0.25">
      <c r="I4700" s="131"/>
      <c r="J4700" s="131"/>
      <c r="K4700" s="131"/>
      <c r="L4700" s="131"/>
      <c r="U4700" s="131"/>
      <c r="V4700" s="131"/>
      <c r="W4700" s="131"/>
      <c r="X4700" s="131"/>
    </row>
    <row r="4701" spans="9:24" x14ac:dyDescent="0.25">
      <c r="I4701" s="131"/>
      <c r="J4701" s="131"/>
      <c r="K4701" s="131"/>
      <c r="L4701" s="131"/>
      <c r="U4701" s="131"/>
      <c r="V4701" s="131"/>
      <c r="W4701" s="131"/>
      <c r="X4701" s="131"/>
    </row>
    <row r="4702" spans="9:24" x14ac:dyDescent="0.25">
      <c r="I4702" s="131"/>
      <c r="J4702" s="131"/>
      <c r="K4702" s="131"/>
      <c r="L4702" s="131"/>
      <c r="U4702" s="131"/>
      <c r="V4702" s="131"/>
      <c r="W4702" s="131"/>
      <c r="X4702" s="131"/>
    </row>
    <row r="4703" spans="9:24" x14ac:dyDescent="0.25">
      <c r="I4703" s="131"/>
      <c r="J4703" s="131"/>
      <c r="K4703" s="131"/>
      <c r="L4703" s="131"/>
      <c r="U4703" s="131"/>
      <c r="V4703" s="131"/>
      <c r="W4703" s="131"/>
      <c r="X4703" s="131"/>
    </row>
    <row r="4704" spans="9:24" x14ac:dyDescent="0.25">
      <c r="I4704" s="131"/>
      <c r="J4704" s="131"/>
      <c r="K4704" s="131"/>
      <c r="L4704" s="131"/>
      <c r="U4704" s="131"/>
      <c r="V4704" s="131"/>
      <c r="W4704" s="131"/>
      <c r="X4704" s="131"/>
    </row>
    <row r="4705" spans="9:24" x14ac:dyDescent="0.25">
      <c r="I4705" s="131"/>
      <c r="J4705" s="131"/>
      <c r="K4705" s="131"/>
      <c r="L4705" s="131"/>
      <c r="U4705" s="131"/>
      <c r="V4705" s="131"/>
      <c r="W4705" s="131"/>
      <c r="X4705" s="131"/>
    </row>
    <row r="4706" spans="9:24" x14ac:dyDescent="0.25">
      <c r="I4706" s="131"/>
      <c r="J4706" s="131"/>
      <c r="K4706" s="131"/>
      <c r="L4706" s="131"/>
      <c r="U4706" s="131"/>
      <c r="V4706" s="131"/>
      <c r="W4706" s="131"/>
      <c r="X4706" s="131"/>
    </row>
    <row r="4707" spans="9:24" x14ac:dyDescent="0.25">
      <c r="I4707" s="131"/>
      <c r="J4707" s="131"/>
      <c r="K4707" s="131"/>
      <c r="L4707" s="131"/>
      <c r="U4707" s="131"/>
      <c r="V4707" s="131"/>
      <c r="W4707" s="131"/>
      <c r="X4707" s="131"/>
    </row>
    <row r="4708" spans="9:24" x14ac:dyDescent="0.25">
      <c r="I4708" s="131"/>
      <c r="J4708" s="131"/>
      <c r="K4708" s="131"/>
      <c r="L4708" s="131"/>
      <c r="U4708" s="131"/>
      <c r="V4708" s="131"/>
      <c r="W4708" s="131"/>
      <c r="X4708" s="131"/>
    </row>
    <row r="4709" spans="9:24" x14ac:dyDescent="0.25">
      <c r="I4709" s="131"/>
      <c r="J4709" s="131"/>
      <c r="K4709" s="131"/>
      <c r="L4709" s="131"/>
      <c r="U4709" s="131"/>
      <c r="V4709" s="131"/>
      <c r="W4709" s="131"/>
      <c r="X4709" s="131"/>
    </row>
    <row r="4710" spans="9:24" x14ac:dyDescent="0.25">
      <c r="I4710" s="131"/>
      <c r="J4710" s="131"/>
      <c r="K4710" s="131"/>
      <c r="L4710" s="131"/>
      <c r="U4710" s="131"/>
      <c r="V4710" s="131"/>
      <c r="W4710" s="131"/>
      <c r="X4710" s="131"/>
    </row>
    <row r="4711" spans="9:24" x14ac:dyDescent="0.25">
      <c r="I4711" s="131"/>
      <c r="J4711" s="131"/>
      <c r="K4711" s="131"/>
      <c r="L4711" s="131"/>
      <c r="U4711" s="131"/>
      <c r="V4711" s="131"/>
      <c r="W4711" s="131"/>
      <c r="X4711" s="131"/>
    </row>
    <row r="4712" spans="9:24" x14ac:dyDescent="0.25">
      <c r="I4712" s="131"/>
      <c r="J4712" s="131"/>
      <c r="K4712" s="131"/>
      <c r="L4712" s="131"/>
      <c r="U4712" s="131"/>
      <c r="V4712" s="131"/>
      <c r="W4712" s="131"/>
      <c r="X4712" s="131"/>
    </row>
    <row r="4713" spans="9:24" x14ac:dyDescent="0.25">
      <c r="I4713" s="131"/>
      <c r="J4713" s="131"/>
      <c r="K4713" s="131"/>
      <c r="L4713" s="131"/>
      <c r="U4713" s="131"/>
      <c r="V4713" s="131"/>
      <c r="W4713" s="131"/>
      <c r="X4713" s="131"/>
    </row>
    <row r="4714" spans="9:24" x14ac:dyDescent="0.25">
      <c r="I4714" s="131"/>
      <c r="J4714" s="131"/>
      <c r="K4714" s="131"/>
      <c r="L4714" s="131"/>
      <c r="U4714" s="131"/>
      <c r="V4714" s="131"/>
      <c r="W4714" s="131"/>
      <c r="X4714" s="131"/>
    </row>
    <row r="4715" spans="9:24" x14ac:dyDescent="0.25">
      <c r="I4715" s="131"/>
      <c r="J4715" s="131"/>
      <c r="K4715" s="131"/>
      <c r="L4715" s="131"/>
      <c r="U4715" s="131"/>
      <c r="V4715" s="131"/>
      <c r="W4715" s="131"/>
      <c r="X4715" s="131"/>
    </row>
    <row r="4716" spans="9:24" x14ac:dyDescent="0.25">
      <c r="I4716" s="131"/>
      <c r="J4716" s="131"/>
      <c r="K4716" s="131"/>
      <c r="L4716" s="131"/>
      <c r="U4716" s="131"/>
      <c r="V4716" s="131"/>
      <c r="W4716" s="131"/>
      <c r="X4716" s="131"/>
    </row>
    <row r="4717" spans="9:24" x14ac:dyDescent="0.25">
      <c r="I4717" s="131"/>
      <c r="J4717" s="131"/>
      <c r="K4717" s="131"/>
      <c r="L4717" s="131"/>
      <c r="U4717" s="131"/>
      <c r="V4717" s="131"/>
      <c r="W4717" s="131"/>
      <c r="X4717" s="131"/>
    </row>
    <row r="4718" spans="9:24" x14ac:dyDescent="0.25">
      <c r="I4718" s="131"/>
      <c r="J4718" s="131"/>
      <c r="K4718" s="131"/>
      <c r="L4718" s="131"/>
      <c r="U4718" s="131"/>
      <c r="V4718" s="131"/>
      <c r="W4718" s="131"/>
      <c r="X4718" s="131"/>
    </row>
    <row r="4719" spans="9:24" x14ac:dyDescent="0.25">
      <c r="I4719" s="131"/>
      <c r="J4719" s="131"/>
      <c r="K4719" s="131"/>
      <c r="L4719" s="131"/>
      <c r="U4719" s="131"/>
      <c r="V4719" s="131"/>
      <c r="W4719" s="131"/>
      <c r="X4719" s="131"/>
    </row>
    <row r="4720" spans="9:24" x14ac:dyDescent="0.25">
      <c r="I4720" s="131"/>
      <c r="J4720" s="131"/>
      <c r="K4720" s="131"/>
      <c r="L4720" s="131"/>
      <c r="U4720" s="131"/>
      <c r="V4720" s="131"/>
      <c r="W4720" s="131"/>
      <c r="X4720" s="131"/>
    </row>
    <row r="4721" spans="9:24" x14ac:dyDescent="0.25">
      <c r="I4721" s="131"/>
      <c r="J4721" s="131"/>
      <c r="K4721" s="131"/>
      <c r="L4721" s="131"/>
      <c r="U4721" s="131"/>
      <c r="V4721" s="131"/>
      <c r="W4721" s="131"/>
      <c r="X4721" s="131"/>
    </row>
    <row r="4722" spans="9:24" x14ac:dyDescent="0.25">
      <c r="I4722" s="131"/>
      <c r="J4722" s="131"/>
      <c r="K4722" s="131"/>
      <c r="L4722" s="131"/>
      <c r="U4722" s="131"/>
      <c r="V4722" s="131"/>
      <c r="W4722" s="131"/>
      <c r="X4722" s="131"/>
    </row>
    <row r="4723" spans="9:24" x14ac:dyDescent="0.25">
      <c r="I4723" s="131"/>
      <c r="J4723" s="131"/>
      <c r="K4723" s="131"/>
      <c r="L4723" s="131"/>
      <c r="U4723" s="131"/>
      <c r="V4723" s="131"/>
      <c r="W4723" s="131"/>
      <c r="X4723" s="131"/>
    </row>
    <row r="4724" spans="9:24" x14ac:dyDescent="0.25">
      <c r="I4724" s="131"/>
      <c r="J4724" s="131"/>
      <c r="K4724" s="131"/>
      <c r="L4724" s="131"/>
      <c r="U4724" s="131"/>
      <c r="V4724" s="131"/>
      <c r="W4724" s="131"/>
      <c r="X4724" s="131"/>
    </row>
    <row r="4725" spans="9:24" x14ac:dyDescent="0.25">
      <c r="I4725" s="131"/>
      <c r="J4725" s="131"/>
      <c r="K4725" s="131"/>
      <c r="L4725" s="131"/>
      <c r="U4725" s="131"/>
      <c r="V4725" s="131"/>
      <c r="W4725" s="131"/>
      <c r="X4725" s="131"/>
    </row>
    <row r="4726" spans="9:24" x14ac:dyDescent="0.25">
      <c r="I4726" s="131"/>
      <c r="J4726" s="131"/>
      <c r="K4726" s="131"/>
      <c r="L4726" s="131"/>
      <c r="U4726" s="131"/>
      <c r="V4726" s="131"/>
      <c r="W4726" s="131"/>
      <c r="X4726" s="131"/>
    </row>
    <row r="4727" spans="9:24" x14ac:dyDescent="0.25">
      <c r="I4727" s="131"/>
      <c r="J4727" s="131"/>
      <c r="K4727" s="131"/>
      <c r="L4727" s="131"/>
      <c r="U4727" s="131"/>
      <c r="V4727" s="131"/>
      <c r="W4727" s="131"/>
      <c r="X4727" s="131"/>
    </row>
    <row r="4728" spans="9:24" x14ac:dyDescent="0.25">
      <c r="I4728" s="131"/>
      <c r="J4728" s="131"/>
      <c r="K4728" s="131"/>
      <c r="L4728" s="131"/>
      <c r="U4728" s="131"/>
      <c r="V4728" s="131"/>
      <c r="W4728" s="131"/>
      <c r="X4728" s="131"/>
    </row>
    <row r="4729" spans="9:24" x14ac:dyDescent="0.25">
      <c r="I4729" s="131"/>
      <c r="J4729" s="131"/>
      <c r="K4729" s="131"/>
      <c r="L4729" s="131"/>
      <c r="U4729" s="131"/>
      <c r="V4729" s="131"/>
      <c r="W4729" s="131"/>
      <c r="X4729" s="131"/>
    </row>
    <row r="4730" spans="9:24" x14ac:dyDescent="0.25">
      <c r="I4730" s="131"/>
      <c r="J4730" s="131"/>
      <c r="K4730" s="131"/>
      <c r="L4730" s="131"/>
      <c r="U4730" s="131"/>
      <c r="V4730" s="131"/>
      <c r="W4730" s="131"/>
      <c r="X4730" s="131"/>
    </row>
    <row r="4731" spans="9:24" x14ac:dyDescent="0.25">
      <c r="I4731" s="131"/>
      <c r="J4731" s="131"/>
      <c r="K4731" s="131"/>
      <c r="L4731" s="131"/>
      <c r="U4731" s="131"/>
      <c r="V4731" s="131"/>
      <c r="W4731" s="131"/>
      <c r="X4731" s="131"/>
    </row>
    <row r="4732" spans="9:24" x14ac:dyDescent="0.25">
      <c r="I4732" s="131"/>
      <c r="J4732" s="131"/>
      <c r="K4732" s="131"/>
      <c r="L4732" s="131"/>
      <c r="U4732" s="131"/>
      <c r="V4732" s="131"/>
      <c r="W4732" s="131"/>
      <c r="X4732" s="131"/>
    </row>
    <row r="4733" spans="9:24" x14ac:dyDescent="0.25">
      <c r="I4733" s="131"/>
      <c r="J4733" s="131"/>
      <c r="K4733" s="131"/>
      <c r="L4733" s="131"/>
      <c r="U4733" s="131"/>
      <c r="V4733" s="131"/>
      <c r="W4733" s="131"/>
      <c r="X4733" s="131"/>
    </row>
    <row r="4734" spans="9:24" x14ac:dyDescent="0.25">
      <c r="I4734" s="131"/>
      <c r="J4734" s="131"/>
      <c r="K4734" s="131"/>
      <c r="L4734" s="131"/>
      <c r="U4734" s="131"/>
      <c r="V4734" s="131"/>
      <c r="W4734" s="131"/>
      <c r="X4734" s="131"/>
    </row>
    <row r="4735" spans="9:24" x14ac:dyDescent="0.25">
      <c r="I4735" s="131"/>
      <c r="J4735" s="131"/>
      <c r="K4735" s="131"/>
      <c r="L4735" s="131"/>
      <c r="U4735" s="131"/>
      <c r="V4735" s="131"/>
      <c r="W4735" s="131"/>
      <c r="X4735" s="131"/>
    </row>
    <row r="4736" spans="9:24" x14ac:dyDescent="0.25">
      <c r="I4736" s="131"/>
      <c r="J4736" s="131"/>
      <c r="K4736" s="131"/>
      <c r="L4736" s="131"/>
      <c r="U4736" s="131"/>
      <c r="V4736" s="131"/>
      <c r="W4736" s="131"/>
      <c r="X4736" s="131"/>
    </row>
    <row r="4737" spans="9:24" x14ac:dyDescent="0.25">
      <c r="I4737" s="131"/>
      <c r="J4737" s="131"/>
      <c r="K4737" s="131"/>
      <c r="L4737" s="131"/>
      <c r="U4737" s="131"/>
      <c r="V4737" s="131"/>
      <c r="W4737" s="131"/>
      <c r="X4737" s="131"/>
    </row>
    <row r="4738" spans="9:24" x14ac:dyDescent="0.25">
      <c r="I4738" s="131"/>
      <c r="J4738" s="131"/>
      <c r="K4738" s="131"/>
      <c r="L4738" s="131"/>
      <c r="U4738" s="131"/>
      <c r="V4738" s="131"/>
      <c r="W4738" s="131"/>
      <c r="X4738" s="131"/>
    </row>
    <row r="4739" spans="9:24" x14ac:dyDescent="0.25">
      <c r="I4739" s="131"/>
      <c r="J4739" s="131"/>
      <c r="K4739" s="131"/>
      <c r="L4739" s="131"/>
      <c r="U4739" s="131"/>
      <c r="V4739" s="131"/>
      <c r="W4739" s="131"/>
      <c r="X4739" s="131"/>
    </row>
    <row r="4740" spans="9:24" x14ac:dyDescent="0.25">
      <c r="I4740" s="131"/>
      <c r="J4740" s="131"/>
      <c r="K4740" s="131"/>
      <c r="L4740" s="131"/>
      <c r="U4740" s="131"/>
      <c r="V4740" s="131"/>
      <c r="W4740" s="131"/>
      <c r="X4740" s="131"/>
    </row>
    <row r="4741" spans="9:24" x14ac:dyDescent="0.25">
      <c r="I4741" s="131"/>
      <c r="J4741" s="131"/>
      <c r="K4741" s="131"/>
      <c r="L4741" s="131"/>
      <c r="U4741" s="131"/>
      <c r="V4741" s="131"/>
      <c r="W4741" s="131"/>
      <c r="X4741" s="131"/>
    </row>
    <row r="4742" spans="9:24" x14ac:dyDescent="0.25">
      <c r="I4742" s="131"/>
      <c r="J4742" s="131"/>
      <c r="K4742" s="131"/>
      <c r="L4742" s="131"/>
      <c r="U4742" s="131"/>
      <c r="V4742" s="131"/>
      <c r="W4742" s="131"/>
      <c r="X4742" s="131"/>
    </row>
    <row r="4743" spans="9:24" x14ac:dyDescent="0.25">
      <c r="I4743" s="131"/>
      <c r="J4743" s="131"/>
      <c r="K4743" s="131"/>
      <c r="L4743" s="131"/>
      <c r="U4743" s="131"/>
      <c r="V4743" s="131"/>
      <c r="W4743" s="131"/>
      <c r="X4743" s="131"/>
    </row>
    <row r="4744" spans="9:24" x14ac:dyDescent="0.25">
      <c r="I4744" s="131"/>
      <c r="J4744" s="131"/>
      <c r="K4744" s="131"/>
      <c r="L4744" s="131"/>
      <c r="U4744" s="131"/>
      <c r="V4744" s="131"/>
      <c r="W4744" s="131"/>
      <c r="X4744" s="131"/>
    </row>
    <row r="4745" spans="9:24" x14ac:dyDescent="0.25">
      <c r="I4745" s="131"/>
      <c r="J4745" s="131"/>
      <c r="K4745" s="131"/>
      <c r="L4745" s="131"/>
      <c r="U4745" s="131"/>
      <c r="V4745" s="131"/>
      <c r="W4745" s="131"/>
      <c r="X4745" s="131"/>
    </row>
    <row r="4746" spans="9:24" x14ac:dyDescent="0.25">
      <c r="I4746" s="131"/>
      <c r="J4746" s="131"/>
      <c r="K4746" s="131"/>
      <c r="L4746" s="131"/>
      <c r="U4746" s="131"/>
      <c r="V4746" s="131"/>
      <c r="W4746" s="131"/>
      <c r="X4746" s="131"/>
    </row>
    <row r="4747" spans="9:24" x14ac:dyDescent="0.25">
      <c r="I4747" s="131"/>
      <c r="J4747" s="131"/>
      <c r="K4747" s="131"/>
      <c r="L4747" s="131"/>
      <c r="U4747" s="131"/>
      <c r="V4747" s="131"/>
      <c r="W4747" s="131"/>
      <c r="X4747" s="131"/>
    </row>
    <row r="4748" spans="9:24" x14ac:dyDescent="0.25">
      <c r="I4748" s="131"/>
      <c r="J4748" s="131"/>
      <c r="K4748" s="131"/>
      <c r="L4748" s="131"/>
      <c r="U4748" s="131"/>
      <c r="V4748" s="131"/>
      <c r="W4748" s="131"/>
      <c r="X4748" s="131"/>
    </row>
    <row r="4749" spans="9:24" x14ac:dyDescent="0.25">
      <c r="I4749" s="131"/>
      <c r="J4749" s="131"/>
      <c r="K4749" s="131"/>
      <c r="L4749" s="131"/>
      <c r="U4749" s="131"/>
      <c r="V4749" s="131"/>
      <c r="W4749" s="131"/>
      <c r="X4749" s="131"/>
    </row>
    <row r="4750" spans="9:24" x14ac:dyDescent="0.25">
      <c r="I4750" s="131"/>
      <c r="J4750" s="131"/>
      <c r="K4750" s="131"/>
      <c r="L4750" s="131"/>
      <c r="U4750" s="131"/>
      <c r="V4750" s="131"/>
      <c r="W4750" s="131"/>
      <c r="X4750" s="131"/>
    </row>
    <row r="4751" spans="9:24" x14ac:dyDescent="0.25">
      <c r="I4751" s="131"/>
      <c r="J4751" s="131"/>
      <c r="K4751" s="131"/>
      <c r="L4751" s="131"/>
      <c r="U4751" s="131"/>
      <c r="V4751" s="131"/>
      <c r="W4751" s="131"/>
      <c r="X4751" s="131"/>
    </row>
    <row r="4752" spans="9:24" x14ac:dyDescent="0.25">
      <c r="I4752" s="131"/>
      <c r="J4752" s="131"/>
      <c r="K4752" s="131"/>
      <c r="L4752" s="131"/>
      <c r="U4752" s="131"/>
      <c r="V4752" s="131"/>
      <c r="W4752" s="131"/>
      <c r="X4752" s="131"/>
    </row>
    <row r="4753" spans="9:24" x14ac:dyDescent="0.25">
      <c r="I4753" s="131"/>
      <c r="J4753" s="131"/>
      <c r="K4753" s="131"/>
      <c r="L4753" s="131"/>
      <c r="U4753" s="131"/>
      <c r="V4753" s="131"/>
      <c r="W4753" s="131"/>
      <c r="X4753" s="131"/>
    </row>
    <row r="4754" spans="9:24" x14ac:dyDescent="0.25">
      <c r="I4754" s="131"/>
      <c r="J4754" s="131"/>
      <c r="K4754" s="131"/>
      <c r="L4754" s="131"/>
      <c r="U4754" s="131"/>
      <c r="V4754" s="131"/>
      <c r="W4754" s="131"/>
      <c r="X4754" s="131"/>
    </row>
    <row r="4755" spans="9:24" x14ac:dyDescent="0.25">
      <c r="I4755" s="131"/>
      <c r="J4755" s="131"/>
      <c r="K4755" s="131"/>
      <c r="L4755" s="131"/>
      <c r="U4755" s="131"/>
      <c r="V4755" s="131"/>
      <c r="W4755" s="131"/>
      <c r="X4755" s="131"/>
    </row>
    <row r="4756" spans="9:24" x14ac:dyDescent="0.25">
      <c r="I4756" s="131"/>
      <c r="J4756" s="131"/>
      <c r="K4756" s="131"/>
      <c r="L4756" s="131"/>
      <c r="U4756" s="131"/>
      <c r="V4756" s="131"/>
      <c r="W4756" s="131"/>
      <c r="X4756" s="131"/>
    </row>
    <row r="4757" spans="9:24" x14ac:dyDescent="0.25">
      <c r="I4757" s="131"/>
      <c r="J4757" s="131"/>
      <c r="K4757" s="131"/>
      <c r="L4757" s="131"/>
      <c r="U4757" s="131"/>
      <c r="V4757" s="131"/>
      <c r="W4757" s="131"/>
      <c r="X4757" s="131"/>
    </row>
    <row r="4758" spans="9:24" x14ac:dyDescent="0.25">
      <c r="I4758" s="131"/>
      <c r="J4758" s="131"/>
      <c r="K4758" s="131"/>
      <c r="L4758" s="131"/>
      <c r="U4758" s="131"/>
      <c r="V4758" s="131"/>
      <c r="W4758" s="131"/>
      <c r="X4758" s="131"/>
    </row>
    <row r="4759" spans="9:24" x14ac:dyDescent="0.25">
      <c r="I4759" s="131"/>
      <c r="J4759" s="131"/>
      <c r="K4759" s="131"/>
      <c r="L4759" s="131"/>
      <c r="U4759" s="131"/>
      <c r="V4759" s="131"/>
      <c r="W4759" s="131"/>
      <c r="X4759" s="131"/>
    </row>
    <row r="4760" spans="9:24" x14ac:dyDescent="0.25">
      <c r="I4760" s="131"/>
      <c r="J4760" s="131"/>
      <c r="K4760" s="131"/>
      <c r="L4760" s="131"/>
      <c r="U4760" s="131"/>
      <c r="V4760" s="131"/>
      <c r="W4760" s="131"/>
      <c r="X4760" s="131"/>
    </row>
    <row r="4761" spans="9:24" x14ac:dyDescent="0.25">
      <c r="I4761" s="131"/>
      <c r="J4761" s="131"/>
      <c r="K4761" s="131"/>
      <c r="L4761" s="131"/>
      <c r="U4761" s="131"/>
      <c r="V4761" s="131"/>
      <c r="W4761" s="131"/>
      <c r="X4761" s="131"/>
    </row>
    <row r="4762" spans="9:24" x14ac:dyDescent="0.25">
      <c r="I4762" s="131"/>
      <c r="J4762" s="131"/>
      <c r="K4762" s="131"/>
      <c r="L4762" s="131"/>
      <c r="U4762" s="131"/>
      <c r="V4762" s="131"/>
      <c r="W4762" s="131"/>
      <c r="X4762" s="131"/>
    </row>
    <row r="4763" spans="9:24" x14ac:dyDescent="0.25">
      <c r="I4763" s="131"/>
      <c r="J4763" s="131"/>
      <c r="K4763" s="131"/>
      <c r="L4763" s="131"/>
      <c r="U4763" s="131"/>
      <c r="V4763" s="131"/>
      <c r="W4763" s="131"/>
      <c r="X4763" s="131"/>
    </row>
    <row r="4764" spans="9:24" x14ac:dyDescent="0.25">
      <c r="I4764" s="131"/>
      <c r="J4764" s="131"/>
      <c r="K4764" s="131"/>
      <c r="L4764" s="131"/>
      <c r="U4764" s="131"/>
      <c r="V4764" s="131"/>
      <c r="W4764" s="131"/>
      <c r="X4764" s="131"/>
    </row>
    <row r="4765" spans="9:24" x14ac:dyDescent="0.25">
      <c r="I4765" s="131"/>
      <c r="J4765" s="131"/>
      <c r="K4765" s="131"/>
      <c r="L4765" s="131"/>
      <c r="U4765" s="131"/>
      <c r="V4765" s="131"/>
      <c r="W4765" s="131"/>
      <c r="X4765" s="131"/>
    </row>
    <row r="4766" spans="9:24" x14ac:dyDescent="0.25">
      <c r="I4766" s="131"/>
      <c r="J4766" s="131"/>
      <c r="K4766" s="131"/>
      <c r="L4766" s="131"/>
      <c r="U4766" s="131"/>
      <c r="V4766" s="131"/>
      <c r="W4766" s="131"/>
      <c r="X4766" s="131"/>
    </row>
    <row r="4767" spans="9:24" x14ac:dyDescent="0.25">
      <c r="I4767" s="131"/>
      <c r="J4767" s="131"/>
      <c r="K4767" s="131"/>
      <c r="L4767" s="131"/>
      <c r="U4767" s="131"/>
      <c r="V4767" s="131"/>
      <c r="W4767" s="131"/>
      <c r="X4767" s="131"/>
    </row>
    <row r="4768" spans="9:24" x14ac:dyDescent="0.25">
      <c r="I4768" s="131"/>
      <c r="J4768" s="131"/>
      <c r="K4768" s="131"/>
      <c r="L4768" s="131"/>
      <c r="U4768" s="131"/>
      <c r="V4768" s="131"/>
      <c r="W4768" s="131"/>
      <c r="X4768" s="131"/>
    </row>
    <row r="4769" spans="9:24" x14ac:dyDescent="0.25">
      <c r="I4769" s="131"/>
      <c r="J4769" s="131"/>
      <c r="K4769" s="131"/>
      <c r="L4769" s="131"/>
      <c r="U4769" s="131"/>
      <c r="V4769" s="131"/>
      <c r="W4769" s="131"/>
      <c r="X4769" s="131"/>
    </row>
    <row r="4770" spans="9:24" x14ac:dyDescent="0.25">
      <c r="I4770" s="131"/>
      <c r="J4770" s="131"/>
      <c r="K4770" s="131"/>
      <c r="L4770" s="131"/>
      <c r="U4770" s="131"/>
      <c r="V4770" s="131"/>
      <c r="W4770" s="131"/>
      <c r="X4770" s="131"/>
    </row>
    <row r="4771" spans="9:24" x14ac:dyDescent="0.25">
      <c r="I4771" s="131"/>
      <c r="J4771" s="131"/>
      <c r="K4771" s="131"/>
      <c r="L4771" s="131"/>
      <c r="U4771" s="131"/>
      <c r="V4771" s="131"/>
      <c r="W4771" s="131"/>
      <c r="X4771" s="131"/>
    </row>
    <row r="4772" spans="9:24" x14ac:dyDescent="0.25">
      <c r="I4772" s="131"/>
      <c r="J4772" s="131"/>
      <c r="K4772" s="131"/>
      <c r="L4772" s="131"/>
      <c r="U4772" s="131"/>
      <c r="V4772" s="131"/>
      <c r="W4772" s="131"/>
      <c r="X4772" s="131"/>
    </row>
    <row r="4773" spans="9:24" x14ac:dyDescent="0.25">
      <c r="I4773" s="131"/>
      <c r="J4773" s="131"/>
      <c r="K4773" s="131"/>
      <c r="L4773" s="131"/>
      <c r="U4773" s="131"/>
      <c r="V4773" s="131"/>
      <c r="W4773" s="131"/>
      <c r="X4773" s="131"/>
    </row>
    <row r="4774" spans="9:24" x14ac:dyDescent="0.25">
      <c r="I4774" s="131"/>
      <c r="J4774" s="131"/>
      <c r="K4774" s="131"/>
      <c r="L4774" s="131"/>
      <c r="U4774" s="131"/>
      <c r="V4774" s="131"/>
      <c r="W4774" s="131"/>
      <c r="X4774" s="131"/>
    </row>
    <row r="4775" spans="9:24" x14ac:dyDescent="0.25">
      <c r="I4775" s="131"/>
      <c r="J4775" s="131"/>
      <c r="K4775" s="131"/>
      <c r="L4775" s="131"/>
      <c r="U4775" s="131"/>
      <c r="V4775" s="131"/>
      <c r="W4775" s="131"/>
      <c r="X4775" s="131"/>
    </row>
    <row r="4776" spans="9:24" x14ac:dyDescent="0.25">
      <c r="I4776" s="131"/>
      <c r="J4776" s="131"/>
      <c r="K4776" s="131"/>
      <c r="L4776" s="131"/>
      <c r="U4776" s="131"/>
      <c r="V4776" s="131"/>
      <c r="W4776" s="131"/>
      <c r="X4776" s="131"/>
    </row>
    <row r="4777" spans="9:24" x14ac:dyDescent="0.25">
      <c r="I4777" s="131"/>
      <c r="J4777" s="131"/>
      <c r="K4777" s="131"/>
      <c r="L4777" s="131"/>
      <c r="U4777" s="131"/>
      <c r="V4777" s="131"/>
      <c r="W4777" s="131"/>
      <c r="X4777" s="131"/>
    </row>
    <row r="4778" spans="9:24" x14ac:dyDescent="0.25">
      <c r="I4778" s="131"/>
      <c r="J4778" s="131"/>
      <c r="K4778" s="131"/>
      <c r="L4778" s="131"/>
      <c r="U4778" s="131"/>
      <c r="V4778" s="131"/>
      <c r="W4778" s="131"/>
      <c r="X4778" s="131"/>
    </row>
    <row r="4779" spans="9:24" x14ac:dyDescent="0.25">
      <c r="I4779" s="131"/>
      <c r="J4779" s="131"/>
      <c r="K4779" s="131"/>
      <c r="L4779" s="131"/>
      <c r="U4779" s="131"/>
      <c r="V4779" s="131"/>
      <c r="W4779" s="131"/>
      <c r="X4779" s="131"/>
    </row>
    <row r="4780" spans="9:24" x14ac:dyDescent="0.25">
      <c r="I4780" s="131"/>
      <c r="J4780" s="131"/>
      <c r="K4780" s="131"/>
      <c r="L4780" s="131"/>
      <c r="U4780" s="131"/>
      <c r="V4780" s="131"/>
      <c r="W4780" s="131"/>
      <c r="X4780" s="131"/>
    </row>
    <row r="4781" spans="9:24" x14ac:dyDescent="0.25">
      <c r="I4781" s="131"/>
      <c r="J4781" s="131"/>
      <c r="K4781" s="131"/>
      <c r="L4781" s="131"/>
      <c r="U4781" s="131"/>
      <c r="V4781" s="131"/>
      <c r="W4781" s="131"/>
      <c r="X4781" s="131"/>
    </row>
    <row r="4782" spans="9:24" x14ac:dyDescent="0.25">
      <c r="I4782" s="131"/>
      <c r="J4782" s="131"/>
      <c r="K4782" s="131"/>
      <c r="L4782" s="131"/>
      <c r="U4782" s="131"/>
      <c r="V4782" s="131"/>
      <c r="W4782" s="131"/>
      <c r="X4782" s="131"/>
    </row>
    <row r="4783" spans="9:24" x14ac:dyDescent="0.25">
      <c r="I4783" s="131"/>
      <c r="J4783" s="131"/>
      <c r="K4783" s="131"/>
      <c r="L4783" s="131"/>
      <c r="U4783" s="131"/>
      <c r="V4783" s="131"/>
      <c r="W4783" s="131"/>
      <c r="X4783" s="131"/>
    </row>
    <row r="4784" spans="9:24" x14ac:dyDescent="0.25">
      <c r="I4784" s="131"/>
      <c r="J4784" s="131"/>
      <c r="K4784" s="131"/>
      <c r="L4784" s="131"/>
      <c r="U4784" s="131"/>
      <c r="V4784" s="131"/>
      <c r="W4784" s="131"/>
      <c r="X4784" s="131"/>
    </row>
    <row r="4785" spans="9:24" x14ac:dyDescent="0.25">
      <c r="I4785" s="131"/>
      <c r="J4785" s="131"/>
      <c r="K4785" s="131"/>
      <c r="L4785" s="131"/>
      <c r="U4785" s="131"/>
      <c r="V4785" s="131"/>
      <c r="W4785" s="131"/>
      <c r="X4785" s="131"/>
    </row>
    <row r="4786" spans="9:24" x14ac:dyDescent="0.25">
      <c r="I4786" s="131"/>
      <c r="J4786" s="131"/>
      <c r="K4786" s="131"/>
      <c r="L4786" s="131"/>
      <c r="U4786" s="131"/>
      <c r="V4786" s="131"/>
      <c r="W4786" s="131"/>
      <c r="X4786" s="131"/>
    </row>
    <row r="4787" spans="9:24" x14ac:dyDescent="0.25">
      <c r="I4787" s="131"/>
      <c r="J4787" s="131"/>
      <c r="K4787" s="131"/>
      <c r="L4787" s="131"/>
      <c r="U4787" s="131"/>
      <c r="V4787" s="131"/>
      <c r="W4787" s="131"/>
      <c r="X4787" s="131"/>
    </row>
    <row r="4788" spans="9:24" x14ac:dyDescent="0.25">
      <c r="I4788" s="131"/>
      <c r="J4788" s="131"/>
      <c r="K4788" s="131"/>
      <c r="L4788" s="131"/>
      <c r="U4788" s="131"/>
      <c r="V4788" s="131"/>
      <c r="W4788" s="131"/>
      <c r="X4788" s="131"/>
    </row>
    <row r="4789" spans="9:24" x14ac:dyDescent="0.25">
      <c r="I4789" s="131"/>
      <c r="J4789" s="131"/>
      <c r="K4789" s="131"/>
      <c r="L4789" s="131"/>
      <c r="U4789" s="131"/>
      <c r="V4789" s="131"/>
      <c r="W4789" s="131"/>
      <c r="X4789" s="131"/>
    </row>
    <row r="4790" spans="9:24" x14ac:dyDescent="0.25">
      <c r="I4790" s="131"/>
      <c r="J4790" s="131"/>
      <c r="K4790" s="131"/>
      <c r="L4790" s="131"/>
      <c r="U4790" s="131"/>
      <c r="V4790" s="131"/>
      <c r="W4790" s="131"/>
      <c r="X4790" s="131"/>
    </row>
    <row r="4791" spans="9:24" x14ac:dyDescent="0.25">
      <c r="I4791" s="131"/>
      <c r="J4791" s="131"/>
      <c r="K4791" s="131"/>
      <c r="L4791" s="131"/>
      <c r="U4791" s="131"/>
      <c r="V4791" s="131"/>
      <c r="W4791" s="131"/>
      <c r="X4791" s="131"/>
    </row>
    <row r="4792" spans="9:24" x14ac:dyDescent="0.25">
      <c r="I4792" s="131"/>
      <c r="J4792" s="131"/>
      <c r="K4792" s="131"/>
      <c r="L4792" s="131"/>
      <c r="U4792" s="131"/>
      <c r="V4792" s="131"/>
      <c r="W4792" s="131"/>
      <c r="X4792" s="131"/>
    </row>
    <row r="4793" spans="9:24" x14ac:dyDescent="0.25">
      <c r="I4793" s="131"/>
      <c r="J4793" s="131"/>
      <c r="K4793" s="131"/>
      <c r="L4793" s="131"/>
      <c r="U4793" s="131"/>
      <c r="V4793" s="131"/>
      <c r="W4793" s="131"/>
      <c r="X4793" s="131"/>
    </row>
    <row r="4794" spans="9:24" x14ac:dyDescent="0.25">
      <c r="I4794" s="131"/>
      <c r="J4794" s="131"/>
      <c r="K4794" s="131"/>
      <c r="L4794" s="131"/>
      <c r="U4794" s="131"/>
      <c r="V4794" s="131"/>
      <c r="W4794" s="131"/>
      <c r="X4794" s="131"/>
    </row>
    <row r="4795" spans="9:24" x14ac:dyDescent="0.25">
      <c r="I4795" s="131"/>
      <c r="J4795" s="131"/>
      <c r="K4795" s="131"/>
      <c r="L4795" s="131"/>
      <c r="U4795" s="131"/>
      <c r="V4795" s="131"/>
      <c r="W4795" s="131"/>
      <c r="X4795" s="131"/>
    </row>
    <row r="4796" spans="9:24" x14ac:dyDescent="0.25">
      <c r="I4796" s="131"/>
      <c r="J4796" s="131"/>
      <c r="K4796" s="131"/>
      <c r="L4796" s="131"/>
      <c r="U4796" s="131"/>
      <c r="V4796" s="131"/>
      <c r="W4796" s="131"/>
      <c r="X4796" s="131"/>
    </row>
    <row r="4797" spans="9:24" x14ac:dyDescent="0.25">
      <c r="I4797" s="131"/>
      <c r="J4797" s="131"/>
      <c r="K4797" s="131"/>
      <c r="L4797" s="131"/>
      <c r="U4797" s="131"/>
      <c r="V4797" s="131"/>
      <c r="W4797" s="131"/>
      <c r="X4797" s="131"/>
    </row>
    <row r="4798" spans="9:24" x14ac:dyDescent="0.25">
      <c r="I4798" s="131"/>
      <c r="J4798" s="131"/>
      <c r="K4798" s="131"/>
      <c r="L4798" s="131"/>
      <c r="U4798" s="131"/>
      <c r="V4798" s="131"/>
      <c r="W4798" s="131"/>
      <c r="X4798" s="131"/>
    </row>
    <row r="4799" spans="9:24" x14ac:dyDescent="0.25">
      <c r="I4799" s="131"/>
      <c r="J4799" s="131"/>
      <c r="K4799" s="131"/>
      <c r="L4799" s="131"/>
      <c r="U4799" s="131"/>
      <c r="V4799" s="131"/>
      <c r="W4799" s="131"/>
      <c r="X4799" s="131"/>
    </row>
    <row r="4800" spans="9:24" x14ac:dyDescent="0.25">
      <c r="I4800" s="131"/>
      <c r="J4800" s="131"/>
      <c r="K4800" s="131"/>
      <c r="L4800" s="131"/>
      <c r="U4800" s="131"/>
      <c r="V4800" s="131"/>
      <c r="W4800" s="131"/>
      <c r="X4800" s="131"/>
    </row>
    <row r="4801" spans="9:24" x14ac:dyDescent="0.25">
      <c r="I4801" s="131"/>
      <c r="J4801" s="131"/>
      <c r="K4801" s="131"/>
      <c r="L4801" s="131"/>
      <c r="U4801" s="131"/>
      <c r="V4801" s="131"/>
      <c r="W4801" s="131"/>
      <c r="X4801" s="131"/>
    </row>
    <row r="4802" spans="9:24" x14ac:dyDescent="0.25">
      <c r="I4802" s="131"/>
      <c r="J4802" s="131"/>
      <c r="K4802" s="131"/>
      <c r="L4802" s="131"/>
      <c r="U4802" s="131"/>
      <c r="V4802" s="131"/>
      <c r="W4802" s="131"/>
      <c r="X4802" s="131"/>
    </row>
    <row r="4803" spans="9:24" x14ac:dyDescent="0.25">
      <c r="I4803" s="131"/>
      <c r="J4803" s="131"/>
      <c r="K4803" s="131"/>
      <c r="L4803" s="131"/>
      <c r="U4803" s="131"/>
      <c r="V4803" s="131"/>
      <c r="W4803" s="131"/>
      <c r="X4803" s="131"/>
    </row>
    <row r="4804" spans="9:24" x14ac:dyDescent="0.25">
      <c r="I4804" s="131"/>
      <c r="J4804" s="131"/>
      <c r="K4804" s="131"/>
      <c r="L4804" s="131"/>
      <c r="U4804" s="131"/>
      <c r="V4804" s="131"/>
      <c r="W4804" s="131"/>
      <c r="X4804" s="131"/>
    </row>
    <row r="4805" spans="9:24" x14ac:dyDescent="0.25">
      <c r="I4805" s="131"/>
      <c r="J4805" s="131"/>
      <c r="K4805" s="131"/>
      <c r="L4805" s="131"/>
      <c r="U4805" s="131"/>
      <c r="V4805" s="131"/>
      <c r="W4805" s="131"/>
      <c r="X4805" s="131"/>
    </row>
    <row r="4806" spans="9:24" x14ac:dyDescent="0.25">
      <c r="I4806" s="131"/>
      <c r="J4806" s="131"/>
      <c r="K4806" s="131"/>
      <c r="L4806" s="131"/>
      <c r="U4806" s="131"/>
      <c r="V4806" s="131"/>
      <c r="W4806" s="131"/>
      <c r="X4806" s="131"/>
    </row>
    <row r="4807" spans="9:24" x14ac:dyDescent="0.25">
      <c r="I4807" s="131"/>
      <c r="J4807" s="131"/>
      <c r="K4807" s="131"/>
      <c r="L4807" s="131"/>
      <c r="U4807" s="131"/>
      <c r="V4807" s="131"/>
      <c r="W4807" s="131"/>
      <c r="X4807" s="131"/>
    </row>
    <row r="4808" spans="9:24" x14ac:dyDescent="0.25">
      <c r="I4808" s="131"/>
      <c r="J4808" s="131"/>
      <c r="K4808" s="131"/>
      <c r="L4808" s="131"/>
      <c r="U4808" s="131"/>
      <c r="V4808" s="131"/>
      <c r="W4808" s="131"/>
      <c r="X4808" s="131"/>
    </row>
    <row r="4809" spans="9:24" x14ac:dyDescent="0.25">
      <c r="I4809" s="131"/>
      <c r="J4809" s="131"/>
      <c r="K4809" s="131"/>
      <c r="L4809" s="131"/>
      <c r="U4809" s="131"/>
      <c r="V4809" s="131"/>
      <c r="W4809" s="131"/>
      <c r="X4809" s="131"/>
    </row>
    <row r="4810" spans="9:24" x14ac:dyDescent="0.25">
      <c r="I4810" s="131"/>
      <c r="J4810" s="131"/>
      <c r="K4810" s="131"/>
      <c r="L4810" s="131"/>
      <c r="U4810" s="131"/>
      <c r="V4810" s="131"/>
      <c r="W4810" s="131"/>
      <c r="X4810" s="131"/>
    </row>
    <row r="4811" spans="9:24" x14ac:dyDescent="0.25">
      <c r="I4811" s="131"/>
      <c r="J4811" s="131"/>
      <c r="K4811" s="131"/>
      <c r="L4811" s="131"/>
      <c r="U4811" s="131"/>
      <c r="V4811" s="131"/>
      <c r="W4811" s="131"/>
      <c r="X4811" s="131"/>
    </row>
    <row r="4812" spans="9:24" x14ac:dyDescent="0.25">
      <c r="I4812" s="131"/>
      <c r="J4812" s="131"/>
      <c r="K4812" s="131"/>
      <c r="L4812" s="131"/>
      <c r="U4812" s="131"/>
      <c r="V4812" s="131"/>
      <c r="W4812" s="131"/>
      <c r="X4812" s="131"/>
    </row>
    <row r="4813" spans="9:24" x14ac:dyDescent="0.25">
      <c r="I4813" s="131"/>
      <c r="J4813" s="131"/>
      <c r="K4813" s="131"/>
      <c r="L4813" s="131"/>
      <c r="U4813" s="131"/>
      <c r="V4813" s="131"/>
      <c r="W4813" s="131"/>
      <c r="X4813" s="131"/>
    </row>
    <row r="4814" spans="9:24" x14ac:dyDescent="0.25">
      <c r="I4814" s="131"/>
      <c r="J4814" s="131"/>
      <c r="K4814" s="131"/>
      <c r="L4814" s="131"/>
      <c r="U4814" s="131"/>
      <c r="V4814" s="131"/>
      <c r="W4814" s="131"/>
      <c r="X4814" s="131"/>
    </row>
    <row r="4815" spans="9:24" x14ac:dyDescent="0.25">
      <c r="I4815" s="131"/>
      <c r="J4815" s="131"/>
      <c r="K4815" s="131"/>
      <c r="L4815" s="131"/>
      <c r="U4815" s="131"/>
      <c r="V4815" s="131"/>
      <c r="W4815" s="131"/>
      <c r="X4815" s="131"/>
    </row>
    <row r="4816" spans="9:24" x14ac:dyDescent="0.25">
      <c r="I4816" s="131"/>
      <c r="J4816" s="131"/>
      <c r="K4816" s="131"/>
      <c r="L4816" s="131"/>
      <c r="U4816" s="131"/>
      <c r="V4816" s="131"/>
      <c r="W4816" s="131"/>
      <c r="X4816" s="131"/>
    </row>
    <row r="4817" spans="9:24" x14ac:dyDescent="0.25">
      <c r="I4817" s="131"/>
      <c r="J4817" s="131"/>
      <c r="K4817" s="131"/>
      <c r="L4817" s="131"/>
      <c r="U4817" s="131"/>
      <c r="V4817" s="131"/>
      <c r="W4817" s="131"/>
      <c r="X4817" s="131"/>
    </row>
    <row r="4818" spans="9:24" x14ac:dyDescent="0.25">
      <c r="I4818" s="131"/>
      <c r="J4818" s="131"/>
      <c r="K4818" s="131"/>
      <c r="L4818" s="131"/>
      <c r="U4818" s="131"/>
      <c r="V4818" s="131"/>
      <c r="W4818" s="131"/>
      <c r="X4818" s="131"/>
    </row>
    <row r="4819" spans="9:24" x14ac:dyDescent="0.25">
      <c r="I4819" s="131"/>
      <c r="J4819" s="131"/>
      <c r="K4819" s="131"/>
      <c r="L4819" s="131"/>
      <c r="U4819" s="131"/>
      <c r="V4819" s="131"/>
      <c r="W4819" s="131"/>
      <c r="X4819" s="131"/>
    </row>
    <row r="4820" spans="9:24" x14ac:dyDescent="0.25">
      <c r="I4820" s="131"/>
      <c r="J4820" s="131"/>
      <c r="K4820" s="131"/>
      <c r="L4820" s="131"/>
      <c r="U4820" s="131"/>
      <c r="V4820" s="131"/>
      <c r="W4820" s="131"/>
      <c r="X4820" s="131"/>
    </row>
    <row r="4821" spans="9:24" x14ac:dyDescent="0.25">
      <c r="I4821" s="131"/>
      <c r="J4821" s="131"/>
      <c r="K4821" s="131"/>
      <c r="L4821" s="131"/>
      <c r="U4821" s="131"/>
      <c r="V4821" s="131"/>
      <c r="W4821" s="131"/>
      <c r="X4821" s="131"/>
    </row>
    <row r="4822" spans="9:24" x14ac:dyDescent="0.25">
      <c r="I4822" s="131"/>
      <c r="J4822" s="131"/>
      <c r="K4822" s="131"/>
      <c r="L4822" s="131"/>
      <c r="U4822" s="131"/>
      <c r="V4822" s="131"/>
      <c r="W4822" s="131"/>
      <c r="X4822" s="131"/>
    </row>
    <row r="4823" spans="9:24" x14ac:dyDescent="0.25">
      <c r="I4823" s="131"/>
      <c r="J4823" s="131"/>
      <c r="K4823" s="131"/>
      <c r="L4823" s="131"/>
      <c r="U4823" s="131"/>
      <c r="V4823" s="131"/>
      <c r="W4823" s="131"/>
      <c r="X4823" s="131"/>
    </row>
    <row r="4824" spans="9:24" x14ac:dyDescent="0.25">
      <c r="I4824" s="131"/>
      <c r="J4824" s="131"/>
      <c r="K4824" s="131"/>
      <c r="L4824" s="131"/>
      <c r="U4824" s="131"/>
      <c r="V4824" s="131"/>
      <c r="W4824" s="131"/>
      <c r="X4824" s="131"/>
    </row>
    <row r="4825" spans="9:24" x14ac:dyDescent="0.25">
      <c r="I4825" s="131"/>
      <c r="J4825" s="131"/>
      <c r="K4825" s="131"/>
      <c r="L4825" s="131"/>
      <c r="U4825" s="131"/>
      <c r="V4825" s="131"/>
      <c r="W4825" s="131"/>
      <c r="X4825" s="131"/>
    </row>
    <row r="4826" spans="9:24" x14ac:dyDescent="0.25">
      <c r="I4826" s="131"/>
      <c r="J4826" s="131"/>
      <c r="K4826" s="131"/>
      <c r="L4826" s="131"/>
      <c r="U4826" s="131"/>
      <c r="V4826" s="131"/>
      <c r="W4826" s="131"/>
      <c r="X4826" s="131"/>
    </row>
    <row r="4827" spans="9:24" x14ac:dyDescent="0.25">
      <c r="I4827" s="131"/>
      <c r="J4827" s="131"/>
      <c r="K4827" s="131"/>
      <c r="L4827" s="131"/>
      <c r="U4827" s="131"/>
      <c r="V4827" s="131"/>
      <c r="W4827" s="131"/>
      <c r="X4827" s="131"/>
    </row>
    <row r="4828" spans="9:24" x14ac:dyDescent="0.25">
      <c r="I4828" s="131"/>
      <c r="J4828" s="131"/>
      <c r="K4828" s="131"/>
      <c r="L4828" s="131"/>
      <c r="U4828" s="131"/>
      <c r="V4828" s="131"/>
      <c r="W4828" s="131"/>
      <c r="X4828" s="131"/>
    </row>
    <row r="4829" spans="9:24" x14ac:dyDescent="0.25">
      <c r="I4829" s="131"/>
      <c r="J4829" s="131"/>
      <c r="K4829" s="131"/>
      <c r="L4829" s="131"/>
      <c r="U4829" s="131"/>
      <c r="V4829" s="131"/>
      <c r="W4829" s="131"/>
      <c r="X4829" s="131"/>
    </row>
    <row r="4830" spans="9:24" x14ac:dyDescent="0.25">
      <c r="I4830" s="131"/>
      <c r="J4830" s="131"/>
      <c r="K4830" s="131"/>
      <c r="L4830" s="131"/>
      <c r="U4830" s="131"/>
      <c r="V4830" s="131"/>
      <c r="W4830" s="131"/>
      <c r="X4830" s="131"/>
    </row>
    <row r="4831" spans="9:24" x14ac:dyDescent="0.25">
      <c r="I4831" s="131"/>
      <c r="J4831" s="131"/>
      <c r="K4831" s="131"/>
      <c r="L4831" s="131"/>
      <c r="U4831" s="131"/>
      <c r="V4831" s="131"/>
      <c r="W4831" s="131"/>
      <c r="X4831" s="131"/>
    </row>
    <row r="4832" spans="9:24" x14ac:dyDescent="0.25">
      <c r="I4832" s="131"/>
      <c r="J4832" s="131"/>
      <c r="K4832" s="131"/>
      <c r="L4832" s="131"/>
      <c r="U4832" s="131"/>
      <c r="V4832" s="131"/>
      <c r="W4832" s="131"/>
      <c r="X4832" s="131"/>
    </row>
    <row r="4833" spans="9:24" x14ac:dyDescent="0.25">
      <c r="I4833" s="131"/>
      <c r="J4833" s="131"/>
      <c r="K4833" s="131"/>
      <c r="L4833" s="131"/>
      <c r="U4833" s="131"/>
      <c r="V4833" s="131"/>
      <c r="W4833" s="131"/>
      <c r="X4833" s="131"/>
    </row>
    <row r="4834" spans="9:24" x14ac:dyDescent="0.25">
      <c r="I4834" s="131"/>
      <c r="J4834" s="131"/>
      <c r="K4834" s="131"/>
      <c r="L4834" s="131"/>
      <c r="U4834" s="131"/>
      <c r="V4834" s="131"/>
      <c r="W4834" s="131"/>
      <c r="X4834" s="131"/>
    </row>
    <row r="4835" spans="9:24" x14ac:dyDescent="0.25">
      <c r="I4835" s="131"/>
      <c r="J4835" s="131"/>
      <c r="K4835" s="131"/>
      <c r="L4835" s="131"/>
      <c r="U4835" s="131"/>
      <c r="V4835" s="131"/>
      <c r="W4835" s="131"/>
      <c r="X4835" s="131"/>
    </row>
    <row r="4836" spans="9:24" x14ac:dyDescent="0.25">
      <c r="I4836" s="131"/>
      <c r="J4836" s="131"/>
      <c r="K4836" s="131"/>
      <c r="L4836" s="131"/>
      <c r="U4836" s="131"/>
      <c r="V4836" s="131"/>
      <c r="W4836" s="131"/>
      <c r="X4836" s="131"/>
    </row>
    <row r="4837" spans="9:24" x14ac:dyDescent="0.25">
      <c r="I4837" s="131"/>
      <c r="J4837" s="131"/>
      <c r="K4837" s="131"/>
      <c r="L4837" s="131"/>
      <c r="U4837" s="131"/>
      <c r="V4837" s="131"/>
      <c r="W4837" s="131"/>
      <c r="X4837" s="131"/>
    </row>
    <row r="4838" spans="9:24" x14ac:dyDescent="0.25">
      <c r="I4838" s="131"/>
      <c r="J4838" s="131"/>
      <c r="K4838" s="131"/>
      <c r="L4838" s="131"/>
      <c r="U4838" s="131"/>
      <c r="V4838" s="131"/>
      <c r="W4838" s="131"/>
      <c r="X4838" s="131"/>
    </row>
    <row r="4839" spans="9:24" x14ac:dyDescent="0.25">
      <c r="I4839" s="131"/>
      <c r="J4839" s="131"/>
      <c r="K4839" s="131"/>
      <c r="L4839" s="131"/>
      <c r="U4839" s="131"/>
      <c r="V4839" s="131"/>
      <c r="W4839" s="131"/>
      <c r="X4839" s="131"/>
    </row>
    <row r="4840" spans="9:24" x14ac:dyDescent="0.25">
      <c r="I4840" s="131"/>
      <c r="J4840" s="131"/>
      <c r="K4840" s="131"/>
      <c r="L4840" s="131"/>
      <c r="U4840" s="131"/>
      <c r="V4840" s="131"/>
      <c r="W4840" s="131"/>
      <c r="X4840" s="131"/>
    </row>
    <row r="4841" spans="9:24" x14ac:dyDescent="0.25">
      <c r="I4841" s="131"/>
      <c r="J4841" s="131"/>
      <c r="K4841" s="131"/>
      <c r="L4841" s="131"/>
      <c r="U4841" s="131"/>
      <c r="V4841" s="131"/>
      <c r="W4841" s="131"/>
      <c r="X4841" s="131"/>
    </row>
    <row r="4842" spans="9:24" x14ac:dyDescent="0.25">
      <c r="I4842" s="131"/>
      <c r="J4842" s="131"/>
      <c r="K4842" s="131"/>
      <c r="L4842" s="131"/>
      <c r="U4842" s="131"/>
      <c r="V4842" s="131"/>
      <c r="W4842" s="131"/>
      <c r="X4842" s="131"/>
    </row>
    <row r="4843" spans="9:24" x14ac:dyDescent="0.25">
      <c r="I4843" s="131"/>
      <c r="J4843" s="131"/>
      <c r="K4843" s="131"/>
      <c r="L4843" s="131"/>
      <c r="U4843" s="131"/>
      <c r="V4843" s="131"/>
      <c r="W4843" s="131"/>
      <c r="X4843" s="131"/>
    </row>
    <row r="4844" spans="9:24" x14ac:dyDescent="0.25">
      <c r="I4844" s="131"/>
      <c r="J4844" s="131"/>
      <c r="K4844" s="131"/>
      <c r="L4844" s="131"/>
      <c r="U4844" s="131"/>
      <c r="V4844" s="131"/>
      <c r="W4844" s="131"/>
      <c r="X4844" s="131"/>
    </row>
    <row r="4845" spans="9:24" x14ac:dyDescent="0.25">
      <c r="I4845" s="131"/>
      <c r="J4845" s="131"/>
      <c r="K4845" s="131"/>
      <c r="L4845" s="131"/>
      <c r="U4845" s="131"/>
      <c r="V4845" s="131"/>
      <c r="W4845" s="131"/>
      <c r="X4845" s="131"/>
    </row>
    <row r="4846" spans="9:24" x14ac:dyDescent="0.25">
      <c r="I4846" s="131"/>
      <c r="J4846" s="131"/>
      <c r="K4846" s="131"/>
      <c r="L4846" s="131"/>
      <c r="U4846" s="131"/>
      <c r="V4846" s="131"/>
      <c r="W4846" s="131"/>
      <c r="X4846" s="131"/>
    </row>
    <row r="4847" spans="9:24" x14ac:dyDescent="0.25">
      <c r="I4847" s="131"/>
      <c r="J4847" s="131"/>
      <c r="K4847" s="131"/>
      <c r="L4847" s="131"/>
      <c r="U4847" s="131"/>
      <c r="V4847" s="131"/>
      <c r="W4847" s="131"/>
      <c r="X4847" s="131"/>
    </row>
    <row r="4848" spans="9:24" x14ac:dyDescent="0.25">
      <c r="I4848" s="131"/>
      <c r="J4848" s="131"/>
      <c r="K4848" s="131"/>
      <c r="L4848" s="131"/>
      <c r="U4848" s="131"/>
      <c r="V4848" s="131"/>
      <c r="W4848" s="131"/>
      <c r="X4848" s="131"/>
    </row>
    <row r="4849" spans="9:24" x14ac:dyDescent="0.25">
      <c r="I4849" s="131"/>
      <c r="J4849" s="131"/>
      <c r="K4849" s="131"/>
      <c r="L4849" s="131"/>
      <c r="U4849" s="131"/>
      <c r="V4849" s="131"/>
      <c r="W4849" s="131"/>
      <c r="X4849" s="131"/>
    </row>
    <row r="4850" spans="9:24" x14ac:dyDescent="0.25">
      <c r="I4850" s="131"/>
      <c r="J4850" s="131"/>
      <c r="K4850" s="131"/>
      <c r="L4850" s="131"/>
      <c r="U4850" s="131"/>
      <c r="V4850" s="131"/>
      <c r="W4850" s="131"/>
      <c r="X4850" s="131"/>
    </row>
    <row r="4851" spans="9:24" x14ac:dyDescent="0.25">
      <c r="I4851" s="131"/>
      <c r="J4851" s="131"/>
      <c r="K4851" s="131"/>
      <c r="L4851" s="131"/>
      <c r="U4851" s="131"/>
      <c r="V4851" s="131"/>
      <c r="W4851" s="131"/>
      <c r="X4851" s="131"/>
    </row>
    <row r="4852" spans="9:24" x14ac:dyDescent="0.25">
      <c r="I4852" s="131"/>
      <c r="J4852" s="131"/>
      <c r="K4852" s="131"/>
      <c r="L4852" s="131"/>
      <c r="U4852" s="131"/>
      <c r="V4852" s="131"/>
      <c r="W4852" s="131"/>
      <c r="X4852" s="131"/>
    </row>
    <row r="4853" spans="9:24" x14ac:dyDescent="0.25">
      <c r="I4853" s="131"/>
      <c r="J4853" s="131"/>
      <c r="K4853" s="131"/>
      <c r="L4853" s="131"/>
      <c r="U4853" s="131"/>
      <c r="V4853" s="131"/>
      <c r="W4853" s="131"/>
      <c r="X4853" s="131"/>
    </row>
    <row r="4854" spans="9:24" x14ac:dyDescent="0.25">
      <c r="I4854" s="131"/>
      <c r="J4854" s="131"/>
      <c r="K4854" s="131"/>
      <c r="L4854" s="131"/>
      <c r="U4854" s="131"/>
      <c r="V4854" s="131"/>
      <c r="W4854" s="131"/>
      <c r="X4854" s="131"/>
    </row>
    <row r="4855" spans="9:24" x14ac:dyDescent="0.25">
      <c r="I4855" s="131"/>
      <c r="J4855" s="131"/>
      <c r="K4855" s="131"/>
      <c r="L4855" s="131"/>
      <c r="U4855" s="131"/>
      <c r="V4855" s="131"/>
      <c r="W4855" s="131"/>
      <c r="X4855" s="131"/>
    </row>
    <row r="4856" spans="9:24" x14ac:dyDescent="0.25">
      <c r="I4856" s="131"/>
      <c r="J4856" s="131"/>
      <c r="K4856" s="131"/>
      <c r="L4856" s="131"/>
      <c r="U4856" s="131"/>
      <c r="V4856" s="131"/>
      <c r="W4856" s="131"/>
      <c r="X4856" s="131"/>
    </row>
    <row r="4857" spans="9:24" x14ac:dyDescent="0.25">
      <c r="I4857" s="131"/>
      <c r="J4857" s="131"/>
      <c r="K4857" s="131"/>
      <c r="L4857" s="131"/>
      <c r="U4857" s="131"/>
      <c r="V4857" s="131"/>
      <c r="W4857" s="131"/>
      <c r="X4857" s="131"/>
    </row>
    <row r="4858" spans="9:24" x14ac:dyDescent="0.25">
      <c r="I4858" s="131"/>
      <c r="J4858" s="131"/>
      <c r="K4858" s="131"/>
      <c r="L4858" s="131"/>
      <c r="U4858" s="131"/>
      <c r="V4858" s="131"/>
      <c r="W4858" s="131"/>
      <c r="X4858" s="131"/>
    </row>
    <row r="4859" spans="9:24" x14ac:dyDescent="0.25">
      <c r="I4859" s="131"/>
      <c r="J4859" s="131"/>
      <c r="K4859" s="131"/>
      <c r="L4859" s="131"/>
      <c r="U4859" s="131"/>
      <c r="V4859" s="131"/>
      <c r="W4859" s="131"/>
      <c r="X4859" s="131"/>
    </row>
    <row r="4860" spans="9:24" x14ac:dyDescent="0.25">
      <c r="I4860" s="131"/>
      <c r="J4860" s="131"/>
      <c r="K4860" s="131"/>
      <c r="L4860" s="131"/>
      <c r="U4860" s="131"/>
      <c r="V4860" s="131"/>
      <c r="W4860" s="131"/>
      <c r="X4860" s="131"/>
    </row>
    <row r="4861" spans="9:24" x14ac:dyDescent="0.25">
      <c r="I4861" s="131"/>
      <c r="J4861" s="131"/>
      <c r="K4861" s="131"/>
      <c r="L4861" s="131"/>
      <c r="U4861" s="131"/>
      <c r="V4861" s="131"/>
      <c r="W4861" s="131"/>
      <c r="X4861" s="131"/>
    </row>
    <row r="4862" spans="9:24" x14ac:dyDescent="0.25">
      <c r="I4862" s="131"/>
      <c r="J4862" s="131"/>
      <c r="K4862" s="131"/>
      <c r="L4862" s="131"/>
      <c r="U4862" s="131"/>
      <c r="V4862" s="131"/>
      <c r="W4862" s="131"/>
      <c r="X4862" s="131"/>
    </row>
    <row r="4863" spans="9:24" x14ac:dyDescent="0.25">
      <c r="I4863" s="131"/>
      <c r="J4863" s="131"/>
      <c r="K4863" s="131"/>
      <c r="L4863" s="131"/>
      <c r="U4863" s="131"/>
      <c r="V4863" s="131"/>
      <c r="W4863" s="131"/>
      <c r="X4863" s="131"/>
    </row>
    <row r="4864" spans="9:24" x14ac:dyDescent="0.25">
      <c r="I4864" s="131"/>
      <c r="J4864" s="131"/>
      <c r="K4864" s="131"/>
      <c r="L4864" s="131"/>
      <c r="U4864" s="131"/>
      <c r="V4864" s="131"/>
      <c r="W4864" s="131"/>
      <c r="X4864" s="131"/>
    </row>
    <row r="4865" spans="9:24" x14ac:dyDescent="0.25">
      <c r="I4865" s="131"/>
      <c r="J4865" s="131"/>
      <c r="K4865" s="131"/>
      <c r="L4865" s="131"/>
      <c r="U4865" s="131"/>
      <c r="V4865" s="131"/>
      <c r="W4865" s="131"/>
      <c r="X4865" s="131"/>
    </row>
    <row r="4866" spans="9:24" x14ac:dyDescent="0.25">
      <c r="I4866" s="131"/>
      <c r="J4866" s="131"/>
      <c r="K4866" s="131"/>
      <c r="L4866" s="131"/>
      <c r="U4866" s="131"/>
      <c r="V4866" s="131"/>
      <c r="W4866" s="131"/>
      <c r="X4866" s="131"/>
    </row>
    <row r="4867" spans="9:24" x14ac:dyDescent="0.25">
      <c r="I4867" s="131"/>
      <c r="J4867" s="131"/>
      <c r="K4867" s="131"/>
      <c r="L4867" s="131"/>
      <c r="U4867" s="131"/>
      <c r="V4867" s="131"/>
      <c r="W4867" s="131"/>
      <c r="X4867" s="131"/>
    </row>
    <row r="4868" spans="9:24" x14ac:dyDescent="0.25">
      <c r="I4868" s="131"/>
      <c r="J4868" s="131"/>
      <c r="K4868" s="131"/>
      <c r="L4868" s="131"/>
      <c r="U4868" s="131"/>
      <c r="V4868" s="131"/>
      <c r="W4868" s="131"/>
      <c r="X4868" s="131"/>
    </row>
    <row r="4869" spans="9:24" x14ac:dyDescent="0.25">
      <c r="I4869" s="131"/>
      <c r="J4869" s="131"/>
      <c r="K4869" s="131"/>
      <c r="L4869" s="131"/>
      <c r="U4869" s="131"/>
      <c r="V4869" s="131"/>
      <c r="W4869" s="131"/>
      <c r="X4869" s="131"/>
    </row>
    <row r="4870" spans="9:24" x14ac:dyDescent="0.25">
      <c r="I4870" s="131"/>
      <c r="J4870" s="131"/>
      <c r="K4870" s="131"/>
      <c r="L4870" s="131"/>
      <c r="U4870" s="131"/>
      <c r="V4870" s="131"/>
      <c r="W4870" s="131"/>
      <c r="X4870" s="131"/>
    </row>
    <row r="4871" spans="9:24" x14ac:dyDescent="0.25">
      <c r="I4871" s="131"/>
      <c r="J4871" s="131"/>
      <c r="K4871" s="131"/>
      <c r="L4871" s="131"/>
      <c r="U4871" s="131"/>
      <c r="V4871" s="131"/>
      <c r="W4871" s="131"/>
      <c r="X4871" s="131"/>
    </row>
    <row r="4872" spans="9:24" x14ac:dyDescent="0.25">
      <c r="I4872" s="131"/>
      <c r="J4872" s="131"/>
      <c r="K4872" s="131"/>
      <c r="L4872" s="131"/>
      <c r="U4872" s="131"/>
      <c r="V4872" s="131"/>
      <c r="W4872" s="131"/>
      <c r="X4872" s="131"/>
    </row>
    <row r="4873" spans="9:24" x14ac:dyDescent="0.25">
      <c r="I4873" s="131"/>
      <c r="J4873" s="131"/>
      <c r="K4873" s="131"/>
      <c r="L4873" s="131"/>
      <c r="U4873" s="131"/>
      <c r="V4873" s="131"/>
      <c r="W4873" s="131"/>
      <c r="X4873" s="131"/>
    </row>
    <row r="4874" spans="9:24" x14ac:dyDescent="0.25">
      <c r="I4874" s="131"/>
      <c r="J4874" s="131"/>
      <c r="K4874" s="131"/>
      <c r="L4874" s="131"/>
      <c r="U4874" s="131"/>
      <c r="V4874" s="131"/>
      <c r="W4874" s="131"/>
      <c r="X4874" s="131"/>
    </row>
    <row r="4875" spans="9:24" x14ac:dyDescent="0.25">
      <c r="I4875" s="131"/>
      <c r="J4875" s="131"/>
      <c r="K4875" s="131"/>
      <c r="L4875" s="131"/>
      <c r="U4875" s="131"/>
      <c r="V4875" s="131"/>
      <c r="W4875" s="131"/>
      <c r="X4875" s="131"/>
    </row>
    <row r="4876" spans="9:24" x14ac:dyDescent="0.25">
      <c r="I4876" s="131"/>
      <c r="J4876" s="131"/>
      <c r="K4876" s="131"/>
      <c r="L4876" s="131"/>
      <c r="U4876" s="131"/>
      <c r="V4876" s="131"/>
      <c r="W4876" s="131"/>
      <c r="X4876" s="131"/>
    </row>
    <row r="4877" spans="9:24" x14ac:dyDescent="0.25">
      <c r="I4877" s="131"/>
      <c r="J4877" s="131"/>
      <c r="K4877" s="131"/>
      <c r="L4877" s="131"/>
      <c r="U4877" s="131"/>
      <c r="V4877" s="131"/>
      <c r="W4877" s="131"/>
      <c r="X4877" s="131"/>
    </row>
    <row r="4878" spans="9:24" x14ac:dyDescent="0.25">
      <c r="I4878" s="131"/>
      <c r="J4878" s="131"/>
      <c r="K4878" s="131"/>
      <c r="L4878" s="131"/>
      <c r="U4878" s="131"/>
      <c r="V4878" s="131"/>
      <c r="W4878" s="131"/>
      <c r="X4878" s="131"/>
    </row>
    <row r="4879" spans="9:24" x14ac:dyDescent="0.25">
      <c r="I4879" s="131"/>
      <c r="J4879" s="131"/>
      <c r="K4879" s="131"/>
      <c r="L4879" s="131"/>
      <c r="U4879" s="131"/>
      <c r="V4879" s="131"/>
      <c r="W4879" s="131"/>
      <c r="X4879" s="131"/>
    </row>
    <row r="4880" spans="9:24" x14ac:dyDescent="0.25">
      <c r="I4880" s="131"/>
      <c r="J4880" s="131"/>
      <c r="K4880" s="131"/>
      <c r="L4880" s="131"/>
      <c r="U4880" s="131"/>
      <c r="V4880" s="131"/>
      <c r="W4880" s="131"/>
      <c r="X4880" s="131"/>
    </row>
    <row r="4881" spans="9:24" x14ac:dyDescent="0.25">
      <c r="I4881" s="131"/>
      <c r="J4881" s="131"/>
      <c r="K4881" s="131"/>
      <c r="L4881" s="131"/>
      <c r="U4881" s="131"/>
      <c r="V4881" s="131"/>
      <c r="W4881" s="131"/>
      <c r="X4881" s="131"/>
    </row>
    <row r="4882" spans="9:24" x14ac:dyDescent="0.25">
      <c r="I4882" s="131"/>
      <c r="J4882" s="131"/>
      <c r="K4882" s="131"/>
      <c r="L4882" s="131"/>
      <c r="U4882" s="131"/>
      <c r="V4882" s="131"/>
      <c r="W4882" s="131"/>
      <c r="X4882" s="131"/>
    </row>
    <row r="4883" spans="9:24" x14ac:dyDescent="0.25">
      <c r="I4883" s="131"/>
      <c r="J4883" s="131"/>
      <c r="K4883" s="131"/>
      <c r="L4883" s="131"/>
      <c r="U4883" s="131"/>
      <c r="V4883" s="131"/>
      <c r="W4883" s="131"/>
      <c r="X4883" s="131"/>
    </row>
    <row r="4884" spans="9:24" x14ac:dyDescent="0.25">
      <c r="I4884" s="131"/>
      <c r="J4884" s="131"/>
      <c r="K4884" s="131"/>
      <c r="L4884" s="131"/>
      <c r="U4884" s="131"/>
      <c r="V4884" s="131"/>
      <c r="W4884" s="131"/>
      <c r="X4884" s="131"/>
    </row>
    <row r="4885" spans="9:24" x14ac:dyDescent="0.25">
      <c r="I4885" s="131"/>
      <c r="J4885" s="131"/>
      <c r="K4885" s="131"/>
      <c r="L4885" s="131"/>
      <c r="U4885" s="131"/>
      <c r="V4885" s="131"/>
      <c r="W4885" s="131"/>
      <c r="X4885" s="131"/>
    </row>
    <row r="4886" spans="9:24" x14ac:dyDescent="0.25">
      <c r="I4886" s="131"/>
      <c r="J4886" s="131"/>
      <c r="K4886" s="131"/>
      <c r="L4886" s="131"/>
      <c r="U4886" s="131"/>
      <c r="V4886" s="131"/>
      <c r="W4886" s="131"/>
      <c r="X4886" s="131"/>
    </row>
    <row r="4887" spans="9:24" x14ac:dyDescent="0.25">
      <c r="I4887" s="131"/>
      <c r="J4887" s="131"/>
      <c r="K4887" s="131"/>
      <c r="L4887" s="131"/>
      <c r="U4887" s="131"/>
      <c r="V4887" s="131"/>
      <c r="W4887" s="131"/>
      <c r="X4887" s="131"/>
    </row>
    <row r="4888" spans="9:24" x14ac:dyDescent="0.25">
      <c r="I4888" s="131"/>
      <c r="J4888" s="131"/>
      <c r="K4888" s="131"/>
      <c r="L4888" s="131"/>
      <c r="U4888" s="131"/>
      <c r="V4888" s="131"/>
      <c r="W4888" s="131"/>
      <c r="X4888" s="131"/>
    </row>
    <row r="4889" spans="9:24" x14ac:dyDescent="0.25">
      <c r="I4889" s="131"/>
      <c r="J4889" s="131"/>
      <c r="K4889" s="131"/>
      <c r="L4889" s="131"/>
      <c r="U4889" s="131"/>
      <c r="V4889" s="131"/>
      <c r="W4889" s="131"/>
      <c r="X4889" s="131"/>
    </row>
    <row r="4890" spans="9:24" x14ac:dyDescent="0.25">
      <c r="I4890" s="131"/>
      <c r="J4890" s="131"/>
      <c r="K4890" s="131"/>
      <c r="L4890" s="131"/>
      <c r="U4890" s="131"/>
      <c r="V4890" s="131"/>
      <c r="W4890" s="131"/>
      <c r="X4890" s="131"/>
    </row>
    <row r="4891" spans="9:24" x14ac:dyDescent="0.25">
      <c r="I4891" s="131"/>
      <c r="J4891" s="131"/>
      <c r="K4891" s="131"/>
      <c r="L4891" s="131"/>
      <c r="U4891" s="131"/>
      <c r="V4891" s="131"/>
      <c r="W4891" s="131"/>
      <c r="X4891" s="131"/>
    </row>
    <row r="4892" spans="9:24" x14ac:dyDescent="0.25">
      <c r="I4892" s="131"/>
      <c r="J4892" s="131"/>
      <c r="K4892" s="131"/>
      <c r="L4892" s="131"/>
      <c r="U4892" s="131"/>
      <c r="V4892" s="131"/>
      <c r="W4892" s="131"/>
      <c r="X4892" s="131"/>
    </row>
    <row r="4893" spans="9:24" x14ac:dyDescent="0.25">
      <c r="I4893" s="131"/>
      <c r="J4893" s="131"/>
      <c r="K4893" s="131"/>
      <c r="L4893" s="131"/>
      <c r="U4893" s="131"/>
      <c r="V4893" s="131"/>
      <c r="W4893" s="131"/>
      <c r="X4893" s="131"/>
    </row>
    <row r="4894" spans="9:24" x14ac:dyDescent="0.25">
      <c r="I4894" s="131"/>
      <c r="J4894" s="131"/>
      <c r="K4894" s="131"/>
      <c r="L4894" s="131"/>
      <c r="U4894" s="131"/>
      <c r="V4894" s="131"/>
      <c r="W4894" s="131"/>
      <c r="X4894" s="131"/>
    </row>
    <row r="4895" spans="9:24" x14ac:dyDescent="0.25">
      <c r="I4895" s="131"/>
      <c r="J4895" s="131"/>
      <c r="K4895" s="131"/>
      <c r="L4895" s="131"/>
      <c r="U4895" s="131"/>
      <c r="V4895" s="131"/>
      <c r="W4895" s="131"/>
      <c r="X4895" s="131"/>
    </row>
    <row r="4896" spans="9:24" x14ac:dyDescent="0.25">
      <c r="I4896" s="131"/>
      <c r="J4896" s="131"/>
      <c r="K4896" s="131"/>
      <c r="L4896" s="131"/>
      <c r="U4896" s="131"/>
      <c r="V4896" s="131"/>
      <c r="W4896" s="131"/>
      <c r="X4896" s="131"/>
    </row>
    <row r="4897" spans="9:24" x14ac:dyDescent="0.25">
      <c r="I4897" s="131"/>
      <c r="J4897" s="131"/>
      <c r="K4897" s="131"/>
      <c r="L4897" s="131"/>
      <c r="U4897" s="131"/>
      <c r="V4897" s="131"/>
      <c r="W4897" s="131"/>
      <c r="X4897" s="131"/>
    </row>
    <row r="4898" spans="9:24" x14ac:dyDescent="0.25">
      <c r="I4898" s="131"/>
      <c r="J4898" s="131"/>
      <c r="K4898" s="131"/>
      <c r="L4898" s="131"/>
      <c r="U4898" s="131"/>
      <c r="V4898" s="131"/>
      <c r="W4898" s="131"/>
      <c r="X4898" s="131"/>
    </row>
    <row r="4899" spans="9:24" x14ac:dyDescent="0.25">
      <c r="I4899" s="131"/>
      <c r="J4899" s="131"/>
      <c r="K4899" s="131"/>
      <c r="L4899" s="131"/>
      <c r="U4899" s="131"/>
      <c r="V4899" s="131"/>
      <c r="W4899" s="131"/>
      <c r="X4899" s="131"/>
    </row>
    <row r="4900" spans="9:24" x14ac:dyDescent="0.25">
      <c r="I4900" s="131"/>
      <c r="J4900" s="131"/>
      <c r="K4900" s="131"/>
      <c r="L4900" s="131"/>
      <c r="U4900" s="131"/>
      <c r="V4900" s="131"/>
      <c r="W4900" s="131"/>
      <c r="X4900" s="131"/>
    </row>
    <row r="4901" spans="9:24" x14ac:dyDescent="0.25">
      <c r="I4901" s="131"/>
      <c r="J4901" s="131"/>
      <c r="K4901" s="131"/>
      <c r="L4901" s="131"/>
      <c r="U4901" s="131"/>
      <c r="V4901" s="131"/>
      <c r="W4901" s="131"/>
      <c r="X4901" s="131"/>
    </row>
    <row r="4902" spans="9:24" x14ac:dyDescent="0.25">
      <c r="I4902" s="131"/>
      <c r="J4902" s="131"/>
      <c r="K4902" s="131"/>
      <c r="L4902" s="131"/>
      <c r="U4902" s="131"/>
      <c r="V4902" s="131"/>
      <c r="W4902" s="131"/>
      <c r="X4902" s="131"/>
    </row>
    <row r="4903" spans="9:24" x14ac:dyDescent="0.25">
      <c r="I4903" s="131"/>
      <c r="J4903" s="131"/>
      <c r="K4903" s="131"/>
      <c r="L4903" s="131"/>
      <c r="U4903" s="131"/>
      <c r="V4903" s="131"/>
      <c r="W4903" s="131"/>
      <c r="X4903" s="131"/>
    </row>
    <row r="4904" spans="9:24" x14ac:dyDescent="0.25">
      <c r="I4904" s="131"/>
      <c r="J4904" s="131"/>
      <c r="K4904" s="131"/>
      <c r="L4904" s="131"/>
      <c r="U4904" s="131"/>
      <c r="V4904" s="131"/>
      <c r="W4904" s="131"/>
      <c r="X4904" s="131"/>
    </row>
    <row r="4905" spans="9:24" x14ac:dyDescent="0.25">
      <c r="I4905" s="131"/>
      <c r="J4905" s="131"/>
      <c r="K4905" s="131"/>
      <c r="L4905" s="131"/>
      <c r="U4905" s="131"/>
      <c r="V4905" s="131"/>
      <c r="W4905" s="131"/>
      <c r="X4905" s="131"/>
    </row>
    <row r="4906" spans="9:24" x14ac:dyDescent="0.25">
      <c r="I4906" s="131"/>
      <c r="J4906" s="131"/>
      <c r="K4906" s="131"/>
      <c r="L4906" s="131"/>
      <c r="U4906" s="131"/>
      <c r="V4906" s="131"/>
      <c r="W4906" s="131"/>
      <c r="X4906" s="131"/>
    </row>
    <row r="4907" spans="9:24" x14ac:dyDescent="0.25">
      <c r="I4907" s="131"/>
      <c r="J4907" s="131"/>
      <c r="K4907" s="131"/>
      <c r="L4907" s="131"/>
      <c r="U4907" s="131"/>
      <c r="V4907" s="131"/>
      <c r="W4907" s="131"/>
      <c r="X4907" s="131"/>
    </row>
    <row r="4908" spans="9:24" x14ac:dyDescent="0.25">
      <c r="I4908" s="131"/>
      <c r="J4908" s="131"/>
      <c r="K4908" s="131"/>
      <c r="L4908" s="131"/>
      <c r="U4908" s="131"/>
      <c r="V4908" s="131"/>
      <c r="W4908" s="131"/>
      <c r="X4908" s="131"/>
    </row>
    <row r="4909" spans="9:24" x14ac:dyDescent="0.25">
      <c r="I4909" s="131"/>
      <c r="J4909" s="131"/>
      <c r="K4909" s="131"/>
      <c r="L4909" s="131"/>
      <c r="U4909" s="131"/>
      <c r="V4909" s="131"/>
      <c r="W4909" s="131"/>
      <c r="X4909" s="131"/>
    </row>
    <row r="4910" spans="9:24" x14ac:dyDescent="0.25">
      <c r="I4910" s="131"/>
      <c r="J4910" s="131"/>
      <c r="K4910" s="131"/>
      <c r="L4910" s="131"/>
      <c r="U4910" s="131"/>
      <c r="V4910" s="131"/>
      <c r="W4910" s="131"/>
      <c r="X4910" s="131"/>
    </row>
    <row r="4911" spans="9:24" x14ac:dyDescent="0.25">
      <c r="I4911" s="131"/>
      <c r="J4911" s="131"/>
      <c r="K4911" s="131"/>
      <c r="L4911" s="131"/>
      <c r="U4911" s="131"/>
      <c r="V4911" s="131"/>
      <c r="W4911" s="131"/>
      <c r="X4911" s="131"/>
    </row>
    <row r="4912" spans="9:24" x14ac:dyDescent="0.25">
      <c r="I4912" s="131"/>
      <c r="J4912" s="131"/>
      <c r="K4912" s="131"/>
      <c r="L4912" s="131"/>
      <c r="U4912" s="131"/>
      <c r="V4912" s="131"/>
      <c r="W4912" s="131"/>
      <c r="X4912" s="131"/>
    </row>
    <row r="4913" spans="9:24" x14ac:dyDescent="0.25">
      <c r="I4913" s="131"/>
      <c r="J4913" s="131"/>
      <c r="K4913" s="131"/>
      <c r="L4913" s="131"/>
      <c r="U4913" s="131"/>
      <c r="V4913" s="131"/>
      <c r="W4913" s="131"/>
      <c r="X4913" s="131"/>
    </row>
    <row r="4914" spans="9:24" x14ac:dyDescent="0.25">
      <c r="I4914" s="131"/>
      <c r="J4914" s="131"/>
      <c r="K4914" s="131"/>
      <c r="L4914" s="131"/>
      <c r="U4914" s="131"/>
      <c r="V4914" s="131"/>
      <c r="W4914" s="131"/>
      <c r="X4914" s="131"/>
    </row>
    <row r="4915" spans="9:24" x14ac:dyDescent="0.25">
      <c r="I4915" s="131"/>
      <c r="J4915" s="131"/>
      <c r="K4915" s="131"/>
      <c r="L4915" s="131"/>
      <c r="U4915" s="131"/>
      <c r="V4915" s="131"/>
      <c r="W4915" s="131"/>
      <c r="X4915" s="131"/>
    </row>
    <row r="4916" spans="9:24" x14ac:dyDescent="0.25">
      <c r="I4916" s="131"/>
      <c r="J4916" s="131"/>
      <c r="K4916" s="131"/>
      <c r="L4916" s="131"/>
      <c r="U4916" s="131"/>
      <c r="V4916" s="131"/>
      <c r="W4916" s="131"/>
      <c r="X4916" s="131"/>
    </row>
    <row r="4917" spans="9:24" x14ac:dyDescent="0.25">
      <c r="I4917" s="131"/>
      <c r="J4917" s="131"/>
      <c r="K4917" s="131"/>
      <c r="L4917" s="131"/>
      <c r="U4917" s="131"/>
      <c r="V4917" s="131"/>
      <c r="W4917" s="131"/>
      <c r="X4917" s="131"/>
    </row>
    <row r="4918" spans="9:24" x14ac:dyDescent="0.25">
      <c r="I4918" s="131"/>
      <c r="J4918" s="131"/>
      <c r="K4918" s="131"/>
      <c r="L4918" s="131"/>
      <c r="U4918" s="131"/>
      <c r="V4918" s="131"/>
      <c r="W4918" s="131"/>
      <c r="X4918" s="131"/>
    </row>
    <row r="4919" spans="9:24" x14ac:dyDescent="0.25">
      <c r="I4919" s="131"/>
      <c r="J4919" s="131"/>
      <c r="K4919" s="131"/>
      <c r="L4919" s="131"/>
      <c r="U4919" s="131"/>
      <c r="V4919" s="131"/>
      <c r="W4919" s="131"/>
      <c r="X4919" s="131"/>
    </row>
    <row r="4920" spans="9:24" x14ac:dyDescent="0.25">
      <c r="I4920" s="131"/>
      <c r="J4920" s="131"/>
      <c r="K4920" s="131"/>
      <c r="L4920" s="131"/>
      <c r="U4920" s="131"/>
      <c r="V4920" s="131"/>
      <c r="W4920" s="131"/>
      <c r="X4920" s="131"/>
    </row>
    <row r="4921" spans="9:24" x14ac:dyDescent="0.25">
      <c r="I4921" s="131"/>
      <c r="J4921" s="131"/>
      <c r="K4921" s="131"/>
      <c r="L4921" s="131"/>
      <c r="U4921" s="131"/>
      <c r="V4921" s="131"/>
      <c r="W4921" s="131"/>
      <c r="X4921" s="131"/>
    </row>
    <row r="4922" spans="9:24" x14ac:dyDescent="0.25">
      <c r="I4922" s="131"/>
      <c r="J4922" s="131"/>
      <c r="K4922" s="131"/>
      <c r="L4922" s="131"/>
      <c r="U4922" s="131"/>
      <c r="V4922" s="131"/>
      <c r="W4922" s="131"/>
      <c r="X4922" s="131"/>
    </row>
    <row r="4923" spans="9:24" x14ac:dyDescent="0.25">
      <c r="I4923" s="131"/>
      <c r="J4923" s="131"/>
      <c r="K4923" s="131"/>
      <c r="L4923" s="131"/>
      <c r="U4923" s="131"/>
      <c r="V4923" s="131"/>
      <c r="W4923" s="131"/>
      <c r="X4923" s="131"/>
    </row>
    <row r="4924" spans="9:24" x14ac:dyDescent="0.25">
      <c r="I4924" s="131"/>
      <c r="J4924" s="131"/>
      <c r="K4924" s="131"/>
      <c r="L4924" s="131"/>
      <c r="U4924" s="131"/>
      <c r="V4924" s="131"/>
      <c r="W4924" s="131"/>
      <c r="X4924" s="131"/>
    </row>
    <row r="4925" spans="9:24" x14ac:dyDescent="0.25">
      <c r="I4925" s="131"/>
      <c r="J4925" s="131"/>
      <c r="K4925" s="131"/>
      <c r="L4925" s="131"/>
      <c r="U4925" s="131"/>
      <c r="V4925" s="131"/>
      <c r="W4925" s="131"/>
      <c r="X4925" s="131"/>
    </row>
    <row r="4926" spans="9:24" x14ac:dyDescent="0.25">
      <c r="I4926" s="131"/>
      <c r="J4926" s="131"/>
      <c r="K4926" s="131"/>
      <c r="L4926" s="131"/>
      <c r="U4926" s="131"/>
      <c r="V4926" s="131"/>
      <c r="W4926" s="131"/>
      <c r="X4926" s="131"/>
    </row>
    <row r="4927" spans="9:24" x14ac:dyDescent="0.25">
      <c r="I4927" s="131"/>
      <c r="J4927" s="131"/>
      <c r="K4927" s="131"/>
      <c r="L4927" s="131"/>
      <c r="U4927" s="131"/>
      <c r="V4927" s="131"/>
      <c r="W4927" s="131"/>
      <c r="X4927" s="131"/>
    </row>
    <row r="4928" spans="9:24" x14ac:dyDescent="0.25">
      <c r="I4928" s="131"/>
      <c r="J4928" s="131"/>
      <c r="K4928" s="131"/>
      <c r="L4928" s="131"/>
      <c r="U4928" s="131"/>
      <c r="V4928" s="131"/>
      <c r="W4928" s="131"/>
      <c r="X4928" s="131"/>
    </row>
    <row r="4929" spans="9:24" x14ac:dyDescent="0.25">
      <c r="I4929" s="131"/>
      <c r="J4929" s="131"/>
      <c r="K4929" s="131"/>
      <c r="L4929" s="131"/>
      <c r="U4929" s="131"/>
      <c r="V4929" s="131"/>
      <c r="W4929" s="131"/>
      <c r="X4929" s="131"/>
    </row>
    <row r="4930" spans="9:24" x14ac:dyDescent="0.25">
      <c r="I4930" s="131"/>
      <c r="J4930" s="131"/>
      <c r="K4930" s="131"/>
      <c r="L4930" s="131"/>
      <c r="U4930" s="131"/>
      <c r="V4930" s="131"/>
      <c r="W4930" s="131"/>
      <c r="X4930" s="131"/>
    </row>
    <row r="4931" spans="9:24" x14ac:dyDescent="0.25">
      <c r="I4931" s="131"/>
      <c r="J4931" s="131"/>
      <c r="K4931" s="131"/>
      <c r="L4931" s="131"/>
      <c r="U4931" s="131"/>
      <c r="V4931" s="131"/>
      <c r="W4931" s="131"/>
      <c r="X4931" s="131"/>
    </row>
    <row r="4932" spans="9:24" x14ac:dyDescent="0.25">
      <c r="I4932" s="131"/>
      <c r="J4932" s="131"/>
      <c r="K4932" s="131"/>
      <c r="L4932" s="131"/>
      <c r="U4932" s="131"/>
      <c r="V4932" s="131"/>
      <c r="W4932" s="131"/>
      <c r="X4932" s="131"/>
    </row>
    <row r="4933" spans="9:24" x14ac:dyDescent="0.25">
      <c r="I4933" s="131"/>
      <c r="J4933" s="131"/>
      <c r="K4933" s="131"/>
      <c r="L4933" s="131"/>
      <c r="U4933" s="131"/>
      <c r="V4933" s="131"/>
      <c r="W4933" s="131"/>
      <c r="X4933" s="131"/>
    </row>
    <row r="4934" spans="9:24" x14ac:dyDescent="0.25">
      <c r="I4934" s="131"/>
      <c r="J4934" s="131"/>
      <c r="K4934" s="131"/>
      <c r="L4934" s="131"/>
      <c r="U4934" s="131"/>
      <c r="V4934" s="131"/>
      <c r="W4934" s="131"/>
      <c r="X4934" s="131"/>
    </row>
    <row r="4935" spans="9:24" x14ac:dyDescent="0.25">
      <c r="I4935" s="131"/>
      <c r="J4935" s="131"/>
      <c r="K4935" s="131"/>
      <c r="L4935" s="131"/>
      <c r="U4935" s="131"/>
      <c r="V4935" s="131"/>
      <c r="W4935" s="131"/>
      <c r="X4935" s="131"/>
    </row>
    <row r="4936" spans="9:24" x14ac:dyDescent="0.25">
      <c r="I4936" s="131"/>
      <c r="J4936" s="131"/>
      <c r="K4936" s="131"/>
      <c r="L4936" s="131"/>
      <c r="U4936" s="131"/>
      <c r="V4936" s="131"/>
      <c r="W4936" s="131"/>
      <c r="X4936" s="131"/>
    </row>
    <row r="4937" spans="9:24" x14ac:dyDescent="0.25">
      <c r="I4937" s="131"/>
      <c r="J4937" s="131"/>
      <c r="K4937" s="131"/>
      <c r="L4937" s="131"/>
      <c r="U4937" s="131"/>
      <c r="V4937" s="131"/>
      <c r="W4937" s="131"/>
      <c r="X4937" s="131"/>
    </row>
    <row r="4938" spans="9:24" x14ac:dyDescent="0.25">
      <c r="I4938" s="131"/>
      <c r="J4938" s="131"/>
      <c r="K4938" s="131"/>
      <c r="L4938" s="131"/>
      <c r="U4938" s="131"/>
      <c r="V4938" s="131"/>
      <c r="W4938" s="131"/>
      <c r="X4938" s="131"/>
    </row>
    <row r="4939" spans="9:24" x14ac:dyDescent="0.25">
      <c r="I4939" s="131"/>
      <c r="J4939" s="131"/>
      <c r="K4939" s="131"/>
      <c r="L4939" s="131"/>
      <c r="U4939" s="131"/>
      <c r="V4939" s="131"/>
      <c r="W4939" s="131"/>
      <c r="X4939" s="131"/>
    </row>
    <row r="4940" spans="9:24" x14ac:dyDescent="0.25">
      <c r="I4940" s="131"/>
      <c r="J4940" s="131"/>
      <c r="K4940" s="131"/>
      <c r="L4940" s="131"/>
      <c r="U4940" s="131"/>
      <c r="V4940" s="131"/>
      <c r="W4940" s="131"/>
      <c r="X4940" s="131"/>
    </row>
    <row r="4941" spans="9:24" x14ac:dyDescent="0.25">
      <c r="I4941" s="131"/>
      <c r="J4941" s="131"/>
      <c r="K4941" s="131"/>
      <c r="L4941" s="131"/>
      <c r="U4941" s="131"/>
      <c r="V4941" s="131"/>
      <c r="W4941" s="131"/>
      <c r="X4941" s="131"/>
    </row>
    <row r="4942" spans="9:24" x14ac:dyDescent="0.25">
      <c r="I4942" s="131"/>
      <c r="J4942" s="131"/>
      <c r="K4942" s="131"/>
      <c r="L4942" s="131"/>
      <c r="U4942" s="131"/>
      <c r="V4942" s="131"/>
      <c r="W4942" s="131"/>
      <c r="X4942" s="131"/>
    </row>
    <row r="4943" spans="9:24" x14ac:dyDescent="0.25">
      <c r="I4943" s="131"/>
      <c r="J4943" s="131"/>
      <c r="K4943" s="131"/>
      <c r="L4943" s="131"/>
      <c r="U4943" s="131"/>
      <c r="V4943" s="131"/>
      <c r="W4943" s="131"/>
      <c r="X4943" s="131"/>
    </row>
    <row r="4944" spans="9:24" x14ac:dyDescent="0.25">
      <c r="I4944" s="131"/>
      <c r="J4944" s="131"/>
      <c r="K4944" s="131"/>
      <c r="L4944" s="131"/>
      <c r="U4944" s="131"/>
      <c r="V4944" s="131"/>
      <c r="W4944" s="131"/>
      <c r="X4944" s="131"/>
    </row>
    <row r="4945" spans="9:24" x14ac:dyDescent="0.25">
      <c r="I4945" s="131"/>
      <c r="J4945" s="131"/>
      <c r="K4945" s="131"/>
      <c r="L4945" s="131"/>
      <c r="U4945" s="131"/>
      <c r="V4945" s="131"/>
      <c r="W4945" s="131"/>
      <c r="X4945" s="131"/>
    </row>
    <row r="4946" spans="9:24" x14ac:dyDescent="0.25">
      <c r="I4946" s="131"/>
      <c r="J4946" s="131"/>
      <c r="K4946" s="131"/>
      <c r="L4946" s="131"/>
      <c r="U4946" s="131"/>
      <c r="V4946" s="131"/>
      <c r="W4946" s="131"/>
      <c r="X4946" s="131"/>
    </row>
    <row r="4947" spans="9:24" x14ac:dyDescent="0.25">
      <c r="I4947" s="131"/>
      <c r="J4947" s="131"/>
      <c r="K4947" s="131"/>
      <c r="L4947" s="131"/>
      <c r="U4947" s="131"/>
      <c r="V4947" s="131"/>
      <c r="W4947" s="131"/>
      <c r="X4947" s="131"/>
    </row>
    <row r="4948" spans="9:24" x14ac:dyDescent="0.25">
      <c r="I4948" s="131"/>
      <c r="J4948" s="131"/>
      <c r="K4948" s="131"/>
      <c r="L4948" s="131"/>
      <c r="U4948" s="131"/>
      <c r="V4948" s="131"/>
      <c r="W4948" s="131"/>
      <c r="X4948" s="131"/>
    </row>
    <row r="4949" spans="9:24" x14ac:dyDescent="0.25">
      <c r="I4949" s="131"/>
      <c r="J4949" s="131"/>
      <c r="K4949" s="131"/>
      <c r="L4949" s="131"/>
      <c r="U4949" s="131"/>
      <c r="V4949" s="131"/>
      <c r="W4949" s="131"/>
      <c r="X4949" s="131"/>
    </row>
    <row r="4950" spans="9:24" x14ac:dyDescent="0.25">
      <c r="I4950" s="131"/>
      <c r="J4950" s="131"/>
      <c r="K4950" s="131"/>
      <c r="L4950" s="131"/>
      <c r="U4950" s="131"/>
      <c r="V4950" s="131"/>
      <c r="W4950" s="131"/>
      <c r="X4950" s="131"/>
    </row>
    <row r="4951" spans="9:24" x14ac:dyDescent="0.25">
      <c r="I4951" s="131"/>
      <c r="J4951" s="131"/>
      <c r="K4951" s="131"/>
      <c r="L4951" s="131"/>
      <c r="U4951" s="131"/>
      <c r="V4951" s="131"/>
      <c r="W4951" s="131"/>
      <c r="X4951" s="131"/>
    </row>
    <row r="4952" spans="9:24" x14ac:dyDescent="0.25">
      <c r="I4952" s="131"/>
      <c r="J4952" s="131"/>
      <c r="K4952" s="131"/>
      <c r="L4952" s="131"/>
      <c r="U4952" s="131"/>
      <c r="V4952" s="131"/>
      <c r="W4952" s="131"/>
      <c r="X4952" s="131"/>
    </row>
    <row r="4953" spans="9:24" x14ac:dyDescent="0.25">
      <c r="I4953" s="131"/>
      <c r="J4953" s="131"/>
      <c r="K4953" s="131"/>
      <c r="L4953" s="131"/>
      <c r="U4953" s="131"/>
      <c r="V4953" s="131"/>
      <c r="W4953" s="131"/>
      <c r="X4953" s="131"/>
    </row>
    <row r="4954" spans="9:24" x14ac:dyDescent="0.25">
      <c r="I4954" s="131"/>
      <c r="J4954" s="131"/>
      <c r="K4954" s="131"/>
      <c r="L4954" s="131"/>
      <c r="U4954" s="131"/>
      <c r="V4954" s="131"/>
      <c r="W4954" s="131"/>
      <c r="X4954" s="131"/>
    </row>
    <row r="4955" spans="9:24" x14ac:dyDescent="0.25">
      <c r="I4955" s="131"/>
      <c r="J4955" s="131"/>
      <c r="K4955" s="131"/>
      <c r="L4955" s="131"/>
      <c r="U4955" s="131"/>
      <c r="V4955" s="131"/>
      <c r="W4955" s="131"/>
      <c r="X4955" s="131"/>
    </row>
    <row r="4956" spans="9:24" x14ac:dyDescent="0.25">
      <c r="I4956" s="131"/>
      <c r="J4956" s="131"/>
      <c r="K4956" s="131"/>
      <c r="L4956" s="131"/>
      <c r="U4956" s="131"/>
      <c r="V4956" s="131"/>
      <c r="W4956" s="131"/>
      <c r="X4956" s="131"/>
    </row>
    <row r="4957" spans="9:24" x14ac:dyDescent="0.25">
      <c r="I4957" s="131"/>
      <c r="J4957" s="131"/>
      <c r="K4957" s="131"/>
      <c r="L4957" s="131"/>
      <c r="U4957" s="131"/>
      <c r="V4957" s="131"/>
      <c r="W4957" s="131"/>
      <c r="X4957" s="131"/>
    </row>
    <row r="4958" spans="9:24" x14ac:dyDescent="0.25">
      <c r="I4958" s="131"/>
      <c r="J4958" s="131"/>
      <c r="K4958" s="131"/>
      <c r="L4958" s="131"/>
      <c r="U4958" s="131"/>
      <c r="V4958" s="131"/>
      <c r="W4958" s="131"/>
      <c r="X4958" s="131"/>
    </row>
    <row r="4959" spans="9:24" x14ac:dyDescent="0.25">
      <c r="I4959" s="131"/>
      <c r="J4959" s="131"/>
      <c r="K4959" s="131"/>
      <c r="L4959" s="131"/>
      <c r="U4959" s="131"/>
      <c r="V4959" s="131"/>
      <c r="W4959" s="131"/>
      <c r="X4959" s="131"/>
    </row>
    <row r="4960" spans="9:24" x14ac:dyDescent="0.25">
      <c r="I4960" s="131"/>
      <c r="J4960" s="131"/>
      <c r="K4960" s="131"/>
      <c r="L4960" s="131"/>
      <c r="U4960" s="131"/>
      <c r="V4960" s="131"/>
      <c r="W4960" s="131"/>
      <c r="X4960" s="131"/>
    </row>
    <row r="4961" spans="9:24" x14ac:dyDescent="0.25">
      <c r="I4961" s="131"/>
      <c r="J4961" s="131"/>
      <c r="K4961" s="131"/>
      <c r="L4961" s="131"/>
      <c r="U4961" s="131"/>
      <c r="V4961" s="131"/>
      <c r="W4961" s="131"/>
      <c r="X4961" s="131"/>
    </row>
    <row r="4962" spans="9:24" x14ac:dyDescent="0.25">
      <c r="I4962" s="131"/>
      <c r="J4962" s="131"/>
      <c r="K4962" s="131"/>
      <c r="L4962" s="131"/>
      <c r="U4962" s="131"/>
      <c r="V4962" s="131"/>
      <c r="W4962" s="131"/>
      <c r="X4962" s="131"/>
    </row>
    <row r="4963" spans="9:24" x14ac:dyDescent="0.25">
      <c r="I4963" s="131"/>
      <c r="J4963" s="131"/>
      <c r="K4963" s="131"/>
      <c r="L4963" s="131"/>
      <c r="U4963" s="131"/>
      <c r="V4963" s="131"/>
      <c r="W4963" s="131"/>
      <c r="X4963" s="131"/>
    </row>
    <row r="4964" spans="9:24" x14ac:dyDescent="0.25">
      <c r="I4964" s="131"/>
      <c r="J4964" s="131"/>
      <c r="K4964" s="131"/>
      <c r="L4964" s="131"/>
      <c r="U4964" s="131"/>
      <c r="V4964" s="131"/>
      <c r="W4964" s="131"/>
      <c r="X4964" s="131"/>
    </row>
    <row r="4965" spans="9:24" x14ac:dyDescent="0.25">
      <c r="I4965" s="131"/>
      <c r="J4965" s="131"/>
      <c r="K4965" s="131"/>
      <c r="L4965" s="131"/>
      <c r="U4965" s="131"/>
      <c r="V4965" s="131"/>
      <c r="W4965" s="131"/>
      <c r="X4965" s="131"/>
    </row>
    <row r="4966" spans="9:24" x14ac:dyDescent="0.25">
      <c r="I4966" s="131"/>
      <c r="J4966" s="131"/>
      <c r="K4966" s="131"/>
      <c r="L4966" s="131"/>
      <c r="U4966" s="131"/>
      <c r="V4966" s="131"/>
      <c r="W4966" s="131"/>
      <c r="X4966" s="131"/>
    </row>
    <row r="4967" spans="9:24" x14ac:dyDescent="0.25">
      <c r="I4967" s="131"/>
      <c r="J4967" s="131"/>
      <c r="K4967" s="131"/>
      <c r="L4967" s="131"/>
      <c r="U4967" s="131"/>
      <c r="V4967" s="131"/>
      <c r="W4967" s="131"/>
      <c r="X4967" s="131"/>
    </row>
    <row r="4968" spans="9:24" x14ac:dyDescent="0.25">
      <c r="I4968" s="131"/>
      <c r="J4968" s="131"/>
      <c r="K4968" s="131"/>
      <c r="L4968" s="131"/>
      <c r="U4968" s="131"/>
      <c r="V4968" s="131"/>
      <c r="W4968" s="131"/>
      <c r="X4968" s="131"/>
    </row>
    <row r="4969" spans="9:24" x14ac:dyDescent="0.25">
      <c r="I4969" s="131"/>
      <c r="J4969" s="131"/>
      <c r="K4969" s="131"/>
      <c r="L4969" s="131"/>
      <c r="U4969" s="131"/>
      <c r="V4969" s="131"/>
      <c r="W4969" s="131"/>
      <c r="X4969" s="131"/>
    </row>
    <row r="4970" spans="9:24" x14ac:dyDescent="0.25">
      <c r="I4970" s="131"/>
      <c r="J4970" s="131"/>
      <c r="K4970" s="131"/>
      <c r="L4970" s="131"/>
      <c r="U4970" s="131"/>
      <c r="V4970" s="131"/>
      <c r="W4970" s="131"/>
      <c r="X4970" s="131"/>
    </row>
    <row r="4971" spans="9:24" x14ac:dyDescent="0.25">
      <c r="I4971" s="131"/>
      <c r="J4971" s="131"/>
      <c r="K4971" s="131"/>
      <c r="L4971" s="131"/>
      <c r="U4971" s="131"/>
      <c r="V4971" s="131"/>
      <c r="W4971" s="131"/>
      <c r="X4971" s="131"/>
    </row>
    <row r="4972" spans="9:24" x14ac:dyDescent="0.25">
      <c r="I4972" s="131"/>
      <c r="J4972" s="131"/>
      <c r="K4972" s="131"/>
      <c r="L4972" s="131"/>
      <c r="U4972" s="131"/>
      <c r="V4972" s="131"/>
      <c r="W4972" s="131"/>
      <c r="X4972" s="131"/>
    </row>
    <row r="4973" spans="9:24" x14ac:dyDescent="0.25">
      <c r="I4973" s="131"/>
      <c r="J4973" s="131"/>
      <c r="K4973" s="131"/>
      <c r="L4973" s="131"/>
      <c r="U4973" s="131"/>
      <c r="V4973" s="131"/>
      <c r="W4973" s="131"/>
      <c r="X4973" s="131"/>
    </row>
    <row r="4974" spans="9:24" x14ac:dyDescent="0.25">
      <c r="I4974" s="131"/>
      <c r="J4974" s="131"/>
      <c r="K4974" s="131"/>
      <c r="L4974" s="131"/>
      <c r="U4974" s="131"/>
      <c r="V4974" s="131"/>
      <c r="W4974" s="131"/>
      <c r="X4974" s="131"/>
    </row>
    <row r="4975" spans="9:24" x14ac:dyDescent="0.25">
      <c r="I4975" s="131"/>
      <c r="J4975" s="131"/>
      <c r="K4975" s="131"/>
      <c r="L4975" s="131"/>
      <c r="U4975" s="131"/>
      <c r="V4975" s="131"/>
      <c r="W4975" s="131"/>
      <c r="X4975" s="131"/>
    </row>
    <row r="4976" spans="9:24" x14ac:dyDescent="0.25">
      <c r="I4976" s="131"/>
      <c r="J4976" s="131"/>
      <c r="K4976" s="131"/>
      <c r="L4976" s="131"/>
      <c r="U4976" s="131"/>
      <c r="V4976" s="131"/>
      <c r="W4976" s="131"/>
      <c r="X4976" s="131"/>
    </row>
    <row r="4977" spans="9:24" x14ac:dyDescent="0.25">
      <c r="I4977" s="131"/>
      <c r="J4977" s="131"/>
      <c r="K4977" s="131"/>
      <c r="L4977" s="131"/>
      <c r="U4977" s="131"/>
      <c r="V4977" s="131"/>
      <c r="W4977" s="131"/>
      <c r="X4977" s="131"/>
    </row>
    <row r="4978" spans="9:24" x14ac:dyDescent="0.25">
      <c r="I4978" s="131"/>
      <c r="J4978" s="131"/>
      <c r="K4978" s="131"/>
      <c r="L4978" s="131"/>
      <c r="U4978" s="131"/>
      <c r="V4978" s="131"/>
      <c r="W4978" s="131"/>
      <c r="X4978" s="131"/>
    </row>
    <row r="4979" spans="9:24" x14ac:dyDescent="0.25">
      <c r="I4979" s="131"/>
      <c r="J4979" s="131"/>
      <c r="K4979" s="131"/>
      <c r="L4979" s="131"/>
      <c r="U4979" s="131"/>
      <c r="V4979" s="131"/>
      <c r="W4979" s="131"/>
      <c r="X4979" s="131"/>
    </row>
    <row r="4980" spans="9:24" x14ac:dyDescent="0.25">
      <c r="I4980" s="131"/>
      <c r="J4980" s="131"/>
      <c r="K4980" s="131"/>
      <c r="L4980" s="131"/>
      <c r="U4980" s="131"/>
      <c r="V4980" s="131"/>
      <c r="W4980" s="131"/>
      <c r="X4980" s="131"/>
    </row>
    <row r="4981" spans="9:24" x14ac:dyDescent="0.25">
      <c r="I4981" s="131"/>
      <c r="J4981" s="131"/>
      <c r="K4981" s="131"/>
      <c r="L4981" s="131"/>
      <c r="U4981" s="131"/>
      <c r="V4981" s="131"/>
      <c r="W4981" s="131"/>
      <c r="X4981" s="131"/>
    </row>
    <row r="4982" spans="9:24" x14ac:dyDescent="0.25">
      <c r="I4982" s="131"/>
      <c r="J4982" s="131"/>
      <c r="K4982" s="131"/>
      <c r="L4982" s="131"/>
      <c r="U4982" s="131"/>
      <c r="V4982" s="131"/>
      <c r="W4982" s="131"/>
      <c r="X4982" s="131"/>
    </row>
    <row r="4983" spans="9:24" x14ac:dyDescent="0.25">
      <c r="I4983" s="131"/>
      <c r="J4983" s="131"/>
      <c r="K4983" s="131"/>
      <c r="L4983" s="131"/>
      <c r="U4983" s="131"/>
      <c r="V4983" s="131"/>
      <c r="W4983" s="131"/>
      <c r="X4983" s="131"/>
    </row>
    <row r="4984" spans="9:24" x14ac:dyDescent="0.25">
      <c r="I4984" s="131"/>
      <c r="J4984" s="131"/>
      <c r="K4984" s="131"/>
      <c r="L4984" s="131"/>
      <c r="U4984" s="131"/>
      <c r="V4984" s="131"/>
      <c r="W4984" s="131"/>
      <c r="X4984" s="131"/>
    </row>
    <row r="4985" spans="9:24" x14ac:dyDescent="0.25">
      <c r="I4985" s="131"/>
      <c r="J4985" s="131"/>
      <c r="K4985" s="131"/>
      <c r="L4985" s="131"/>
      <c r="U4985" s="131"/>
      <c r="V4985" s="131"/>
      <c r="W4985" s="131"/>
      <c r="X4985" s="131"/>
    </row>
    <row r="4986" spans="9:24" x14ac:dyDescent="0.25">
      <c r="I4986" s="131"/>
      <c r="J4986" s="131"/>
      <c r="K4986" s="131"/>
      <c r="L4986" s="131"/>
      <c r="U4986" s="131"/>
      <c r="V4986" s="131"/>
      <c r="W4986" s="131"/>
      <c r="X4986" s="131"/>
    </row>
    <row r="4987" spans="9:24" x14ac:dyDescent="0.25">
      <c r="I4987" s="131"/>
      <c r="J4987" s="131"/>
      <c r="K4987" s="131"/>
      <c r="L4987" s="131"/>
      <c r="U4987" s="131"/>
      <c r="V4987" s="131"/>
      <c r="W4987" s="131"/>
      <c r="X4987" s="131"/>
    </row>
    <row r="4988" spans="9:24" x14ac:dyDescent="0.25">
      <c r="I4988" s="131"/>
      <c r="J4988" s="131"/>
      <c r="K4988" s="131"/>
      <c r="L4988" s="131"/>
      <c r="U4988" s="131"/>
      <c r="V4988" s="131"/>
      <c r="W4988" s="131"/>
      <c r="X4988" s="131"/>
    </row>
    <row r="4989" spans="9:24" x14ac:dyDescent="0.25">
      <c r="I4989" s="131"/>
      <c r="J4989" s="131"/>
      <c r="K4989" s="131"/>
      <c r="L4989" s="131"/>
      <c r="U4989" s="131"/>
      <c r="V4989" s="131"/>
      <c r="W4989" s="131"/>
      <c r="X4989" s="131"/>
    </row>
    <row r="4990" spans="9:24" x14ac:dyDescent="0.25">
      <c r="I4990" s="131"/>
      <c r="J4990" s="131"/>
      <c r="K4990" s="131"/>
      <c r="L4990" s="131"/>
      <c r="U4990" s="131"/>
      <c r="V4990" s="131"/>
      <c r="W4990" s="131"/>
      <c r="X4990" s="131"/>
    </row>
    <row r="4991" spans="9:24" x14ac:dyDescent="0.25">
      <c r="I4991" s="131"/>
      <c r="J4991" s="131"/>
      <c r="K4991" s="131"/>
      <c r="L4991" s="131"/>
      <c r="U4991" s="131"/>
      <c r="V4991" s="131"/>
      <c r="W4991" s="131"/>
      <c r="X4991" s="131"/>
    </row>
    <row r="4992" spans="9:24" x14ac:dyDescent="0.25">
      <c r="I4992" s="131"/>
      <c r="J4992" s="131"/>
      <c r="K4992" s="131"/>
      <c r="L4992" s="131"/>
      <c r="U4992" s="131"/>
      <c r="V4992" s="131"/>
      <c r="W4992" s="131"/>
      <c r="X4992" s="131"/>
    </row>
    <row r="4993" spans="9:24" x14ac:dyDescent="0.25">
      <c r="I4993" s="131"/>
      <c r="J4993" s="131"/>
      <c r="K4993" s="131"/>
      <c r="L4993" s="131"/>
      <c r="U4993" s="131"/>
      <c r="V4993" s="131"/>
      <c r="W4993" s="131"/>
      <c r="X4993" s="131"/>
    </row>
    <row r="4994" spans="9:24" x14ac:dyDescent="0.25">
      <c r="I4994" s="131"/>
      <c r="J4994" s="131"/>
      <c r="K4994" s="131"/>
      <c r="L4994" s="131"/>
      <c r="U4994" s="131"/>
      <c r="V4994" s="131"/>
      <c r="W4994" s="131"/>
      <c r="X4994" s="131"/>
    </row>
    <row r="4995" spans="9:24" x14ac:dyDescent="0.25">
      <c r="I4995" s="131"/>
      <c r="J4995" s="131"/>
      <c r="K4995" s="131"/>
      <c r="L4995" s="131"/>
      <c r="U4995" s="131"/>
      <c r="V4995" s="131"/>
      <c r="W4995" s="131"/>
      <c r="X4995" s="131"/>
    </row>
    <row r="4996" spans="9:24" x14ac:dyDescent="0.25">
      <c r="I4996" s="131"/>
      <c r="J4996" s="131"/>
      <c r="K4996" s="131"/>
      <c r="L4996" s="131"/>
      <c r="U4996" s="131"/>
      <c r="V4996" s="131"/>
      <c r="W4996" s="131"/>
      <c r="X4996" s="131"/>
    </row>
    <row r="4997" spans="9:24" x14ac:dyDescent="0.25">
      <c r="I4997" s="131"/>
      <c r="J4997" s="131"/>
      <c r="K4997" s="131"/>
      <c r="L4997" s="131"/>
      <c r="U4997" s="131"/>
      <c r="V4997" s="131"/>
      <c r="W4997" s="131"/>
      <c r="X4997" s="131"/>
    </row>
    <row r="4998" spans="9:24" x14ac:dyDescent="0.25">
      <c r="I4998" s="131"/>
      <c r="J4998" s="131"/>
      <c r="K4998" s="131"/>
      <c r="L4998" s="131"/>
      <c r="U4998" s="131"/>
      <c r="V4998" s="131"/>
      <c r="W4998" s="131"/>
      <c r="X4998" s="131"/>
    </row>
    <row r="4999" spans="9:24" x14ac:dyDescent="0.25">
      <c r="I4999" s="131"/>
      <c r="J4999" s="131"/>
      <c r="K4999" s="131"/>
      <c r="L4999" s="131"/>
      <c r="U4999" s="131"/>
      <c r="V4999" s="131"/>
      <c r="W4999" s="131"/>
      <c r="X4999" s="131"/>
    </row>
    <row r="5000" spans="9:24" x14ac:dyDescent="0.25">
      <c r="I5000" s="131"/>
      <c r="J5000" s="131"/>
      <c r="K5000" s="131"/>
      <c r="L5000" s="131"/>
      <c r="U5000" s="131"/>
      <c r="V5000" s="131"/>
      <c r="W5000" s="131"/>
      <c r="X5000" s="131"/>
    </row>
  </sheetData>
  <mergeCells count="18">
    <mergeCell ref="A15:B15"/>
    <mergeCell ref="E15:F15"/>
    <mergeCell ref="Q16:T16"/>
    <mergeCell ref="A1:F6"/>
    <mergeCell ref="A7:F9"/>
    <mergeCell ref="J12:K12"/>
    <mergeCell ref="G10:G11"/>
    <mergeCell ref="X1:Y2"/>
    <mergeCell ref="X3:Y3"/>
    <mergeCell ref="X4:Y4"/>
    <mergeCell ref="AB16:AE16"/>
    <mergeCell ref="J6:Y8"/>
    <mergeCell ref="X5:Y5"/>
    <mergeCell ref="V12:W12"/>
    <mergeCell ref="X9:Y9"/>
    <mergeCell ref="X14:Y14"/>
    <mergeCell ref="V1:V2"/>
    <mergeCell ref="W1:W2"/>
  </mergeCells>
  <conditionalFormatting sqref="M17:O107 Y17:AA107 Y18:Y115 N17:O115 Z17:AA115 O18:O199 AA18:AA221">
    <cfRule type="containsText" dxfId="12" priority="3154" operator="containsText" text="NOT IN BOM">
      <formula>NOT(ISERROR(SEARCH("NOT IN BOM",M17)))</formula>
    </cfRule>
    <cfRule type="containsText" dxfId="11" priority="3155" operator="containsText" text="DIFF QTY">
      <formula>NOT(ISERROR(SEARCH("DIFF QTY",M17)))</formula>
    </cfRule>
    <cfRule type="notContainsBlanks" dxfId="10" priority="3159">
      <formula>LEN(TRIM(M17))&gt;0</formula>
    </cfRule>
  </conditionalFormatting>
  <conditionalFormatting sqref="K10:O11 W3:AA5 W9:AA9 Z6:AA8">
    <cfRule type="containsText" dxfId="9" priority="3151" operator="containsText" text="✓ - ">
      <formula>NOT(ISERROR(SEARCH("✓ - ",K3)))</formula>
    </cfRule>
    <cfRule type="containsText" dxfId="8" priority="3152" operator="containsText" text="X - ">
      <formula>NOT(ISERROR(SEARCH("X - ",K3)))</formula>
    </cfRule>
  </conditionalFormatting>
  <conditionalFormatting sqref="J14:K14 V14:W14 V13:V14">
    <cfRule type="containsBlanks" dxfId="7" priority="3149">
      <formula>LEN(TRIM(J13))=0</formula>
    </cfRule>
  </conditionalFormatting>
  <conditionalFormatting sqref="A13:L13 A10:F11 A15:F15 A6:I8 A17:D231 E35:F231 E17:F29 V13:V14 Z6:XFD8 P13:XFD13 A1:XFD5 A9:XFD9 I15:XFD15 A232:XFD1048576 A12:XFD12 A16:XFD16 I10:XFD10 K11:XFD11 G17:XFD231 A14:XFD14">
    <cfRule type="containsText" dxfId="6" priority="3145" operator="containsText" text="*DOUBLE CLICK">
      <formula>NOT(ISERROR(SEARCH("*DOUBLE CLICK",A1)))</formula>
    </cfRule>
  </conditionalFormatting>
  <conditionalFormatting sqref="A10:F11 A15:F15 A6:I8 A17:D231 E35:F231 E17:F29 Z6:XFD8 A1:XFD5 A9:XFD9 I15:XFD15 A232:XFD1048576 A16:XFD16 I10:XFD10 K11:XFD11 G17:XFD231 A12:XFD14">
    <cfRule type="containsText" dxfId="5" priority="3137" operator="containsText" text="⚙️">
      <formula>NOT(ISERROR(SEARCH("⚙️",A1)))</formula>
    </cfRule>
  </conditionalFormatting>
  <conditionalFormatting sqref="A1:XFD4">
    <cfRule type="containsBlanks" dxfId="4" priority="5">
      <formula>LEN(TRIM(A1))=0</formula>
    </cfRule>
  </conditionalFormatting>
  <conditionalFormatting sqref="G10:G1048576">
    <cfRule type="notContainsBlanks" dxfId="3" priority="3162">
      <formula>LEN(TRIM(G10))&gt;0</formula>
    </cfRule>
    <cfRule type="containsBlanks" dxfId="2" priority="3162">
      <formula>LEN(TRIM(G10))=0</formula>
    </cfRule>
  </conditionalFormatting>
  <conditionalFormatting sqref="H10:XFD1048576">
    <cfRule type="notContainsBlanks" dxfId="1" priority="2">
      <formula>LEN(TRIM(H10))&gt;0</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A0128-17F8-4786-9BED-743D40BE63AB}">
  <sheetPr codeName="Sheet6"/>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7F691-C492-4AA2-BB2D-A3BC05AD54B5}">
  <sheetPr codeName="Sheet5">
    <pageSetUpPr fitToPage="1"/>
  </sheetPr>
  <dimension ref="A1:AC208"/>
  <sheetViews>
    <sheetView showGridLines="0" zoomScaleNormal="100" zoomScaleSheetLayoutView="85" workbookViewId="0">
      <selection activeCell="M113" sqref="M113"/>
    </sheetView>
  </sheetViews>
  <sheetFormatPr defaultColWidth="9.140625" defaultRowHeight="18.75" x14ac:dyDescent="0.3"/>
  <cols>
    <col min="1" max="1" width="42.140625" style="9" customWidth="1"/>
    <col min="2" max="2" width="3.7109375" style="9" customWidth="1"/>
    <col min="3" max="3" width="3.7109375" style="2" customWidth="1"/>
    <col min="4" max="4" width="37.42578125" style="10" customWidth="1"/>
    <col min="5" max="5" width="3.5703125" style="9" customWidth="1"/>
    <col min="6" max="7" width="3.5703125" style="2" customWidth="1"/>
    <col min="8" max="10" width="26.42578125" style="2" customWidth="1"/>
    <col min="11" max="11" width="21" style="85" bestFit="1" customWidth="1"/>
    <col min="12" max="12" width="15.42578125" style="2" bestFit="1" customWidth="1"/>
    <col min="13" max="13" width="19.28515625" style="2" bestFit="1" customWidth="1"/>
    <col min="14" max="14" width="9.7109375" style="2" bestFit="1" customWidth="1"/>
    <col min="15" max="15" width="17.7109375" style="2" bestFit="1" customWidth="1"/>
    <col min="16" max="20" width="2.5703125" style="2" customWidth="1"/>
    <col min="21" max="21" width="7" style="2" customWidth="1"/>
    <col min="22" max="22" width="28.28515625" style="10" customWidth="1"/>
    <col min="23" max="23" width="16.5703125" style="98" customWidth="1"/>
    <col min="24" max="24" width="16.5703125" style="10" customWidth="1"/>
    <col min="25" max="25" width="16.5703125" style="98" customWidth="1"/>
    <col min="26" max="27" width="9.140625" style="2"/>
    <col min="28" max="28" width="13.140625" style="2" bestFit="1" customWidth="1"/>
    <col min="29" max="29" width="9.85546875" style="2" bestFit="1" customWidth="1"/>
    <col min="30" max="16384" width="9.140625" style="2"/>
  </cols>
  <sheetData>
    <row r="1" spans="1:29" s="24" customFormat="1" ht="60" customHeight="1" x14ac:dyDescent="1.35">
      <c r="A1" s="84"/>
      <c r="B1" s="25"/>
      <c r="C1" s="25"/>
      <c r="D1" s="25"/>
      <c r="E1" s="25"/>
      <c r="F1" s="25"/>
      <c r="G1" s="25"/>
      <c r="H1" s="25"/>
      <c r="I1" s="25"/>
      <c r="J1" s="25"/>
      <c r="K1" s="86"/>
      <c r="V1" s="92"/>
      <c r="W1" s="96"/>
      <c r="X1" s="92"/>
      <c r="Y1" s="96"/>
    </row>
    <row r="2" spans="1:29" s="26" customFormat="1" ht="75" customHeight="1" thickBot="1" x14ac:dyDescent="0.3">
      <c r="A2" s="76"/>
      <c r="B2" s="27">
        <f>COUNT(B9:B209)</f>
        <v>0</v>
      </c>
      <c r="C2" s="29" t="s">
        <v>30</v>
      </c>
      <c r="D2" s="29"/>
      <c r="E2" s="29"/>
      <c r="F2" s="29"/>
      <c r="G2" s="29"/>
      <c r="K2" s="87"/>
      <c r="V2" s="93"/>
      <c r="W2" s="97"/>
      <c r="X2" s="93"/>
      <c r="Y2" s="97"/>
    </row>
    <row r="3" spans="1:29" s="12" customFormat="1" ht="18.75" customHeight="1" thickTop="1" x14ac:dyDescent="0.25">
      <c r="A3" s="71"/>
      <c r="B3" s="14"/>
      <c r="D3" s="13"/>
      <c r="E3" s="14"/>
      <c r="K3" s="88"/>
    </row>
    <row r="4" spans="1:29" s="12" customFormat="1" ht="18.75" customHeight="1" x14ac:dyDescent="0.25">
      <c r="A4" s="75"/>
      <c r="B4" s="14"/>
      <c r="D4" s="13"/>
      <c r="E4" s="14"/>
      <c r="J4" s="90" t="s">
        <v>68</v>
      </c>
      <c r="K4" s="91" t="s">
        <v>66</v>
      </c>
      <c r="U4" s="102" t="s">
        <v>284</v>
      </c>
      <c r="V4" s="101" t="s">
        <v>261</v>
      </c>
      <c r="W4" s="100">
        <v>1</v>
      </c>
      <c r="X4" s="100">
        <v>2</v>
      </c>
      <c r="Y4" s="100">
        <v>3</v>
      </c>
      <c r="Z4" s="100">
        <v>4</v>
      </c>
      <c r="AA4" s="64" t="s">
        <v>262</v>
      </c>
      <c r="AB4" s="64" t="s">
        <v>263</v>
      </c>
      <c r="AC4" s="103" t="s">
        <v>286</v>
      </c>
    </row>
    <row r="5" spans="1:29" s="12" customFormat="1" ht="18.75" customHeight="1" x14ac:dyDescent="0.7">
      <c r="A5" s="73"/>
      <c r="B5" s="77"/>
      <c r="C5" s="77"/>
      <c r="D5" s="77"/>
      <c r="E5" s="78"/>
      <c r="F5" s="78"/>
      <c r="G5" s="78"/>
      <c r="J5" s="64">
        <f>COUNTA(K10:K500)</f>
        <v>16</v>
      </c>
      <c r="K5" s="88"/>
      <c r="V5" s="101" t="s">
        <v>259</v>
      </c>
      <c r="W5" s="100" t="str">
        <f t="shared" ref="W5:Z6" ca="1" si="0">IFERROR(VLOOKUP(LEFT(RIGHT(OFFSET($D$8,$J10,0,1,1),14-3*W$4),2),$W$10:$X$500,2,FALSE),"")</f>
        <v/>
      </c>
      <c r="X5" s="100" t="str">
        <f t="shared" ca="1" si="0"/>
        <v/>
      </c>
      <c r="Y5" s="100" t="str">
        <f t="shared" ca="1" si="0"/>
        <v/>
      </c>
      <c r="Z5" s="100" t="str">
        <f t="shared" ca="1" si="0"/>
        <v/>
      </c>
      <c r="AA5" s="64"/>
      <c r="AB5" s="64" t="b">
        <f ca="1">AND(W5&lt;&gt;"",X5&lt;&gt;"",Y5&lt;&gt;"",Z5&lt;&gt;"")</f>
        <v>0</v>
      </c>
      <c r="AC5" s="64" t="b">
        <f ca="1">AND(W5&lt;&gt;$X$170,X5&lt;&gt;$X$170,Y5&lt;&gt;$X$170,Z5&lt;&gt;$X$170)</f>
        <v>1</v>
      </c>
    </row>
    <row r="6" spans="1:29" ht="18.75" customHeight="1" x14ac:dyDescent="0.3">
      <c r="B6" s="79"/>
      <c r="C6" s="80"/>
      <c r="D6" s="80"/>
      <c r="E6" s="78"/>
      <c r="F6" s="78"/>
      <c r="G6" s="78"/>
      <c r="V6" s="101" t="s">
        <v>260</v>
      </c>
      <c r="W6" s="100" t="str">
        <f t="shared" ca="1" si="0"/>
        <v/>
      </c>
      <c r="X6" s="100" t="str">
        <f t="shared" ca="1" si="0"/>
        <v/>
      </c>
      <c r="Y6" s="100" t="str">
        <f t="shared" ca="1" si="0"/>
        <v/>
      </c>
      <c r="Z6" s="100" t="str">
        <f t="shared" ca="1" si="0"/>
        <v/>
      </c>
      <c r="AA6" s="64"/>
      <c r="AB6" s="64" t="b">
        <f ca="1">AND(W6&lt;&gt;"",X6&lt;&gt;"",Y6&lt;&gt;"",Z6&lt;&gt;"")</f>
        <v>0</v>
      </c>
      <c r="AC6" s="64" t="b">
        <f ca="1">AND(W6&lt;&gt;$X$170,X6&lt;&gt;$X$170,Y6&lt;&gt;$X$170,Z6&lt;&gt;$X$170)</f>
        <v>1</v>
      </c>
    </row>
    <row r="7" spans="1:29" ht="18.75" customHeight="1" x14ac:dyDescent="0.3">
      <c r="B7" s="79"/>
      <c r="C7" s="80"/>
      <c r="D7" s="81"/>
      <c r="E7" s="78"/>
      <c r="F7" s="78"/>
      <c r="G7" s="78"/>
    </row>
    <row r="8" spans="1:29" x14ac:dyDescent="0.3">
      <c r="B8" s="82"/>
      <c r="C8" s="83"/>
      <c r="D8" s="83"/>
      <c r="E8" s="83"/>
      <c r="F8" s="83"/>
      <c r="G8" s="82"/>
      <c r="V8" s="191" t="s">
        <v>84</v>
      </c>
      <c r="W8" s="191"/>
      <c r="X8" s="191"/>
      <c r="Y8" s="191"/>
    </row>
    <row r="9" spans="1:29" x14ac:dyDescent="0.3">
      <c r="B9" s="11"/>
      <c r="C9" s="15"/>
      <c r="D9" s="15"/>
      <c r="E9" s="15"/>
      <c r="F9" s="15"/>
      <c r="G9" s="15"/>
      <c r="I9" s="190" t="s">
        <v>31</v>
      </c>
      <c r="J9" s="190"/>
      <c r="K9" s="190"/>
      <c r="L9" s="190"/>
      <c r="M9" s="190"/>
      <c r="N9" s="8"/>
      <c r="O9" s="8"/>
      <c r="P9" s="8"/>
      <c r="V9" s="95" t="s">
        <v>234</v>
      </c>
      <c r="W9" s="95" t="s">
        <v>235</v>
      </c>
      <c r="X9" s="95" t="s">
        <v>0</v>
      </c>
      <c r="Y9" s="95" t="s">
        <v>255</v>
      </c>
    </row>
    <row r="10" spans="1:29" x14ac:dyDescent="0.3">
      <c r="B10" s="11"/>
      <c r="C10" s="15"/>
      <c r="D10" s="15"/>
      <c r="E10" s="15"/>
      <c r="F10" s="15"/>
      <c r="G10" s="15"/>
      <c r="I10" s="2">
        <v>0</v>
      </c>
      <c r="J10" s="2" t="e">
        <f t="shared" ref="J10:J21" si="1">IFERROR(IFERROR(IFERROR(MATCH(L10,C$9:C$500,0),MATCH(M10,C$9:C$500,0)),MATCH(N10,C$9:C$500,0)),MATCH(O10,C$9:C$500,0))</f>
        <v>#N/A</v>
      </c>
      <c r="K10" s="89" t="s">
        <v>32</v>
      </c>
      <c r="L10" s="8" t="s">
        <v>65</v>
      </c>
      <c r="M10" s="8" t="s">
        <v>70</v>
      </c>
      <c r="N10" s="8"/>
      <c r="O10" s="8"/>
      <c r="P10" s="8"/>
      <c r="V10" s="94" t="s">
        <v>96</v>
      </c>
      <c r="W10" s="98" t="str">
        <f t="shared" ref="W10:W17" si="2">LEFT(V10,2)</f>
        <v>00</v>
      </c>
      <c r="X10" s="10" t="str">
        <f t="shared" ref="X10:X17" si="3">MID(V10, 6, 5000)</f>
        <v>Nothing, Blank</v>
      </c>
      <c r="Y10" s="99" t="s">
        <v>256</v>
      </c>
    </row>
    <row r="11" spans="1:29" x14ac:dyDescent="0.3">
      <c r="B11" s="11"/>
      <c r="C11" s="15"/>
      <c r="D11" s="15"/>
      <c r="E11" s="15"/>
      <c r="F11" s="15"/>
      <c r="G11" s="15"/>
      <c r="I11" s="2">
        <v>1</v>
      </c>
      <c r="J11" s="2" t="e">
        <f t="shared" si="1"/>
        <v>#N/A</v>
      </c>
      <c r="K11" s="89" t="s">
        <v>33</v>
      </c>
      <c r="L11" s="8" t="s">
        <v>67</v>
      </c>
      <c r="M11" s="8" t="s">
        <v>71</v>
      </c>
      <c r="N11" s="8"/>
      <c r="O11" s="8"/>
      <c r="P11" s="8"/>
      <c r="V11" s="94" t="s">
        <v>97</v>
      </c>
      <c r="W11" s="98" t="str">
        <f t="shared" si="2"/>
        <v>01</v>
      </c>
      <c r="X11" s="10" t="str">
        <f t="shared" si="3"/>
        <v>NPTF Port, Dryseal USA Standard Taper Pipe Thread</v>
      </c>
      <c r="Y11" s="99" t="s">
        <v>256</v>
      </c>
    </row>
    <row r="12" spans="1:29" x14ac:dyDescent="0.3">
      <c r="B12" s="11"/>
      <c r="C12" s="15"/>
      <c r="D12" s="15"/>
      <c r="E12" s="15"/>
      <c r="F12" s="15"/>
      <c r="G12" s="15"/>
      <c r="I12" s="2">
        <v>2</v>
      </c>
      <c r="J12" s="2" t="e">
        <f t="shared" si="1"/>
        <v>#N/A</v>
      </c>
      <c r="K12" s="89" t="s">
        <v>34</v>
      </c>
      <c r="L12" s="8" t="s">
        <v>42</v>
      </c>
      <c r="M12" s="8" t="s">
        <v>43</v>
      </c>
      <c r="N12" s="8" t="s">
        <v>73</v>
      </c>
      <c r="O12" s="8"/>
      <c r="P12" s="8"/>
      <c r="V12" s="10" t="s">
        <v>85</v>
      </c>
      <c r="W12" s="98" t="str">
        <f t="shared" si="2"/>
        <v>03</v>
      </c>
      <c r="X12" s="10" t="str">
        <f t="shared" si="3"/>
        <v>ISO-6149-1 Port and Needle Valve</v>
      </c>
      <c r="Y12" s="99" t="s">
        <v>256</v>
      </c>
    </row>
    <row r="13" spans="1:29" x14ac:dyDescent="0.3">
      <c r="B13" s="11"/>
      <c r="C13" s="15"/>
      <c r="D13" s="15"/>
      <c r="E13" s="15"/>
      <c r="F13" s="15"/>
      <c r="G13" s="15"/>
      <c r="I13" s="2">
        <v>3</v>
      </c>
      <c r="J13" s="2" t="e">
        <f>IFERROR(IFERROR(IFERROR(MATCH(L13,C$9:C$500,0),MATCH(M13,C$9:C$500,0)),MATCH(N13,C$9:C$500,0)),MATCH(O13,C$9:C$500,0))</f>
        <v>#N/A</v>
      </c>
      <c r="K13" s="89" t="s">
        <v>35</v>
      </c>
      <c r="L13" s="8" t="s">
        <v>45</v>
      </c>
      <c r="M13" s="8" t="s">
        <v>80</v>
      </c>
      <c r="N13" s="8" t="s">
        <v>46</v>
      </c>
      <c r="O13" s="8"/>
      <c r="P13" s="8"/>
      <c r="V13" s="10" t="s">
        <v>86</v>
      </c>
      <c r="W13" s="98" t="str">
        <f t="shared" si="2"/>
        <v>04</v>
      </c>
      <c r="X13" s="10" t="str">
        <f t="shared" si="3"/>
        <v>Oversize BSPT, One Size Over Per Linesheet Page 153A</v>
      </c>
      <c r="Y13" s="99" t="s">
        <v>256</v>
      </c>
    </row>
    <row r="14" spans="1:29" x14ac:dyDescent="0.3">
      <c r="B14" s="11"/>
      <c r="C14" s="15"/>
      <c r="D14" s="15"/>
      <c r="E14" s="15"/>
      <c r="F14" s="15"/>
      <c r="G14" s="15"/>
      <c r="I14" s="2">
        <v>4</v>
      </c>
      <c r="J14" s="2" t="e">
        <f>IFERROR(IFERROR(IFERROR(MATCH(L14,C$9:C$500,0),MATCH(M14,C$9:C$500,0)),MATCH(N14,C$9:C$500,0)),MATCH(O14,C$9:C$500,0))</f>
        <v>#N/A</v>
      </c>
      <c r="K14" s="89" t="s">
        <v>36</v>
      </c>
      <c r="L14" s="8" t="s">
        <v>47</v>
      </c>
      <c r="M14" s="8" t="s">
        <v>48</v>
      </c>
      <c r="N14" s="8" t="s">
        <v>49</v>
      </c>
      <c r="O14" s="8" t="s">
        <v>51</v>
      </c>
      <c r="P14" s="8"/>
      <c r="V14" s="10" t="s">
        <v>87</v>
      </c>
      <c r="W14" s="98" t="str">
        <f t="shared" si="2"/>
        <v>05</v>
      </c>
      <c r="X14" s="10" t="str">
        <f t="shared" si="3"/>
        <v>SAE Port, Inch Straight Thread Port per Drawing 0693640000</v>
      </c>
      <c r="Y14" s="99" t="s">
        <v>256</v>
      </c>
    </row>
    <row r="15" spans="1:29" x14ac:dyDescent="0.3">
      <c r="B15" s="11"/>
      <c r="C15" s="15"/>
      <c r="D15" s="15"/>
      <c r="E15" s="15"/>
      <c r="F15" s="15"/>
      <c r="G15" s="15"/>
      <c r="I15" s="2">
        <v>5</v>
      </c>
      <c r="J15" s="2" t="e">
        <f t="shared" si="1"/>
        <v>#N/A</v>
      </c>
      <c r="K15" s="89" t="s">
        <v>37</v>
      </c>
      <c r="L15" s="8" t="s">
        <v>54</v>
      </c>
      <c r="M15" s="8"/>
      <c r="N15" s="8"/>
      <c r="O15" s="8"/>
      <c r="P15" s="8"/>
      <c r="V15" s="10" t="s">
        <v>88</v>
      </c>
      <c r="W15" s="98" t="str">
        <f t="shared" si="2"/>
        <v>06</v>
      </c>
      <c r="X15" s="10" t="str">
        <f t="shared" si="3"/>
        <v>Oversize Metric Port, One Size Over ES-088</v>
      </c>
      <c r="Y15" s="99" t="s">
        <v>256</v>
      </c>
    </row>
    <row r="16" spans="1:29" x14ac:dyDescent="0.3">
      <c r="B16" s="11"/>
      <c r="C16" s="15"/>
      <c r="D16" s="15"/>
      <c r="E16" s="15"/>
      <c r="F16" s="15"/>
      <c r="G16" s="15"/>
      <c r="I16" s="2">
        <v>6</v>
      </c>
      <c r="J16" s="2" t="e">
        <f t="shared" si="1"/>
        <v>#N/A</v>
      </c>
      <c r="K16" s="89" t="s">
        <v>38</v>
      </c>
      <c r="L16" s="8" t="s">
        <v>55</v>
      </c>
      <c r="M16" s="8" t="s">
        <v>69</v>
      </c>
      <c r="N16" s="8"/>
      <c r="O16" s="8"/>
      <c r="P16" s="8"/>
      <c r="V16" s="10" t="s">
        <v>89</v>
      </c>
      <c r="W16" s="98" t="str">
        <f t="shared" si="2"/>
        <v>08</v>
      </c>
      <c r="X16" s="10" t="str">
        <f t="shared" si="3"/>
        <v>Limit Switch, Threaded GO Switch Machining, end of stroke</v>
      </c>
      <c r="Y16" s="99" t="s">
        <v>256</v>
      </c>
    </row>
    <row r="17" spans="2:25" x14ac:dyDescent="0.3">
      <c r="B17" s="11"/>
      <c r="C17" s="15"/>
      <c r="D17" s="15"/>
      <c r="E17" s="15"/>
      <c r="F17" s="15"/>
      <c r="G17" s="15"/>
      <c r="I17" s="2">
        <v>7</v>
      </c>
      <c r="J17" s="2" t="e">
        <f t="shared" si="1"/>
        <v>#N/A</v>
      </c>
      <c r="K17" s="89" t="s">
        <v>39</v>
      </c>
      <c r="L17" s="8" t="s">
        <v>56</v>
      </c>
      <c r="M17" s="8" t="s">
        <v>52</v>
      </c>
      <c r="N17" s="8"/>
      <c r="O17" s="8"/>
      <c r="P17" s="8"/>
      <c r="V17" s="10" t="s">
        <v>95</v>
      </c>
      <c r="W17" s="98" t="str">
        <f t="shared" si="2"/>
        <v>0A</v>
      </c>
      <c r="X17" s="10" t="str">
        <f t="shared" si="3"/>
        <v>Needle and Check Valve (Do not use for new designs of cartridge needle vavles)</v>
      </c>
      <c r="Y17" s="99" t="s">
        <v>256</v>
      </c>
    </row>
    <row r="18" spans="2:25" x14ac:dyDescent="0.3">
      <c r="B18" s="11"/>
      <c r="C18" s="15"/>
      <c r="D18" s="15"/>
      <c r="E18" s="15"/>
      <c r="F18" s="15"/>
      <c r="G18" s="15"/>
      <c r="I18" s="2">
        <v>8</v>
      </c>
      <c r="J18" s="2" t="e">
        <f t="shared" si="1"/>
        <v>#N/A</v>
      </c>
      <c r="K18" s="89" t="s">
        <v>40</v>
      </c>
      <c r="L18" s="8" t="s">
        <v>53</v>
      </c>
      <c r="M18" s="8" t="s">
        <v>57</v>
      </c>
      <c r="N18" s="8" t="s">
        <v>58</v>
      </c>
      <c r="O18" s="8"/>
      <c r="P18" s="8"/>
      <c r="V18" s="10" t="s">
        <v>264</v>
      </c>
      <c r="W18" s="98" t="str">
        <f t="shared" ref="W18:W39" si="4">LEFT(V18,2)</f>
        <v>0B</v>
      </c>
      <c r="X18" s="10" t="str">
        <f t="shared" ref="X18:X39" si="5">MID(V18, 6, 5000)</f>
        <v>British Standard Port (BSPT) Per Drawing: ES-087</v>
      </c>
      <c r="Y18" s="99" t="s">
        <v>256</v>
      </c>
    </row>
    <row r="19" spans="2:25" x14ac:dyDescent="0.3">
      <c r="B19" s="11"/>
      <c r="C19" s="15"/>
      <c r="D19" s="15"/>
      <c r="E19" s="15"/>
      <c r="F19" s="15"/>
      <c r="G19" s="15"/>
      <c r="I19" s="2">
        <v>9</v>
      </c>
      <c r="J19" s="2" t="e">
        <f t="shared" si="1"/>
        <v>#N/A</v>
      </c>
      <c r="K19" s="89" t="s">
        <v>41</v>
      </c>
      <c r="L19" s="8" t="s">
        <v>50</v>
      </c>
      <c r="M19" s="8" t="s">
        <v>59</v>
      </c>
      <c r="N19" s="8"/>
      <c r="O19" s="8"/>
      <c r="P19" s="8"/>
      <c r="V19" s="10" t="s">
        <v>90</v>
      </c>
      <c r="W19" s="98" t="str">
        <f t="shared" si="4"/>
        <v>0C</v>
      </c>
      <c r="X19" s="10" t="str">
        <f t="shared" si="5"/>
        <v>Check Valve</v>
      </c>
      <c r="Y19" s="99" t="s">
        <v>256</v>
      </c>
    </row>
    <row r="20" spans="2:25" x14ac:dyDescent="0.3">
      <c r="B20" s="11"/>
      <c r="C20" s="15"/>
      <c r="D20" s="15"/>
      <c r="E20" s="15"/>
      <c r="F20" s="15"/>
      <c r="G20" s="15"/>
      <c r="I20" s="2">
        <v>10</v>
      </c>
      <c r="J20" s="2" t="e">
        <f t="shared" si="1"/>
        <v>#N/A</v>
      </c>
      <c r="K20" s="85" t="s">
        <v>60</v>
      </c>
      <c r="L20" s="2" t="s">
        <v>61</v>
      </c>
      <c r="M20" s="2" t="s">
        <v>78</v>
      </c>
      <c r="N20" s="2" t="s">
        <v>79</v>
      </c>
      <c r="V20" s="10" t="s">
        <v>265</v>
      </c>
      <c r="W20" s="98" t="str">
        <f t="shared" si="4"/>
        <v>0D</v>
      </c>
      <c r="X20" s="10" t="str">
        <f t="shared" si="5"/>
        <v>Two Check Valves</v>
      </c>
      <c r="Y20" s="99" t="s">
        <v>256</v>
      </c>
    </row>
    <row r="21" spans="2:25" x14ac:dyDescent="0.3">
      <c r="B21" s="11"/>
      <c r="C21" s="15"/>
      <c r="D21" s="15"/>
      <c r="E21" s="15"/>
      <c r="F21" s="15"/>
      <c r="G21" s="15"/>
      <c r="I21" s="2">
        <v>11</v>
      </c>
      <c r="J21" s="2" t="e">
        <f t="shared" si="1"/>
        <v>#N/A</v>
      </c>
      <c r="K21" s="85" t="s">
        <v>62</v>
      </c>
      <c r="L21" s="2" t="s">
        <v>63</v>
      </c>
      <c r="V21" s="10" t="s">
        <v>266</v>
      </c>
      <c r="W21" s="98" t="str">
        <f t="shared" si="4"/>
        <v>0E</v>
      </c>
      <c r="X21" s="10" t="str">
        <f t="shared" si="5"/>
        <v>Air CylinderNalve Combo Port Drawing: 144870</v>
      </c>
      <c r="Y21" s="99" t="s">
        <v>256</v>
      </c>
    </row>
    <row r="22" spans="2:25" x14ac:dyDescent="0.3">
      <c r="B22" s="11"/>
      <c r="C22" s="15"/>
      <c r="D22" s="15"/>
      <c r="E22" s="15"/>
      <c r="F22" s="15"/>
      <c r="G22" s="15"/>
      <c r="I22" s="2">
        <v>12</v>
      </c>
      <c r="J22" s="2" t="e">
        <f>IFERROR(IFERROR(IFERROR(MATCH(L22,C$9:C$500,0),MATCH(M22,C$9:C$500,0)),MATCH(N22,C$9:C$500,0)),MATCH(O22,C$9:C$500,0))</f>
        <v>#N/A</v>
      </c>
      <c r="K22" s="85" t="s">
        <v>64</v>
      </c>
      <c r="L22" s="2" t="s">
        <v>74</v>
      </c>
      <c r="M22" s="2" t="s">
        <v>285</v>
      </c>
      <c r="N22" s="2" t="s">
        <v>287</v>
      </c>
      <c r="V22" s="10" t="s">
        <v>267</v>
      </c>
      <c r="W22" s="98" t="str">
        <f t="shared" si="4"/>
        <v>0F</v>
      </c>
      <c r="X22" s="10" t="str">
        <f t="shared" si="5"/>
        <v>One Needle and Two Check Valves</v>
      </c>
      <c r="Y22" s="99" t="s">
        <v>256</v>
      </c>
    </row>
    <row r="23" spans="2:25" x14ac:dyDescent="0.3">
      <c r="B23" s="11"/>
      <c r="C23" s="15"/>
      <c r="D23" s="15"/>
      <c r="E23" s="15"/>
      <c r="F23" s="15"/>
      <c r="G23" s="15"/>
      <c r="I23" s="2">
        <v>13</v>
      </c>
      <c r="J23" s="2" t="e">
        <f>IFERROR(IFERROR(IFERROR(MATCH(L23,C$9:C$500,0),MATCH(M23,C$9:C$500,0)),MATCH(N23,C$9:C$500,0)),MATCH(O23,C$9:C$500,0))</f>
        <v>#N/A</v>
      </c>
      <c r="K23" s="85" t="s">
        <v>72</v>
      </c>
      <c r="L23" s="2" t="s">
        <v>44</v>
      </c>
      <c r="V23" s="10" t="s">
        <v>91</v>
      </c>
      <c r="W23" s="98" t="str">
        <f t="shared" si="4"/>
        <v>0G</v>
      </c>
      <c r="X23" s="10" t="str">
        <f t="shared" si="5"/>
        <v>Metric Port Per ES-088 (except for HMI, AHM, MHP &amp; SHM Cylinders)</v>
      </c>
      <c r="Y23" s="99" t="s">
        <v>256</v>
      </c>
    </row>
    <row r="24" spans="2:25" x14ac:dyDescent="0.3">
      <c r="B24" s="11"/>
      <c r="C24" s="15"/>
      <c r="D24" s="15"/>
      <c r="E24" s="15"/>
      <c r="F24" s="15"/>
      <c r="G24" s="15"/>
      <c r="I24" s="2">
        <v>14</v>
      </c>
      <c r="J24" s="2" t="e">
        <f>IFERROR(IFERROR(IFERROR(MATCH(L24,C$9:C$500,0),MATCH(M24,C$9:C$500,0)),MATCH(N24,C$9:C$500,0)),MATCH(O24,C$9:C$500,0))</f>
        <v>#N/A</v>
      </c>
      <c r="K24" s="85" t="s">
        <v>75</v>
      </c>
      <c r="L24" s="2" t="s">
        <v>76</v>
      </c>
      <c r="M24" s="2" t="s">
        <v>77</v>
      </c>
      <c r="V24" s="10" t="s">
        <v>268</v>
      </c>
      <c r="W24" s="98" t="str">
        <f t="shared" si="4"/>
        <v>0H</v>
      </c>
      <c r="X24" s="10" t="str">
        <f t="shared" si="5"/>
        <v>Oversize NPTF, One Size Over</v>
      </c>
      <c r="Y24" s="99" t="s">
        <v>256</v>
      </c>
    </row>
    <row r="25" spans="2:25" x14ac:dyDescent="0.3">
      <c r="B25" s="11"/>
      <c r="C25" s="15"/>
      <c r="D25" s="15"/>
      <c r="E25" s="15"/>
      <c r="F25" s="15"/>
      <c r="G25" s="15"/>
      <c r="I25" s="2">
        <v>15</v>
      </c>
      <c r="J25" s="2" t="e">
        <f>IFERROR(IFERROR(IFERROR(MATCH(L25,C$9:C$500,0),MATCH(M25,C$9:C$500,0)),MATCH(N25,C$9:C$500,0)),MATCH(O25,C$9:C$500,0))</f>
        <v>#N/A</v>
      </c>
      <c r="K25" s="85" t="s">
        <v>81</v>
      </c>
      <c r="L25" s="2" t="s">
        <v>83</v>
      </c>
      <c r="M25" s="2" t="s">
        <v>82</v>
      </c>
      <c r="V25" s="10" t="s">
        <v>269</v>
      </c>
      <c r="W25" s="98" t="str">
        <f t="shared" si="4"/>
        <v>0J</v>
      </c>
      <c r="X25" s="10" t="str">
        <f t="shared" si="5"/>
        <v>Undersize NPTF, One Size Under</v>
      </c>
      <c r="Y25" s="99" t="s">
        <v>256</v>
      </c>
    </row>
    <row r="26" spans="2:25" x14ac:dyDescent="0.3">
      <c r="B26" s="11"/>
      <c r="C26" s="15"/>
      <c r="D26" s="15"/>
      <c r="E26" s="15"/>
      <c r="F26" s="15"/>
      <c r="G26" s="15"/>
      <c r="V26" s="10" t="s">
        <v>270</v>
      </c>
      <c r="W26" s="98" t="str">
        <f t="shared" si="4"/>
        <v>0K</v>
      </c>
      <c r="X26" s="10" t="str">
        <f t="shared" si="5"/>
        <v>Oversize SAE Port, One Size Over</v>
      </c>
      <c r="Y26" s="99" t="s">
        <v>256</v>
      </c>
    </row>
    <row r="27" spans="2:25" x14ac:dyDescent="0.3">
      <c r="B27" s="11"/>
      <c r="C27" s="15"/>
      <c r="D27" s="15"/>
      <c r="E27" s="15"/>
      <c r="F27" s="15"/>
      <c r="G27" s="15"/>
      <c r="V27" s="10" t="s">
        <v>92</v>
      </c>
      <c r="W27" s="98" t="str">
        <f t="shared" si="4"/>
        <v>0L</v>
      </c>
      <c r="X27" s="10" t="str">
        <f t="shared" si="5"/>
        <v>Undersize SAE Port, One Size Under</v>
      </c>
      <c r="Y27" s="99" t="s">
        <v>256</v>
      </c>
    </row>
    <row r="28" spans="2:25" x14ac:dyDescent="0.3">
      <c r="B28" s="11"/>
      <c r="C28" s="15"/>
      <c r="D28" s="15"/>
      <c r="E28" s="15"/>
      <c r="F28" s="15"/>
      <c r="G28" s="15"/>
      <c r="V28" s="10" t="s">
        <v>271</v>
      </c>
      <c r="W28" s="98" t="str">
        <f t="shared" si="4"/>
        <v>0M</v>
      </c>
      <c r="X28" s="10" t="str">
        <f t="shared" si="5"/>
        <v>Manifold Port (except for HMI, SHM, AHM &amp; MHP Cylinders) for 2H PAGE 169 for 2A&amp; 3L see PAGE 170</v>
      </c>
      <c r="Y28" s="99" t="s">
        <v>256</v>
      </c>
    </row>
    <row r="29" spans="2:25" x14ac:dyDescent="0.3">
      <c r="B29" s="11"/>
      <c r="C29" s="15"/>
      <c r="D29" s="15"/>
      <c r="E29" s="15"/>
      <c r="F29" s="15"/>
      <c r="G29" s="15"/>
      <c r="V29" s="10" t="s">
        <v>272</v>
      </c>
      <c r="W29" s="98" t="str">
        <f t="shared" si="4"/>
        <v>0M</v>
      </c>
      <c r="X29" s="10" t="str">
        <f t="shared" si="5"/>
        <v>Metric Port Per ES-088 (for HMI, SHM, AHM &amp; MHP Cylinders only)</v>
      </c>
      <c r="Y29" s="99" t="s">
        <v>256</v>
      </c>
    </row>
    <row r="30" spans="2:25" x14ac:dyDescent="0.3">
      <c r="B30" s="11"/>
      <c r="C30" s="15"/>
      <c r="D30" s="15"/>
      <c r="E30" s="15"/>
      <c r="F30" s="15"/>
      <c r="G30" s="15"/>
      <c r="V30" s="10" t="s">
        <v>273</v>
      </c>
      <c r="W30" s="98" t="str">
        <f t="shared" si="4"/>
        <v>0N</v>
      </c>
      <c r="X30" s="10" t="str">
        <f t="shared" si="5"/>
        <v>Needle Valve (Do not use for new designs of cartridge needle valves)</v>
      </c>
      <c r="Y30" s="99" t="s">
        <v>256</v>
      </c>
    </row>
    <row r="31" spans="2:25" x14ac:dyDescent="0.3">
      <c r="B31" s="11"/>
      <c r="C31" s="15"/>
      <c r="D31" s="15"/>
      <c r="E31" s="15"/>
      <c r="F31" s="15"/>
      <c r="G31" s="15"/>
      <c r="V31" s="10" t="s">
        <v>274</v>
      </c>
      <c r="W31" s="98" t="str">
        <f t="shared" si="4"/>
        <v>0P</v>
      </c>
      <c r="X31" s="10" t="str">
        <f t="shared" si="5"/>
        <v>SAE 4-Bolt Code 61 Flange Per Drawing 140810 (except for HMI, AHM, MHP, SHM, H and HV Legacy Cylinders)</v>
      </c>
      <c r="Y31" s="99" t="s">
        <v>256</v>
      </c>
    </row>
    <row r="32" spans="2:25" x14ac:dyDescent="0.3">
      <c r="B32" s="11"/>
      <c r="C32" s="15"/>
      <c r="D32" s="15"/>
      <c r="E32" s="15"/>
      <c r="F32" s="15"/>
      <c r="G32" s="15"/>
      <c r="V32" s="10" t="s">
        <v>275</v>
      </c>
      <c r="W32" s="98" t="str">
        <f t="shared" si="4"/>
        <v>0P</v>
      </c>
      <c r="X32" s="10" t="str">
        <f t="shared" si="5"/>
        <v>SAE 4-Bolt Code 61 Flange Per Drawing ESG1328A001 (for Hand HV Legacy Cylinders)</v>
      </c>
      <c r="Y32" s="99" t="s">
        <v>256</v>
      </c>
    </row>
    <row r="33" spans="2:25" x14ac:dyDescent="0.3">
      <c r="B33" s="11"/>
      <c r="C33" s="15"/>
      <c r="D33" s="15"/>
      <c r="E33" s="15"/>
      <c r="F33" s="15"/>
      <c r="G33" s="15"/>
      <c r="V33" s="10" t="s">
        <v>276</v>
      </c>
      <c r="W33" s="98" t="str">
        <f t="shared" si="4"/>
        <v>0P</v>
      </c>
      <c r="X33" s="10" t="str">
        <f t="shared" si="5"/>
        <v>SAE 4-Bolt Code 61 Flange Per Drawing 0896420000 (for HMI, AHM, MHP &amp; SHM Cylinders)</v>
      </c>
      <c r="Y33" s="99" t="s">
        <v>256</v>
      </c>
    </row>
    <row r="34" spans="2:25" x14ac:dyDescent="0.3">
      <c r="B34" s="11"/>
      <c r="C34" s="15"/>
      <c r="D34" s="15"/>
      <c r="E34" s="15"/>
      <c r="F34" s="15"/>
      <c r="G34" s="15"/>
      <c r="V34" s="10" t="s">
        <v>93</v>
      </c>
      <c r="W34" s="98" t="str">
        <f t="shared" si="4"/>
        <v>0Q</v>
      </c>
      <c r="X34" s="10" t="str">
        <f t="shared" si="5"/>
        <v>Undersize SAE Port, Two Sizes Under</v>
      </c>
      <c r="Y34" s="99" t="s">
        <v>256</v>
      </c>
    </row>
    <row r="35" spans="2:25" x14ac:dyDescent="0.3">
      <c r="B35" s="11"/>
      <c r="C35" s="15"/>
      <c r="D35" s="15"/>
      <c r="E35" s="15"/>
      <c r="F35" s="15"/>
      <c r="G35" s="15"/>
      <c r="V35" s="10" t="s">
        <v>277</v>
      </c>
      <c r="W35" s="98" t="str">
        <f t="shared" si="4"/>
        <v>0R</v>
      </c>
      <c r="X35" s="10" t="str">
        <f t="shared" si="5"/>
        <v>British Standard Port (Parallel BSPP) per ES-089</v>
      </c>
      <c r="Y35" s="99" t="s">
        <v>256</v>
      </c>
    </row>
    <row r="36" spans="2:25" x14ac:dyDescent="0.3">
      <c r="B36" s="11"/>
      <c r="C36" s="15"/>
      <c r="D36" s="15"/>
      <c r="E36" s="15"/>
      <c r="F36" s="15"/>
      <c r="G36" s="15"/>
      <c r="V36" s="10" t="s">
        <v>278</v>
      </c>
      <c r="W36" s="98" t="str">
        <f t="shared" si="4"/>
        <v>0S</v>
      </c>
      <c r="X36" s="10" t="str">
        <f t="shared" si="5"/>
        <v>Undersize NPTF Port, Two Sizes Under</v>
      </c>
      <c r="Y36" s="99" t="s">
        <v>256</v>
      </c>
    </row>
    <row r="37" spans="2:25" x14ac:dyDescent="0.3">
      <c r="B37" s="11"/>
      <c r="C37" s="15"/>
      <c r="D37" s="15"/>
      <c r="E37" s="15"/>
      <c r="F37" s="15"/>
      <c r="G37" s="15"/>
      <c r="V37" s="10" t="s">
        <v>279</v>
      </c>
      <c r="W37" s="98" t="str">
        <f t="shared" si="4"/>
        <v>0T</v>
      </c>
      <c r="X37" s="10" t="str">
        <f t="shared" si="5"/>
        <v>Undersize BSPT Port One Size Under Per ES-087</v>
      </c>
      <c r="Y37" s="99" t="s">
        <v>256</v>
      </c>
    </row>
    <row r="38" spans="2:25" x14ac:dyDescent="0.3">
      <c r="B38" s="11"/>
      <c r="C38" s="17"/>
      <c r="D38" s="15"/>
      <c r="E38" s="15"/>
      <c r="F38" s="15"/>
      <c r="G38" s="15"/>
      <c r="V38" s="10" t="s">
        <v>280</v>
      </c>
      <c r="W38" s="98" t="str">
        <f t="shared" si="4"/>
        <v>0U</v>
      </c>
      <c r="X38" s="10" t="str">
        <f t="shared" si="5"/>
        <v>Undersize BSPP Port One Size Under Per ES-089</v>
      </c>
      <c r="Y38" s="99" t="s">
        <v>256</v>
      </c>
    </row>
    <row r="39" spans="2:25" x14ac:dyDescent="0.3">
      <c r="B39" s="11"/>
      <c r="C39" s="17"/>
      <c r="D39" s="15"/>
      <c r="E39" s="15"/>
      <c r="F39" s="15"/>
      <c r="G39" s="15"/>
      <c r="V39" s="10" t="s">
        <v>94</v>
      </c>
      <c r="W39" s="98" t="str">
        <f t="shared" si="4"/>
        <v>0V</v>
      </c>
      <c r="X39" s="10" t="str">
        <f t="shared" si="5"/>
        <v>Limit Switch</v>
      </c>
      <c r="Y39" s="99" t="s">
        <v>256</v>
      </c>
    </row>
    <row r="40" spans="2:25" x14ac:dyDescent="0.3">
      <c r="B40" s="11"/>
      <c r="C40" s="17"/>
      <c r="D40" s="15"/>
      <c r="E40" s="15"/>
      <c r="F40" s="15"/>
      <c r="G40" s="15"/>
      <c r="V40" s="10" t="s">
        <v>281</v>
      </c>
      <c r="W40" s="98" t="str">
        <f t="shared" ref="W40:W103" si="6">LEFT(V40,2)</f>
        <v>0W</v>
      </c>
      <c r="X40" s="10" t="str">
        <f>MID(V40, 6, 5000)</f>
        <v>Limit Switch, EPS-Type Switches, milled face, end of stroke. See Table 4.1 for switch drawings.</v>
      </c>
      <c r="Y40" s="99" t="s">
        <v>256</v>
      </c>
    </row>
    <row r="41" spans="2:25" x14ac:dyDescent="0.3">
      <c r="B41" s="11"/>
      <c r="C41" s="17"/>
      <c r="D41" s="15"/>
      <c r="E41" s="15"/>
      <c r="F41" s="15"/>
      <c r="G41" s="15"/>
      <c r="V41" s="10" t="s">
        <v>282</v>
      </c>
      <c r="W41" s="98" t="str">
        <f t="shared" si="6"/>
        <v>0X</v>
      </c>
      <c r="X41" s="10" t="str">
        <f t="shared" ref="X41:X56" si="7">MID(V41, 6, 5000)</f>
        <v>Oversize BSPP, One Size Over Per Linesheet Page 153A</v>
      </c>
      <c r="Y41" s="99" t="s">
        <v>256</v>
      </c>
    </row>
    <row r="42" spans="2:25" x14ac:dyDescent="0.3">
      <c r="B42" s="11"/>
      <c r="C42" s="17"/>
      <c r="D42" s="15"/>
      <c r="E42" s="15"/>
      <c r="F42" s="15"/>
      <c r="G42" s="15"/>
      <c r="V42" s="10" t="s">
        <v>98</v>
      </c>
      <c r="W42" s="98" t="str">
        <f t="shared" si="6"/>
        <v>0Y</v>
      </c>
      <c r="X42" s="10" t="str">
        <f t="shared" si="7"/>
        <v>ISO-6149-1 Metric Straight Thread Port per Drawing 146928</v>
      </c>
      <c r="Y42" s="99" t="s">
        <v>256</v>
      </c>
    </row>
    <row r="43" spans="2:25" x14ac:dyDescent="0.3">
      <c r="B43" s="11"/>
      <c r="C43" s="17"/>
      <c r="D43" s="15"/>
      <c r="E43" s="15"/>
      <c r="F43" s="15"/>
      <c r="G43" s="15"/>
      <c r="V43" s="10" t="s">
        <v>283</v>
      </c>
      <c r="W43" s="98" t="str">
        <f t="shared" si="6"/>
        <v>0Z</v>
      </c>
      <c r="X43" s="10" t="str">
        <f t="shared" si="7"/>
        <v>Oversize ISO-6149-1, One Size Over</v>
      </c>
      <c r="Y43" s="99" t="s">
        <v>256</v>
      </c>
    </row>
    <row r="44" spans="2:25" x14ac:dyDescent="0.3">
      <c r="B44" s="11"/>
      <c r="C44" s="17"/>
      <c r="D44" s="15"/>
      <c r="E44" s="15"/>
      <c r="F44" s="15"/>
      <c r="G44" s="15"/>
      <c r="V44" s="10" t="s">
        <v>99</v>
      </c>
      <c r="W44" s="98" t="str">
        <f t="shared" si="6"/>
        <v>1A</v>
      </c>
      <c r="X44" s="10" t="str">
        <f t="shared" si="7"/>
        <v xml:space="preserve"> 1/16 NPTF Port machined into standard port position. Only to be used on Non-cushioned heads and caps. See ES-029.</v>
      </c>
      <c r="Y44" s="99" t="s">
        <v>256</v>
      </c>
    </row>
    <row r="45" spans="2:25" x14ac:dyDescent="0.3">
      <c r="B45" s="11"/>
      <c r="C45" s="17"/>
      <c r="D45" s="15"/>
      <c r="E45" s="15"/>
      <c r="F45" s="15"/>
      <c r="G45" s="15"/>
      <c r="V45" s="10" t="s">
        <v>100</v>
      </c>
      <c r="W45" s="98" t="str">
        <f t="shared" si="6"/>
        <v>1B</v>
      </c>
      <c r="X45" s="10" t="str">
        <f t="shared" si="7"/>
        <v xml:space="preserve"> 1/8 NPTF Port machined into standard port position. Only to be used on Non-cushioned heads and caps. See ES-029.</v>
      </c>
      <c r="Y45" s="99" t="s">
        <v>256</v>
      </c>
    </row>
    <row r="46" spans="2:25" x14ac:dyDescent="0.3">
      <c r="B46" s="11"/>
      <c r="C46" s="17"/>
      <c r="D46" s="15"/>
      <c r="E46" s="15"/>
      <c r="F46" s="15"/>
      <c r="G46" s="15"/>
      <c r="V46" s="10" t="s">
        <v>102</v>
      </c>
      <c r="W46" s="98" t="str">
        <f t="shared" si="6"/>
        <v>1C</v>
      </c>
      <c r="X46" s="10" t="str">
        <f t="shared" si="7"/>
        <v>* ¼ NPTF Port machined into standard port position. Only to be used on Non-cushioned heads and caps. See ES-029.</v>
      </c>
      <c r="Y46" s="99" t="s">
        <v>256</v>
      </c>
    </row>
    <row r="47" spans="2:25" x14ac:dyDescent="0.3">
      <c r="B47" s="11"/>
      <c r="C47" s="17"/>
      <c r="D47" s="15"/>
      <c r="E47" s="15"/>
      <c r="F47" s="15"/>
      <c r="G47" s="15"/>
      <c r="V47" s="10" t="s">
        <v>103</v>
      </c>
      <c r="W47" s="98" t="str">
        <f t="shared" si="6"/>
        <v>1D</v>
      </c>
      <c r="X47" s="10" t="str">
        <f t="shared" si="7"/>
        <v>* 3/8 NPTF Port machined into standard port position. Only to be used on Non-cushioned heads and caps. See ES-029.</v>
      </c>
      <c r="Y47" s="99" t="s">
        <v>256</v>
      </c>
    </row>
    <row r="48" spans="2:25" x14ac:dyDescent="0.3">
      <c r="B48" s="11"/>
      <c r="C48" s="17"/>
      <c r="D48" s="15"/>
      <c r="E48" s="15"/>
      <c r="F48" s="15"/>
      <c r="G48" s="15"/>
      <c r="V48" s="10" t="s">
        <v>104</v>
      </c>
      <c r="W48" s="98" t="str">
        <f t="shared" si="6"/>
        <v>1E</v>
      </c>
      <c r="X48" s="10" t="str">
        <f t="shared" si="7"/>
        <v>* ½ NPTF Port machined into standard port position. Only to be used on Non-cushioned heads and caps. See ES-029. where 1/2 NPTF port size or larger is the standard port size. See ES-029</v>
      </c>
      <c r="Y48" s="99" t="s">
        <v>256</v>
      </c>
    </row>
    <row r="49" spans="2:25" x14ac:dyDescent="0.3">
      <c r="B49" s="11"/>
      <c r="C49" s="17"/>
      <c r="D49" s="15"/>
      <c r="E49" s="15"/>
      <c r="F49" s="15"/>
      <c r="G49" s="15"/>
      <c r="V49" s="10" t="s">
        <v>105</v>
      </c>
      <c r="W49" s="98" t="str">
        <f t="shared" si="6"/>
        <v>1F</v>
      </c>
      <c r="X49" s="10" t="str">
        <f t="shared" si="7"/>
        <v>* ¾ NPTF Port machined into standard port position. Only to be used on Non-Cushioned heads and caps and on bore sizes where the ¾ NPTF port size or larger is the standard port size. See ES-029</v>
      </c>
      <c r="Y49" s="99" t="s">
        <v>256</v>
      </c>
    </row>
    <row r="50" spans="2:25" x14ac:dyDescent="0.3">
      <c r="B50" s="11"/>
      <c r="C50" s="17"/>
      <c r="D50" s="15"/>
      <c r="E50" s="15"/>
      <c r="F50" s="15"/>
      <c r="G50" s="15"/>
      <c r="V50" s="10" t="s">
        <v>106</v>
      </c>
      <c r="W50" s="98" t="str">
        <f t="shared" si="6"/>
        <v>1G</v>
      </c>
      <c r="X50" s="10" t="str">
        <f t="shared" si="7"/>
        <v>* 1 inch NPTF Port machined into standard port position. Only to be used on Non-Cushioned heads and caps and on bore sizes where the 1 Inch size or larger is the standard port size. See ES-029 NPTF port</v>
      </c>
      <c r="Y50" s="99" t="s">
        <v>256</v>
      </c>
    </row>
    <row r="51" spans="2:25" x14ac:dyDescent="0.3">
      <c r="B51" s="11"/>
      <c r="C51" s="17"/>
      <c r="D51" s="15"/>
      <c r="E51" s="15"/>
      <c r="F51" s="15"/>
      <c r="G51" s="15"/>
      <c r="V51" s="10" t="s">
        <v>107</v>
      </c>
      <c r="W51" s="98" t="str">
        <f t="shared" si="6"/>
        <v>1H</v>
      </c>
      <c r="X51" s="10" t="str">
        <f t="shared" si="7"/>
        <v>* 1.25 NPTF Port machined into standard port position. Only to be use on Non-cushioned heads and caps and on bore sizes where the 1.25 NPTF port or larger is the standard port size. See ES-029</v>
      </c>
      <c r="Y51" s="99" t="s">
        <v>256</v>
      </c>
    </row>
    <row r="52" spans="2:25" x14ac:dyDescent="0.3">
      <c r="B52" s="11"/>
      <c r="C52" s="17"/>
      <c r="D52" s="15"/>
      <c r="E52" s="15"/>
      <c r="F52" s="15"/>
      <c r="G52" s="15"/>
      <c r="V52" s="10" t="s">
        <v>101</v>
      </c>
      <c r="W52" s="98" t="str">
        <f t="shared" si="6"/>
        <v>1J</v>
      </c>
      <c r="X52" s="10" t="str">
        <f t="shared" si="7"/>
        <v>* 1.50 NPTF Port machined into standard port position. Only to be used on Non-Cushioned heads and caps and on bore sizes where the 1.50 NPTF port or larger is the standard port size. See ES-029</v>
      </c>
      <c r="Y52" s="99" t="s">
        <v>256</v>
      </c>
    </row>
    <row r="53" spans="2:25" x14ac:dyDescent="0.3">
      <c r="B53" s="11"/>
      <c r="C53" s="17"/>
      <c r="D53" s="15"/>
      <c r="E53" s="15"/>
      <c r="F53" s="15"/>
      <c r="G53" s="15"/>
      <c r="V53" s="10" t="s">
        <v>108</v>
      </c>
      <c r="W53" s="98" t="str">
        <f t="shared" si="6"/>
        <v>1K</v>
      </c>
      <c r="X53" s="10" t="str">
        <f t="shared" si="7"/>
        <v>* 2.00 NPTF Port machined into standard port position. Only to be used on Non-Cushioned heads and caps and on bore sizes where 2.00 NPTF port size or larger is the standard port size. See drawing ES-029</v>
      </c>
      <c r="Y53" s="99" t="s">
        <v>256</v>
      </c>
    </row>
    <row r="54" spans="2:25" x14ac:dyDescent="0.3">
      <c r="B54" s="11"/>
      <c r="C54" s="17"/>
      <c r="D54" s="15"/>
      <c r="E54" s="15"/>
      <c r="F54" s="15"/>
      <c r="G54" s="15"/>
      <c r="V54" s="10" t="s">
        <v>110</v>
      </c>
      <c r="W54" s="98" t="str">
        <f t="shared" si="6"/>
        <v>1L</v>
      </c>
      <c r="X54" s="10" t="str">
        <f t="shared" si="7"/>
        <v>* 2.50 NPTF Port machined into standard port position. Only to be used on Non-Cushioned heads and caps and on bore sizes where the 2.50 NPTF port size or larger is the standard port size. See ES-029</v>
      </c>
      <c r="Y54" s="99" t="s">
        <v>256</v>
      </c>
    </row>
    <row r="55" spans="2:25" x14ac:dyDescent="0.3">
      <c r="B55" s="11"/>
      <c r="C55" s="17"/>
      <c r="D55" s="15"/>
      <c r="E55" s="15"/>
      <c r="F55" s="15"/>
      <c r="G55" s="15"/>
      <c r="V55" s="10" t="s">
        <v>111</v>
      </c>
      <c r="W55" s="98" t="str">
        <f t="shared" si="6"/>
        <v>1M</v>
      </c>
      <c r="X55" s="10" t="str">
        <f t="shared" si="7"/>
        <v>* 3.00 NPTF Port machined into standard port position. Only to be used on Non-Cushioned heads and caps and on bore sizes where the 3.00 NPTF port size or larger is the standard port size. See ES-029. 010100</v>
      </c>
      <c r="Y55" s="99" t="s">
        <v>256</v>
      </c>
    </row>
    <row r="56" spans="2:25" x14ac:dyDescent="0.3">
      <c r="B56" s="11"/>
      <c r="C56" s="17"/>
      <c r="D56" s="15"/>
      <c r="E56" s="15"/>
      <c r="F56" s="15"/>
      <c r="G56" s="15"/>
      <c r="V56" s="10" t="s">
        <v>109</v>
      </c>
      <c r="W56" s="98" t="str">
        <f t="shared" si="6"/>
        <v>1N</v>
      </c>
      <c r="X56" s="10" t="str">
        <f t="shared" si="7"/>
        <v>NPTF Port and Needle Valve Same Position</v>
      </c>
      <c r="Y56" s="99" t="s">
        <v>256</v>
      </c>
    </row>
    <row r="57" spans="2:25" x14ac:dyDescent="0.3">
      <c r="B57" s="11"/>
      <c r="C57" s="17"/>
      <c r="D57" s="15"/>
      <c r="E57" s="15"/>
      <c r="F57" s="15"/>
      <c r="G57" s="15"/>
      <c r="V57" s="10" t="s">
        <v>242</v>
      </c>
      <c r="W57" s="98" t="str">
        <f t="shared" si="6"/>
        <v>1W</v>
      </c>
      <c r="X57" s="10" t="str">
        <f t="shared" ref="X57:X106" si="8">MID(V57, 6, 5000)</f>
        <v xml:space="preserve">Limit Switch, CLS-1/CLS-4, milled face, end of stroke. See Table 4.1 for switch drawings. </v>
      </c>
      <c r="Y57" s="99" t="s">
        <v>256</v>
      </c>
    </row>
    <row r="58" spans="2:25" x14ac:dyDescent="0.3">
      <c r="B58" s="11"/>
      <c r="C58" s="17"/>
      <c r="D58" s="15"/>
      <c r="E58" s="15"/>
      <c r="F58" s="15"/>
      <c r="G58" s="15"/>
      <c r="V58" s="10" t="s">
        <v>241</v>
      </c>
      <c r="W58" s="98" t="str">
        <f t="shared" si="6"/>
        <v>2W</v>
      </c>
      <c r="X58" s="10" t="str">
        <f t="shared" si="8"/>
        <v>Limit Switch, EPS-6 &amp; EPS-7, milled face, Stroke to Go. See Table 4.1 for switch drawings.</v>
      </c>
      <c r="Y58" s="99" t="s">
        <v>256</v>
      </c>
    </row>
    <row r="59" spans="2:25" x14ac:dyDescent="0.3">
      <c r="B59" s="11"/>
      <c r="C59" s="17"/>
      <c r="D59" s="15"/>
      <c r="E59" s="15"/>
      <c r="F59" s="15"/>
      <c r="G59" s="15"/>
      <c r="V59" s="10" t="s">
        <v>240</v>
      </c>
      <c r="W59" s="98" t="str">
        <f t="shared" si="6"/>
        <v>3W</v>
      </c>
      <c r="X59" s="10" t="str">
        <f t="shared" si="8"/>
        <v>Limit Switch, CLS-1/CLS-4, milled face, Stroke to Go. See Table 4.1 for switch drawings.</v>
      </c>
      <c r="Y59" s="99" t="s">
        <v>256</v>
      </c>
    </row>
    <row r="60" spans="2:25" x14ac:dyDescent="0.3">
      <c r="B60" s="11"/>
      <c r="C60" s="17"/>
      <c r="D60" s="15"/>
      <c r="E60" s="15"/>
      <c r="F60" s="15"/>
      <c r="G60" s="15"/>
      <c r="V60" s="10" t="s">
        <v>114</v>
      </c>
      <c r="W60" s="98" t="str">
        <f t="shared" si="6"/>
        <v>SN</v>
      </c>
      <c r="X60" s="10" t="str">
        <f t="shared" si="8"/>
        <v>SAE Port, Inch Straight Thread Port &amp; Needle Valve same position Per Drawings 0896340000 thru 0896390000</v>
      </c>
      <c r="Y60" s="99" t="s">
        <v>256</v>
      </c>
    </row>
    <row r="61" spans="2:25" x14ac:dyDescent="0.3">
      <c r="B61" s="11"/>
      <c r="C61" s="17"/>
      <c r="D61" s="15"/>
      <c r="E61" s="15"/>
      <c r="F61" s="15"/>
      <c r="G61" s="15"/>
      <c r="V61" s="10" t="s">
        <v>239</v>
      </c>
      <c r="W61" s="98" t="str">
        <f t="shared" si="6"/>
        <v>SW</v>
      </c>
      <c r="X61" s="10" t="str">
        <f t="shared" si="8"/>
        <v>Limit Switch, other than CLS-1&amp;4 and EPS-6&amp;7, milled face, end of stroke. See Table 4.1 for switch drawings.</v>
      </c>
      <c r="Y61" s="99" t="s">
        <v>256</v>
      </c>
    </row>
    <row r="62" spans="2:25" x14ac:dyDescent="0.3">
      <c r="B62" s="11"/>
      <c r="C62" s="17"/>
      <c r="D62" s="15"/>
      <c r="E62" s="15"/>
      <c r="F62" s="15"/>
      <c r="G62" s="15"/>
      <c r="V62" s="10" t="s">
        <v>115</v>
      </c>
      <c r="W62" s="98" t="str">
        <f t="shared" si="6"/>
        <v>7N</v>
      </c>
      <c r="X62" s="10" t="str">
        <f t="shared" si="8"/>
        <v>Undersize BSPP Port One Size Under and Needle Valve Per Drawings 0965490000 thru 0965540000</v>
      </c>
      <c r="Y62" s="99" t="s">
        <v>256</v>
      </c>
    </row>
    <row r="63" spans="2:25" x14ac:dyDescent="0.3">
      <c r="B63" s="11"/>
      <c r="C63" s="8"/>
      <c r="D63" s="15"/>
      <c r="E63" s="15"/>
      <c r="F63" s="15"/>
      <c r="G63" s="15"/>
      <c r="V63" s="10" t="s">
        <v>238</v>
      </c>
      <c r="W63" s="98" t="str">
        <f t="shared" si="6"/>
        <v>7W</v>
      </c>
      <c r="X63" s="10" t="str">
        <f t="shared" si="8"/>
        <v>Limit Switch, Machining For Switches other than CLS-1&amp;4 and EPS-6&amp;7, milled face, Stroke to Go. See Table 4.1 for switch drawings.</v>
      </c>
      <c r="Y63" s="99" t="s">
        <v>256</v>
      </c>
    </row>
    <row r="64" spans="2:25" x14ac:dyDescent="0.3">
      <c r="B64" s="11"/>
      <c r="C64" s="17"/>
      <c r="D64" s="15"/>
      <c r="E64" s="15"/>
      <c r="F64" s="15"/>
      <c r="G64" s="15"/>
      <c r="V64" s="10" t="s">
        <v>116</v>
      </c>
      <c r="W64" s="98" t="str">
        <f t="shared" si="6"/>
        <v>9N</v>
      </c>
      <c r="X64" s="10" t="str">
        <f t="shared" si="8"/>
        <v>Undersize BSPT Port One Size Under and Needle Valve Per Drawings 0965490000 thru 0965540000</v>
      </c>
      <c r="Y64" s="99" t="s">
        <v>256</v>
      </c>
    </row>
    <row r="65" spans="2:25" x14ac:dyDescent="0.3">
      <c r="B65" s="11"/>
      <c r="C65" s="17"/>
      <c r="D65" s="15"/>
      <c r="E65" s="15"/>
      <c r="F65" s="15"/>
      <c r="G65" s="15"/>
      <c r="V65" s="10" t="s">
        <v>117</v>
      </c>
      <c r="W65" s="98" t="str">
        <f t="shared" si="6"/>
        <v>A2</v>
      </c>
      <c r="X65" s="10" t="str">
        <f t="shared" si="8"/>
        <v>* #2 SAE Port machined into standard port position. Only to be used on Non-Cushioned heads and caps. See drawing 0693640000</v>
      </c>
      <c r="Y65" s="99" t="s">
        <v>256</v>
      </c>
    </row>
    <row r="66" spans="2:25" x14ac:dyDescent="0.3">
      <c r="B66" s="11"/>
      <c r="C66" s="8"/>
      <c r="D66" s="15"/>
      <c r="E66" s="15"/>
      <c r="F66" s="15"/>
      <c r="G66" s="15"/>
      <c r="V66" s="10" t="s">
        <v>118</v>
      </c>
      <c r="W66" s="98" t="str">
        <f t="shared" si="6"/>
        <v>A3</v>
      </c>
      <c r="X66" s="10" t="str">
        <f t="shared" si="8"/>
        <v>* #3 SAE Port machined into standard port position. Only to be used on Non-cushioned heads and caps. See drawing 0693640000</v>
      </c>
      <c r="Y66" s="99" t="s">
        <v>256</v>
      </c>
    </row>
    <row r="67" spans="2:25" x14ac:dyDescent="0.3">
      <c r="B67" s="11"/>
      <c r="C67" s="8"/>
      <c r="D67" s="15"/>
      <c r="E67" s="15"/>
      <c r="F67" s="15"/>
      <c r="G67" s="15"/>
      <c r="V67" s="10" t="s">
        <v>120</v>
      </c>
      <c r="W67" s="98" t="str">
        <f t="shared" si="6"/>
        <v>A4</v>
      </c>
      <c r="X67" s="10" t="str">
        <f t="shared" si="8"/>
        <v>* #4 SAE Port machined into standard port position. Only to be used on Non-Cushioned heads and caps. See drawing 0693640000</v>
      </c>
      <c r="Y67" s="99" t="s">
        <v>256</v>
      </c>
    </row>
    <row r="68" spans="2:25" x14ac:dyDescent="0.3">
      <c r="B68" s="11"/>
      <c r="C68" s="8"/>
      <c r="D68" s="15"/>
      <c r="E68" s="15"/>
      <c r="F68" s="15"/>
      <c r="G68" s="15"/>
      <c r="V68" s="10" t="s">
        <v>112</v>
      </c>
      <c r="W68" s="98" t="str">
        <f t="shared" si="6"/>
        <v>AS</v>
      </c>
      <c r="X68" s="10" t="str">
        <f t="shared" si="8"/>
        <v>* #5 SAE Port 2A/3L, 1.50 Inch Bore Caps and Code 2 Heads</v>
      </c>
      <c r="Y68" s="99" t="s">
        <v>256</v>
      </c>
    </row>
    <row r="69" spans="2:25" x14ac:dyDescent="0.3">
      <c r="B69" s="11"/>
      <c r="C69" s="8"/>
      <c r="D69" s="15"/>
      <c r="E69" s="15"/>
      <c r="F69" s="15"/>
      <c r="G69" s="15"/>
      <c r="V69" s="10" t="s">
        <v>119</v>
      </c>
      <c r="W69" s="98" t="str">
        <f t="shared" si="6"/>
        <v>A6</v>
      </c>
      <c r="X69" s="10" t="str">
        <f t="shared" si="8"/>
        <v>* #6 SAE Port machined into standard port position. Only to be used on Non-Cushioned heads and caps. See drawing 0693640000</v>
      </c>
      <c r="Y69" s="99" t="s">
        <v>256</v>
      </c>
    </row>
    <row r="70" spans="2:25" x14ac:dyDescent="0.3">
      <c r="B70" s="11"/>
      <c r="C70" s="8"/>
      <c r="D70" s="15"/>
      <c r="E70" s="15"/>
      <c r="F70" s="15"/>
      <c r="G70" s="15"/>
      <c r="V70" s="10" t="s">
        <v>121</v>
      </c>
      <c r="W70" s="98" t="str">
        <f t="shared" si="6"/>
        <v>A8</v>
      </c>
      <c r="X70" s="10" t="str">
        <f t="shared" si="8"/>
        <v>* #8 SAE Port machined into standard port position. Only to be used on Non-Cushioned heads and caps and on bore sizes where #8 SAE port size or larger is the standard port size. See drawing 0693640000</v>
      </c>
      <c r="Y70" s="99" t="s">
        <v>256</v>
      </c>
    </row>
    <row r="71" spans="2:25" x14ac:dyDescent="0.3">
      <c r="B71" s="11"/>
      <c r="C71" s="8"/>
      <c r="D71" s="15"/>
      <c r="E71" s="15"/>
      <c r="F71" s="15"/>
      <c r="G71" s="15"/>
      <c r="V71" s="10" t="s">
        <v>122</v>
      </c>
      <c r="W71" s="98" t="str">
        <f t="shared" si="6"/>
        <v>AA</v>
      </c>
      <c r="X71" s="10" t="str">
        <f t="shared" si="8"/>
        <v>* #10 SAE Port machined into standard port position. Only to be used on Non-Cushioned heads and caps and on bore sizes where the #10 SAE port size or larger is the standard port size. See drawing 0693640000</v>
      </c>
      <c r="Y71" s="99" t="s">
        <v>256</v>
      </c>
    </row>
    <row r="72" spans="2:25" x14ac:dyDescent="0.3">
      <c r="B72" s="11"/>
      <c r="C72" s="8"/>
      <c r="D72" s="15"/>
      <c r="E72" s="15"/>
      <c r="F72" s="15"/>
      <c r="G72" s="15"/>
      <c r="V72" s="10" t="s">
        <v>123</v>
      </c>
      <c r="W72" s="98" t="str">
        <f t="shared" si="6"/>
        <v>AB</v>
      </c>
      <c r="X72" s="10" t="str">
        <f t="shared" si="8"/>
        <v>* #12 SAE Port machined into standard port position. Only to be used on Non-Cushioned heads and caps and on bore sizes where the #12 SAE port size or larger is the standard port size. See drawing 0693640000</v>
      </c>
      <c r="Y72" s="99" t="s">
        <v>256</v>
      </c>
    </row>
    <row r="73" spans="2:25" x14ac:dyDescent="0.3">
      <c r="B73" s="11"/>
      <c r="C73" s="8"/>
      <c r="D73" s="15"/>
      <c r="E73" s="15"/>
      <c r="F73" s="15"/>
      <c r="G73" s="15"/>
      <c r="V73" s="10" t="s">
        <v>113</v>
      </c>
      <c r="W73" s="98" t="str">
        <f t="shared" si="6"/>
        <v>AC</v>
      </c>
      <c r="X73" s="10" t="str">
        <f t="shared" si="8"/>
        <v>Cartridge needle valve and Check valve in same position</v>
      </c>
      <c r="Y73" s="99" t="s">
        <v>256</v>
      </c>
    </row>
    <row r="74" spans="2:25" x14ac:dyDescent="0.3">
      <c r="B74" s="11"/>
      <c r="C74" s="8"/>
      <c r="D74" s="15"/>
      <c r="E74" s="15"/>
      <c r="F74" s="15"/>
      <c r="G74" s="15"/>
      <c r="V74" s="10" t="s">
        <v>124</v>
      </c>
      <c r="W74" s="98" t="str">
        <f t="shared" si="6"/>
        <v>AD</v>
      </c>
      <c r="X74" s="10" t="str">
        <f t="shared" si="8"/>
        <v>* #16 SAE Port machined into standard port position. Only to be used on Non-cushioned heads and caps and on bore sizes where the #16 SAE port size or larger is the standard port size. See drawing 0693640000</v>
      </c>
      <c r="Y74" s="99" t="s">
        <v>256</v>
      </c>
    </row>
    <row r="75" spans="2:25" x14ac:dyDescent="0.3">
      <c r="B75" s="11"/>
      <c r="C75" s="8"/>
      <c r="D75" s="15"/>
      <c r="E75" s="15"/>
      <c r="F75" s="15"/>
      <c r="G75" s="15"/>
      <c r="V75" s="10" t="s">
        <v>125</v>
      </c>
      <c r="W75" s="98" t="str">
        <f t="shared" si="6"/>
        <v>AE</v>
      </c>
      <c r="X75" s="10" t="str">
        <f t="shared" si="8"/>
        <v>* #20 SAE Port machined into standard port position. Only to be used on Non-cushioned heads and caps and on bore sizes where the #20 SAE port size or larger is the standard port size. See drawing 0693640000</v>
      </c>
      <c r="Y75" s="99" t="s">
        <v>256</v>
      </c>
    </row>
    <row r="76" spans="2:25" x14ac:dyDescent="0.3">
      <c r="B76" s="11"/>
      <c r="C76" s="8"/>
      <c r="D76" s="15"/>
      <c r="E76" s="15"/>
      <c r="F76" s="15"/>
      <c r="G76" s="15"/>
      <c r="V76" s="10" t="s">
        <v>126</v>
      </c>
      <c r="W76" s="98" t="str">
        <f t="shared" si="6"/>
        <v>AF</v>
      </c>
      <c r="X76" s="10" t="str">
        <f t="shared" si="8"/>
        <v>* #24 SAE Port machined into standard port position. Only to be used on Non-cushioned heads and caps and on bore sizes where the #24 SAE port size or larger is the standard port size. See drawing 0693640000</v>
      </c>
      <c r="Y76" s="99" t="s">
        <v>256</v>
      </c>
    </row>
    <row r="77" spans="2:25" x14ac:dyDescent="0.3">
      <c r="B77" s="11"/>
      <c r="C77" s="8"/>
      <c r="D77" s="15"/>
      <c r="E77" s="15"/>
      <c r="F77" s="15"/>
      <c r="G77" s="15"/>
      <c r="V77" s="10" t="s">
        <v>237</v>
      </c>
      <c r="W77" s="98" t="str">
        <f t="shared" si="6"/>
        <v>AW</v>
      </c>
      <c r="X77" s="10" t="str">
        <f t="shared" si="8"/>
        <v>Limit Switch, EPS-6&amp;7, non-milled face, end of stroke. See Table 4.1 for switch drawings.</v>
      </c>
      <c r="Y77" s="99" t="s">
        <v>256</v>
      </c>
    </row>
    <row r="78" spans="2:25" x14ac:dyDescent="0.3">
      <c r="B78" s="11"/>
      <c r="C78" s="8"/>
      <c r="D78" s="15"/>
      <c r="E78" s="15"/>
      <c r="F78" s="15"/>
      <c r="G78" s="15"/>
      <c r="V78" s="10" t="s">
        <v>236</v>
      </c>
      <c r="W78" s="98" t="str">
        <f t="shared" si="6"/>
        <v>BA</v>
      </c>
      <c r="X78" s="10" t="str">
        <f t="shared" si="8"/>
        <v>Bolt-on-Manifold port machining Group A 0871280000</v>
      </c>
      <c r="Y78" s="99" t="s">
        <v>256</v>
      </c>
    </row>
    <row r="79" spans="2:25" x14ac:dyDescent="0.3">
      <c r="B79" s="11"/>
      <c r="C79" s="8"/>
      <c r="D79" s="15"/>
      <c r="E79" s="15"/>
      <c r="F79" s="15"/>
      <c r="G79" s="15"/>
      <c r="V79" s="10" t="s">
        <v>127</v>
      </c>
      <c r="W79" s="98" t="str">
        <f t="shared" si="6"/>
        <v>BD</v>
      </c>
      <c r="X79" s="10" t="str">
        <f t="shared" si="8"/>
        <v>Bolt-on-Manifold port machining Group D 0871290000</v>
      </c>
      <c r="Y79" s="99" t="s">
        <v>256</v>
      </c>
    </row>
    <row r="80" spans="2:25" x14ac:dyDescent="0.3">
      <c r="B80" s="11"/>
      <c r="C80" s="8"/>
      <c r="D80" s="15"/>
      <c r="E80" s="15"/>
      <c r="F80" s="15"/>
      <c r="G80" s="15"/>
      <c r="V80" s="10" t="s">
        <v>128</v>
      </c>
      <c r="W80" s="98" t="str">
        <f t="shared" si="6"/>
        <v>BF</v>
      </c>
      <c r="X80" s="10" t="str">
        <f t="shared" si="8"/>
        <v>Bolt-on-Manifold port machining Group F (MOOG 72) 0871350000</v>
      </c>
      <c r="Y80" s="99" t="s">
        <v>256</v>
      </c>
    </row>
    <row r="81" spans="2:25" x14ac:dyDescent="0.3">
      <c r="B81" s="11"/>
      <c r="C81" s="8"/>
      <c r="D81" s="15"/>
      <c r="E81" s="15"/>
      <c r="F81" s="15"/>
      <c r="G81" s="15"/>
      <c r="V81" s="10" t="s">
        <v>129</v>
      </c>
      <c r="W81" s="98" t="str">
        <f t="shared" si="6"/>
        <v>BG</v>
      </c>
      <c r="X81" s="10" t="str">
        <f t="shared" si="8"/>
        <v>Bolt-on-Manifold port machining Group G (D03) 0871300000</v>
      </c>
      <c r="Y81" s="99" t="s">
        <v>256</v>
      </c>
    </row>
    <row r="82" spans="2:25" x14ac:dyDescent="0.3">
      <c r="B82" s="11"/>
      <c r="C82" s="8"/>
      <c r="D82" s="15"/>
      <c r="E82" s="15"/>
      <c r="F82" s="15"/>
      <c r="G82" s="15"/>
      <c r="V82" s="10" t="s">
        <v>130</v>
      </c>
      <c r="W82" s="98" t="str">
        <f t="shared" si="6"/>
        <v>BH</v>
      </c>
      <c r="X82" s="10" t="str">
        <f t="shared" si="8"/>
        <v>Bolt-on-Manifold port machining Group H (D05) 0871310000</v>
      </c>
      <c r="Y82" s="99" t="s">
        <v>256</v>
      </c>
    </row>
    <row r="83" spans="2:25" x14ac:dyDescent="0.3">
      <c r="B83" s="11"/>
      <c r="C83" s="8"/>
      <c r="D83" s="15"/>
      <c r="E83" s="15"/>
      <c r="F83" s="15"/>
      <c r="G83" s="15"/>
      <c r="V83" s="10" t="s">
        <v>131</v>
      </c>
      <c r="W83" s="98" t="str">
        <f t="shared" si="6"/>
        <v>BJ</v>
      </c>
      <c r="X83" s="10" t="str">
        <f t="shared" si="8"/>
        <v>Bolt-on-Manifold port machining Group J (D06) 0871320000</v>
      </c>
      <c r="Y83" s="99" t="s">
        <v>256</v>
      </c>
    </row>
    <row r="84" spans="2:25" x14ac:dyDescent="0.3">
      <c r="B84" s="11"/>
      <c r="C84" s="8"/>
      <c r="D84" s="15"/>
      <c r="E84" s="15"/>
      <c r="F84" s="15"/>
      <c r="G84" s="15"/>
      <c r="V84" s="10" t="s">
        <v>132</v>
      </c>
      <c r="W84" s="98" t="str">
        <f t="shared" si="6"/>
        <v>BK</v>
      </c>
      <c r="X84" s="10" t="str">
        <f t="shared" si="8"/>
        <v>Bolt-on-Manifold port machining Group K (D07) 0871330000</v>
      </c>
      <c r="Y84" s="99" t="s">
        <v>256</v>
      </c>
    </row>
    <row r="85" spans="2:25" x14ac:dyDescent="0.3">
      <c r="B85" s="11"/>
      <c r="C85" s="8"/>
      <c r="D85" s="15"/>
      <c r="E85" s="15"/>
      <c r="F85" s="15"/>
      <c r="G85" s="15"/>
      <c r="V85" s="10" t="s">
        <v>133</v>
      </c>
      <c r="W85" s="98" t="str">
        <f t="shared" si="6"/>
        <v>BM</v>
      </c>
      <c r="X85" s="10" t="str">
        <f t="shared" si="8"/>
        <v>Bolt-on-Manifold port machining Group M (D08) 0871340000</v>
      </c>
      <c r="Y85" s="99" t="s">
        <v>256</v>
      </c>
    </row>
    <row r="86" spans="2:25" x14ac:dyDescent="0.3">
      <c r="B86" s="11"/>
      <c r="C86" s="8"/>
      <c r="D86" s="15"/>
      <c r="E86" s="15"/>
      <c r="F86" s="15"/>
      <c r="G86" s="15"/>
      <c r="V86" s="10" t="s">
        <v>140</v>
      </c>
      <c r="W86" s="98" t="str">
        <f t="shared" si="6"/>
        <v>BN</v>
      </c>
      <c r="X86" s="10" t="str">
        <f t="shared" si="8"/>
        <v>BSPT, British Standard Tapered Port and Needle Valve Per Drawings 0965430000 thru 0965480000</v>
      </c>
      <c r="Y86" s="99" t="s">
        <v>256</v>
      </c>
    </row>
    <row r="87" spans="2:25" x14ac:dyDescent="0.3">
      <c r="B87" s="11"/>
      <c r="C87" s="8"/>
      <c r="D87" s="15"/>
      <c r="E87" s="15"/>
      <c r="F87" s="15"/>
      <c r="G87" s="15"/>
      <c r="V87" s="10" t="s">
        <v>134</v>
      </c>
      <c r="W87" s="98" t="str">
        <f t="shared" si="6"/>
        <v>BP</v>
      </c>
      <c r="X87" s="10" t="str">
        <f t="shared" si="8"/>
        <v>Bolt-on-Manifold port machining Series HAS 0988890000</v>
      </c>
      <c r="Y87" s="99" t="s">
        <v>256</v>
      </c>
    </row>
    <row r="88" spans="2:25" x14ac:dyDescent="0.3">
      <c r="B88" s="11"/>
      <c r="C88" s="8"/>
      <c r="D88" s="15"/>
      <c r="E88" s="15"/>
      <c r="F88" s="15"/>
      <c r="G88" s="15"/>
      <c r="V88" s="10" t="s">
        <v>141</v>
      </c>
      <c r="W88" s="98" t="str">
        <f t="shared" si="6"/>
        <v>BW</v>
      </c>
      <c r="X88" s="10" t="str">
        <f t="shared" si="8"/>
        <v>Limit Switch, CLS 1 &amp;4, non-milled face, end of stroke. See Table 4.1 for switch drawings.</v>
      </c>
      <c r="Y88" s="99" t="s">
        <v>256</v>
      </c>
    </row>
    <row r="89" spans="2:25" x14ac:dyDescent="0.3">
      <c r="B89" s="11"/>
      <c r="C89" s="8"/>
      <c r="D89" s="15"/>
      <c r="E89" s="15"/>
      <c r="F89" s="15"/>
      <c r="G89" s="15"/>
      <c r="V89" s="10" t="s">
        <v>142</v>
      </c>
      <c r="W89" s="98" t="str">
        <f t="shared" si="6"/>
        <v>CA</v>
      </c>
      <c r="X89" s="10" t="str">
        <f t="shared" si="8"/>
        <v>Check and needle both with retainer plate on same face per drawing SKB163998</v>
      </c>
      <c r="Y89" s="99" t="s">
        <v>256</v>
      </c>
    </row>
    <row r="90" spans="2:25" x14ac:dyDescent="0.3">
      <c r="B90" s="11"/>
      <c r="C90" s="8"/>
      <c r="D90" s="15"/>
      <c r="E90" s="15"/>
      <c r="F90" s="15"/>
      <c r="G90" s="15"/>
      <c r="V90" s="10" t="s">
        <v>143</v>
      </c>
      <c r="W90" s="98" t="str">
        <f t="shared" si="6"/>
        <v>CB</v>
      </c>
      <c r="X90" s="10" t="str">
        <f t="shared" si="8"/>
        <v>Counterbore for Tie Rod Nut per line sheet page 566 (See Section 2.3 for using code in part number)</v>
      </c>
      <c r="Y90" s="99" t="s">
        <v>258</v>
      </c>
    </row>
    <row r="91" spans="2:25" x14ac:dyDescent="0.3">
      <c r="B91" s="11"/>
      <c r="C91" s="8"/>
      <c r="D91" s="15"/>
      <c r="E91" s="15"/>
      <c r="F91" s="15"/>
      <c r="G91" s="15"/>
      <c r="V91" s="10" t="s">
        <v>244</v>
      </c>
      <c r="W91" s="98" t="str">
        <f t="shared" si="6"/>
        <v>CC</v>
      </c>
      <c r="X91" s="10" t="str">
        <f t="shared" si="8"/>
        <v>Check valve with retainer plate per drawing SKB163998</v>
      </c>
      <c r="Y91" s="99" t="s">
        <v>256</v>
      </c>
    </row>
    <row r="92" spans="2:25" x14ac:dyDescent="0.3">
      <c r="B92" s="11"/>
      <c r="C92" s="8"/>
      <c r="D92" s="15"/>
      <c r="E92" s="15"/>
      <c r="F92" s="15"/>
      <c r="G92" s="15"/>
      <c r="V92" s="10" t="s">
        <v>144</v>
      </c>
      <c r="W92" s="98" t="str">
        <f t="shared" si="6"/>
        <v>CD</v>
      </c>
      <c r="X92" s="10" t="str">
        <f t="shared" si="8"/>
        <v>Counterbore for Allen Nuts per line sheet page 566 (see Section 2.3 for using code in part number)</v>
      </c>
      <c r="Y92" s="99" t="s">
        <v>258</v>
      </c>
    </row>
    <row r="93" spans="2:25" x14ac:dyDescent="0.3">
      <c r="B93" s="11"/>
      <c r="C93" s="8"/>
      <c r="D93" s="15"/>
      <c r="E93" s="15"/>
      <c r="F93" s="15"/>
      <c r="G93" s="15"/>
      <c r="V93" s="10" t="s">
        <v>145</v>
      </c>
      <c r="W93" s="98" t="str">
        <f t="shared" si="6"/>
        <v>CF</v>
      </c>
      <c r="X93" s="10" t="str">
        <f t="shared" si="8"/>
        <v>Fixed Cushion, non-adjustable, hydraulic only (no needle valve, cross drill to port same diameter as std. cushioning)</v>
      </c>
      <c r="Y93" s="99" t="s">
        <v>256</v>
      </c>
    </row>
    <row r="94" spans="2:25" x14ac:dyDescent="0.3">
      <c r="B94" s="11"/>
      <c r="C94" s="8"/>
      <c r="D94" s="15"/>
      <c r="E94" s="15"/>
      <c r="F94" s="15"/>
      <c r="G94" s="15"/>
      <c r="V94" s="10" t="s">
        <v>135</v>
      </c>
      <c r="W94" s="98" t="str">
        <f t="shared" si="6"/>
        <v>CN</v>
      </c>
      <c r="X94" s="10" t="str">
        <f t="shared" si="8"/>
        <v>Needle valve with retainer plate per drawing SKB 163998</v>
      </c>
      <c r="Y94" s="99" t="s">
        <v>256</v>
      </c>
    </row>
    <row r="95" spans="2:25" x14ac:dyDescent="0.3">
      <c r="B95" s="11"/>
      <c r="C95" s="8"/>
      <c r="D95" s="15"/>
      <c r="E95" s="15"/>
      <c r="F95" s="15"/>
      <c r="G95" s="15"/>
      <c r="V95" s="10" t="s">
        <v>146</v>
      </c>
      <c r="W95" s="98" t="str">
        <f t="shared" si="6"/>
        <v>CR</v>
      </c>
      <c r="X95" s="10" t="str">
        <f t="shared" si="8"/>
        <v>Needle and Check valve both with retainer plate on same face per Drawing SKB 163998</v>
      </c>
      <c r="Y95" s="99" t="s">
        <v>256</v>
      </c>
    </row>
    <row r="96" spans="2:25" x14ac:dyDescent="0.3">
      <c r="B96" s="11"/>
      <c r="C96" s="8"/>
      <c r="D96" s="15"/>
      <c r="E96" s="15"/>
      <c r="F96" s="15"/>
      <c r="G96" s="15"/>
      <c r="V96" s="10" t="s">
        <v>243</v>
      </c>
      <c r="W96" s="98" t="str">
        <f t="shared" si="6"/>
        <v>CW</v>
      </c>
      <c r="X96" s="10" t="str">
        <f t="shared" si="8"/>
        <v>Limit Switch, EPS-6&amp;7, non-milled face, Stroke to Go. See Table 4.1 for switch drawings.</v>
      </c>
      <c r="Y96" s="99" t="s">
        <v>256</v>
      </c>
    </row>
    <row r="97" spans="2:25" x14ac:dyDescent="0.3">
      <c r="B97" s="11"/>
      <c r="C97" s="8"/>
      <c r="D97" s="15"/>
      <c r="E97" s="15"/>
      <c r="F97" s="15"/>
      <c r="G97" s="15"/>
      <c r="V97" s="10" t="s">
        <v>245</v>
      </c>
      <c r="W97" s="98" t="str">
        <f t="shared" si="6"/>
        <v>DC</v>
      </c>
      <c r="X97" s="10" t="str">
        <f t="shared" si="8"/>
        <v>Double Check Valve with retaining plate per SKB163998</v>
      </c>
      <c r="Y97" s="99" t="s">
        <v>256</v>
      </c>
    </row>
    <row r="98" spans="2:25" x14ac:dyDescent="0.3">
      <c r="B98" s="11"/>
      <c r="C98" s="8"/>
      <c r="D98" s="15"/>
      <c r="E98" s="15"/>
      <c r="F98" s="15"/>
      <c r="G98" s="15"/>
      <c r="V98" s="10" t="s">
        <v>147</v>
      </c>
      <c r="W98" s="98" t="str">
        <f t="shared" si="6"/>
        <v>DW</v>
      </c>
      <c r="X98" s="10" t="str">
        <f t="shared" si="8"/>
        <v>imit Switch, CLS 1&amp;4, non-milled face, Stroke to Go. See Table 4.1 for switch drawings.</v>
      </c>
      <c r="Y98" s="99" t="s">
        <v>256</v>
      </c>
    </row>
    <row r="99" spans="2:25" x14ac:dyDescent="0.3">
      <c r="B99" s="11"/>
      <c r="C99" s="8"/>
      <c r="D99" s="15"/>
      <c r="E99" s="15"/>
      <c r="F99" s="15"/>
      <c r="G99" s="15"/>
      <c r="V99" s="10" t="s">
        <v>148</v>
      </c>
      <c r="W99" s="98" t="str">
        <f t="shared" si="6"/>
        <v>EC</v>
      </c>
      <c r="X99" s="10" t="str">
        <f t="shared" si="8"/>
        <v>Drill out Threaded Tie Rod Hole and C'Bore for Tie Rod Nuts, (See Section 2.3 for placing code in part number)</v>
      </c>
      <c r="Y99" s="99" t="s">
        <v>258</v>
      </c>
    </row>
    <row r="100" spans="2:25" x14ac:dyDescent="0.3">
      <c r="B100" s="11"/>
      <c r="C100" s="8"/>
      <c r="D100" s="15"/>
      <c r="E100" s="15"/>
      <c r="F100" s="15"/>
      <c r="G100" s="15"/>
      <c r="V100" s="10" t="s">
        <v>149</v>
      </c>
      <c r="W100" s="98" t="str">
        <f t="shared" si="6"/>
        <v>ED</v>
      </c>
      <c r="X100" s="10" t="str">
        <f t="shared" si="8"/>
        <v>Drill Out Threaded Tie Rod Holes (See Section 2.3 for placing code in part number)</v>
      </c>
      <c r="Y100" s="99" t="s">
        <v>258</v>
      </c>
    </row>
    <row r="101" spans="2:25" x14ac:dyDescent="0.3">
      <c r="B101" s="11"/>
      <c r="C101" s="8"/>
      <c r="D101" s="15"/>
      <c r="E101" s="15"/>
      <c r="F101" s="15"/>
      <c r="G101" s="15"/>
      <c r="V101" s="10" t="s">
        <v>150</v>
      </c>
      <c r="W101" s="98" t="str">
        <f t="shared" si="6"/>
        <v>ET</v>
      </c>
      <c r="X101" s="10" t="str">
        <f t="shared" si="8"/>
        <v>Elongate Tie Rod Holes Linesheet 2A &amp; 3L Page 185 (See Section 2.3 for placing code in part number)</v>
      </c>
      <c r="Y101" s="99" t="s">
        <v>258</v>
      </c>
    </row>
    <row r="102" spans="2:25" x14ac:dyDescent="0.3">
      <c r="B102" s="11"/>
      <c r="C102" s="8"/>
      <c r="D102" s="15"/>
      <c r="E102" s="15"/>
      <c r="F102" s="15"/>
      <c r="G102" s="15"/>
      <c r="V102" s="10" t="s">
        <v>151</v>
      </c>
      <c r="W102" s="98" t="str">
        <f t="shared" si="6"/>
        <v>EW</v>
      </c>
      <c r="X102" s="10" t="str">
        <f t="shared" si="8"/>
        <v>Limit Switch, EW Series Cylinder, Euchner Type Switches per Drawing 142932 and 145933</v>
      </c>
      <c r="Y102" s="99" t="s">
        <v>256</v>
      </c>
    </row>
    <row r="103" spans="2:25" x14ac:dyDescent="0.3">
      <c r="B103" s="11"/>
      <c r="C103" s="8"/>
      <c r="D103" s="15"/>
      <c r="E103" s="15"/>
      <c r="F103" s="15"/>
      <c r="G103" s="15"/>
      <c r="V103" s="10" t="s">
        <v>136</v>
      </c>
      <c r="W103" s="98" t="str">
        <f t="shared" si="6"/>
        <v>E8</v>
      </c>
      <c r="X103" s="10" t="str">
        <f t="shared" si="8"/>
        <v>Limit Switch Machining for EW Series Cylinder, Threaded Go-Switch Style</v>
      </c>
      <c r="Y103" s="99" t="s">
        <v>256</v>
      </c>
    </row>
    <row r="104" spans="2:25" x14ac:dyDescent="0.3">
      <c r="B104" s="11"/>
      <c r="C104" s="8"/>
      <c r="D104" s="15"/>
      <c r="E104" s="15"/>
      <c r="F104" s="15"/>
      <c r="G104" s="15"/>
      <c r="V104" s="10" t="s">
        <v>137</v>
      </c>
      <c r="W104" s="98" t="str">
        <f t="shared" ref="W104:W167" si="9">LEFT(V104,2)</f>
        <v>FA</v>
      </c>
      <c r="X104" s="10" t="str">
        <f t="shared" si="8"/>
        <v>* Flange port Code 62 High Pressure size #8 per Drawing 1466130000</v>
      </c>
      <c r="Y104" s="99" t="s">
        <v>256</v>
      </c>
    </row>
    <row r="105" spans="2:25" x14ac:dyDescent="0.3">
      <c r="B105" s="11"/>
      <c r="C105" s="8"/>
      <c r="D105" s="15"/>
      <c r="E105" s="15"/>
      <c r="F105" s="15"/>
      <c r="G105" s="15"/>
      <c r="V105" s="10" t="s">
        <v>138</v>
      </c>
      <c r="W105" s="98" t="str">
        <f t="shared" si="9"/>
        <v>FB</v>
      </c>
      <c r="X105" s="10" t="str">
        <f t="shared" si="8"/>
        <v>* Flange port Code 62 High Pressure size #12 per Drawing 1466130000</v>
      </c>
      <c r="Y105" s="99" t="s">
        <v>256</v>
      </c>
    </row>
    <row r="106" spans="2:25" x14ac:dyDescent="0.3">
      <c r="B106" s="11"/>
      <c r="C106" s="8"/>
      <c r="D106" s="15"/>
      <c r="E106" s="15"/>
      <c r="F106" s="15"/>
      <c r="G106" s="15"/>
      <c r="V106" s="10" t="s">
        <v>139</v>
      </c>
      <c r="W106" s="98" t="str">
        <f t="shared" si="9"/>
        <v>FC</v>
      </c>
      <c r="X106" s="10" t="str">
        <f t="shared" si="8"/>
        <v xml:space="preserve"> Flange port Code 62 High Pressure size #16 per Drawing 1466130000</v>
      </c>
      <c r="Y106" s="99" t="s">
        <v>256</v>
      </c>
    </row>
    <row r="107" spans="2:25" x14ac:dyDescent="0.3">
      <c r="B107" s="11"/>
      <c r="C107" s="8"/>
      <c r="D107" s="15"/>
      <c r="E107" s="15"/>
      <c r="F107" s="15"/>
      <c r="G107" s="15"/>
      <c r="V107" s="10" t="s">
        <v>152</v>
      </c>
      <c r="W107" s="98" t="str">
        <f t="shared" si="9"/>
        <v>FD</v>
      </c>
      <c r="X107" s="10" t="str">
        <f>MID(V107, 6, 5000)</f>
        <v>* Flange port Code 62 High Pressure size #20 per Drawing 1466130000</v>
      </c>
      <c r="Y107" s="99" t="s">
        <v>256</v>
      </c>
    </row>
    <row r="108" spans="2:25" x14ac:dyDescent="0.3">
      <c r="B108" s="11"/>
      <c r="C108" s="8"/>
      <c r="D108" s="15"/>
      <c r="E108" s="15"/>
      <c r="F108" s="15"/>
      <c r="G108" s="15"/>
      <c r="V108" s="10" t="s">
        <v>153</v>
      </c>
      <c r="W108" s="98" t="str">
        <f t="shared" si="9"/>
        <v>FE</v>
      </c>
      <c r="X108" s="10" t="str">
        <f>MID(V108, 6, 5000)</f>
        <v>Flange port Code 62 High Pressure size #24 per Drawing 1466130000</v>
      </c>
      <c r="Y108" s="99" t="s">
        <v>256</v>
      </c>
    </row>
    <row r="109" spans="2:25" x14ac:dyDescent="0.3">
      <c r="B109" s="11"/>
      <c r="C109" s="8"/>
      <c r="D109" s="15"/>
      <c r="E109" s="15"/>
      <c r="F109" s="15"/>
      <c r="G109" s="15"/>
      <c r="V109" s="10" t="s">
        <v>154</v>
      </c>
      <c r="W109" s="98" t="str">
        <f t="shared" si="9"/>
        <v>FF</v>
      </c>
      <c r="X109" s="10" t="str">
        <f>MID(V109, 6, 5000)</f>
        <v>* Flange port Code 62 High Pressure size #32 per Drawing 1466130000</v>
      </c>
      <c r="Y109" s="99" t="s">
        <v>256</v>
      </c>
    </row>
    <row r="110" spans="2:25" x14ac:dyDescent="0.3">
      <c r="B110" s="11"/>
      <c r="C110" s="8"/>
      <c r="D110" s="15"/>
      <c r="E110" s="15"/>
      <c r="F110" s="15"/>
      <c r="G110" s="15"/>
      <c r="V110" s="10" t="s">
        <v>165</v>
      </c>
      <c r="W110" s="98" t="str">
        <f t="shared" si="9"/>
        <v>FW</v>
      </c>
      <c r="X110" s="10" t="str">
        <f>MID(V110, 6, 5000)</f>
        <v>Limit Switch, EPS mod for bolt on type other than CLS-1&amp;4 and EPS-6&amp;7, non-milled face, end of stroke. See Table 4.1 for switch drawings.</v>
      </c>
      <c r="Y110" s="99" t="s">
        <v>256</v>
      </c>
    </row>
    <row r="111" spans="2:25" x14ac:dyDescent="0.3">
      <c r="B111" s="11"/>
      <c r="C111" s="8"/>
      <c r="D111" s="15"/>
      <c r="E111" s="15"/>
      <c r="F111" s="15"/>
      <c r="G111" s="15"/>
      <c r="V111" s="10" t="s">
        <v>155</v>
      </c>
      <c r="W111" s="98" t="str">
        <f t="shared" si="9"/>
        <v>G1</v>
      </c>
      <c r="X111" s="10" t="str">
        <f t="shared" ref="X111:X133" si="10">MID(V111, 6, 5000)</f>
        <v>Gland Drain and NPTF Port</v>
      </c>
      <c r="Y111" s="99" t="s">
        <v>256</v>
      </c>
    </row>
    <row r="112" spans="2:25" x14ac:dyDescent="0.3">
      <c r="B112" s="11"/>
      <c r="C112" s="8"/>
      <c r="D112" s="15"/>
      <c r="E112" s="15"/>
      <c r="F112" s="15"/>
      <c r="G112" s="15"/>
      <c r="V112" s="10" t="s">
        <v>288</v>
      </c>
      <c r="W112" s="98" t="str">
        <f>LEFT(V112,2)</f>
        <v>G5</v>
      </c>
      <c r="X112" s="10" t="str">
        <f t="shared" si="10"/>
        <v>Gland Drain and SAE Port</v>
      </c>
      <c r="Y112" s="99" t="s">
        <v>256</v>
      </c>
    </row>
    <row r="113" spans="2:25" x14ac:dyDescent="0.3">
      <c r="B113" s="11"/>
      <c r="C113" s="8"/>
      <c r="D113" s="15"/>
      <c r="E113" s="15"/>
      <c r="F113" s="15"/>
      <c r="G113" s="15"/>
      <c r="V113" s="10" t="s">
        <v>156</v>
      </c>
      <c r="W113" s="98" t="str">
        <f t="shared" si="9"/>
        <v>GA</v>
      </c>
      <c r="X113" s="10" t="str">
        <f t="shared" si="10"/>
        <v>Gland Drain, Cartridge Needle Valve, and Check Valve</v>
      </c>
      <c r="Y113" s="99" t="s">
        <v>256</v>
      </c>
    </row>
    <row r="114" spans="2:25" x14ac:dyDescent="0.3">
      <c r="B114" s="11"/>
      <c r="C114" s="8"/>
      <c r="D114" s="15"/>
      <c r="E114" s="15"/>
      <c r="F114" s="15"/>
      <c r="G114" s="15"/>
      <c r="V114" s="10" t="s">
        <v>157</v>
      </c>
      <c r="W114" s="98" t="str">
        <f t="shared" si="9"/>
        <v>GB</v>
      </c>
      <c r="X114" s="10" t="str">
        <f t="shared" si="10"/>
        <v>Gland Drain and BSPT Port</v>
      </c>
      <c r="Y114" s="99" t="s">
        <v>256</v>
      </c>
    </row>
    <row r="115" spans="2:25" x14ac:dyDescent="0.3">
      <c r="B115" s="11"/>
      <c r="C115" s="8"/>
      <c r="D115" s="15"/>
      <c r="E115" s="15"/>
      <c r="F115" s="15"/>
      <c r="G115" s="15"/>
      <c r="V115" s="10" t="s">
        <v>158</v>
      </c>
      <c r="W115" s="98" t="str">
        <f t="shared" si="9"/>
        <v>GC</v>
      </c>
      <c r="X115" s="10" t="str">
        <f t="shared" si="10"/>
        <v>Gland Drain and Cartridge Needle Valve</v>
      </c>
      <c r="Y115" s="99" t="s">
        <v>256</v>
      </c>
    </row>
    <row r="116" spans="2:25" x14ac:dyDescent="0.3">
      <c r="B116" s="11"/>
      <c r="C116" s="8"/>
      <c r="D116" s="15"/>
      <c r="E116" s="15"/>
      <c r="F116" s="15"/>
      <c r="G116" s="15"/>
      <c r="V116" s="10" t="s">
        <v>159</v>
      </c>
      <c r="W116" s="98" t="str">
        <f t="shared" si="9"/>
        <v>GD</v>
      </c>
      <c r="X116" s="10" t="str">
        <f t="shared" si="10"/>
        <v>Gland Drain per PAGE 155</v>
      </c>
      <c r="Y116" s="99" t="s">
        <v>256</v>
      </c>
    </row>
    <row r="117" spans="2:25" x14ac:dyDescent="0.3">
      <c r="B117" s="11"/>
      <c r="C117" s="8"/>
      <c r="D117" s="15"/>
      <c r="E117" s="15"/>
      <c r="F117" s="15"/>
      <c r="G117" s="15"/>
      <c r="V117" s="10" t="s">
        <v>166</v>
      </c>
      <c r="W117" s="98" t="str">
        <f t="shared" si="9"/>
        <v>GF</v>
      </c>
      <c r="X117" s="10" t="str">
        <f t="shared" si="10"/>
        <v>Grind face of head or cap parallel to cylinder body groove within .002 inch. (See Sect 2.3 for placing code in part number)</v>
      </c>
      <c r="Y117" s="99" t="s">
        <v>258</v>
      </c>
    </row>
    <row r="118" spans="2:25" x14ac:dyDescent="0.3">
      <c r="B118" s="11"/>
      <c r="C118" s="8"/>
      <c r="D118" s="15"/>
      <c r="E118" s="15"/>
      <c r="F118" s="15"/>
      <c r="G118" s="15"/>
      <c r="V118" s="10" t="s">
        <v>176</v>
      </c>
      <c r="W118" s="98" t="str">
        <f t="shared" si="9"/>
        <v>GG</v>
      </c>
      <c r="X118" s="10" t="str">
        <f t="shared" si="10"/>
        <v>Gland Drain and Metric Port Per ES-088 Except for HMI, AHM, SHM, MHP</v>
      </c>
      <c r="Y118" s="99" t="s">
        <v>256</v>
      </c>
    </row>
    <row r="119" spans="2:25" x14ac:dyDescent="0.3">
      <c r="B119" s="11"/>
      <c r="C119" s="8"/>
      <c r="D119" s="15"/>
      <c r="E119" s="15"/>
      <c r="F119" s="15"/>
      <c r="G119" s="15"/>
      <c r="V119" s="10" t="s">
        <v>160</v>
      </c>
      <c r="W119" s="98" t="str">
        <f t="shared" si="9"/>
        <v>GM</v>
      </c>
      <c r="X119" s="10" t="str">
        <f t="shared" si="10"/>
        <v>Gland Drain and Metric Port Per ES-088 For HMI, AHM, SHM, MHP</v>
      </c>
      <c r="Y119" s="99" t="s">
        <v>256</v>
      </c>
    </row>
    <row r="120" spans="2:25" x14ac:dyDescent="0.3">
      <c r="B120" s="11"/>
      <c r="C120" s="8"/>
      <c r="D120" s="15"/>
      <c r="E120" s="15"/>
      <c r="F120" s="15"/>
      <c r="G120" s="15"/>
      <c r="V120" s="10" t="s">
        <v>167</v>
      </c>
      <c r="W120" s="98" t="str">
        <f t="shared" si="9"/>
        <v>GN</v>
      </c>
      <c r="X120" s="10" t="str">
        <f t="shared" si="10"/>
        <v>Gland Drain and Needle Valve (do not use for new design of cartridge needle valve)</v>
      </c>
      <c r="Y120" s="99" t="s">
        <v>256</v>
      </c>
    </row>
    <row r="121" spans="2:25" x14ac:dyDescent="0.3">
      <c r="B121" s="11"/>
      <c r="C121" s="8"/>
      <c r="D121" s="15"/>
      <c r="E121" s="15"/>
      <c r="F121" s="15"/>
      <c r="G121" s="15"/>
      <c r="V121" s="10" t="s">
        <v>161</v>
      </c>
      <c r="W121" s="98" t="str">
        <f t="shared" si="9"/>
        <v>GR</v>
      </c>
      <c r="X121" s="10" t="str">
        <f t="shared" si="10"/>
        <v>Gland Drain and BSPP Port</v>
      </c>
      <c r="Y121" s="99" t="s">
        <v>256</v>
      </c>
    </row>
    <row r="122" spans="2:25" x14ac:dyDescent="0.3">
      <c r="B122" s="11"/>
      <c r="C122" s="8"/>
      <c r="D122" s="15"/>
      <c r="E122" s="15"/>
      <c r="F122" s="15"/>
      <c r="G122" s="15"/>
      <c r="V122" s="10" t="s">
        <v>177</v>
      </c>
      <c r="W122" s="98" t="str">
        <f t="shared" si="9"/>
        <v>GW</v>
      </c>
      <c r="X122" s="10" t="str">
        <f t="shared" si="10"/>
        <v>Limit Switch, Bolt on type other than CLS-1&amp;4 and EPS-6&amp;7, non-milled face, Stroke to Go (See Table 4.1 - - Drawing Numbers For Heads and Caps Machined for Switches)</v>
      </c>
      <c r="Y122" s="99" t="s">
        <v>256</v>
      </c>
    </row>
    <row r="123" spans="2:25" x14ac:dyDescent="0.3">
      <c r="B123" s="11"/>
      <c r="C123" s="8"/>
      <c r="D123" s="15"/>
      <c r="E123" s="15"/>
      <c r="F123" s="15"/>
      <c r="G123" s="15"/>
      <c r="V123" s="10" t="s">
        <v>162</v>
      </c>
      <c r="W123" s="98" t="str">
        <f t="shared" si="9"/>
        <v>GY</v>
      </c>
      <c r="X123" s="10" t="str">
        <f t="shared" si="10"/>
        <v>Gland Drain and ISO-6149-1 Port</v>
      </c>
      <c r="Y123" s="99" t="s">
        <v>256</v>
      </c>
    </row>
    <row r="124" spans="2:25" x14ac:dyDescent="0.3">
      <c r="B124" s="11"/>
      <c r="C124" s="8"/>
      <c r="D124" s="15"/>
      <c r="E124" s="15"/>
      <c r="F124" s="15"/>
      <c r="G124" s="15"/>
      <c r="V124" s="10" t="s">
        <v>168</v>
      </c>
      <c r="W124" s="98" t="str">
        <f t="shared" si="9"/>
        <v>HA</v>
      </c>
      <c r="X124" s="10" t="str">
        <f t="shared" si="10"/>
        <v>Port machining for Sun Valve Body YVQ, YVS, ZT J, ZTK, ZTL and ZTM SKA164912</v>
      </c>
      <c r="Y124" s="99" t="s">
        <v>256</v>
      </c>
    </row>
    <row r="125" spans="2:25" x14ac:dyDescent="0.3">
      <c r="B125" s="11"/>
      <c r="C125" s="8"/>
      <c r="D125" s="15"/>
      <c r="E125" s="15"/>
      <c r="F125" s="15"/>
      <c r="G125" s="15"/>
      <c r="V125" s="10" t="s">
        <v>163</v>
      </c>
      <c r="W125" s="98" t="str">
        <f t="shared" si="9"/>
        <v>HB</v>
      </c>
      <c r="X125" s="10" t="str">
        <f t="shared" si="10"/>
        <v>Port machining for Sun Valve Body YVY, ZTN, ZTC, and ZTD SKA164590</v>
      </c>
      <c r="Y125" s="99" t="s">
        <v>256</v>
      </c>
    </row>
    <row r="126" spans="2:25" x14ac:dyDescent="0.3">
      <c r="B126" s="11"/>
      <c r="C126" s="8"/>
      <c r="D126" s="15"/>
      <c r="E126" s="15"/>
      <c r="F126" s="15"/>
      <c r="G126" s="15"/>
      <c r="V126" s="10" t="s">
        <v>164</v>
      </c>
      <c r="W126" s="98" t="str">
        <f t="shared" si="9"/>
        <v>HC</v>
      </c>
      <c r="X126" s="10" t="str">
        <f t="shared" si="10"/>
        <v>Port machining for Sun Valve Body YVV, ZTF, ZTG and ZTH SKA164665</v>
      </c>
      <c r="Y126" s="99" t="s">
        <v>256</v>
      </c>
    </row>
    <row r="127" spans="2:25" x14ac:dyDescent="0.3">
      <c r="B127" s="11"/>
      <c r="C127" s="8"/>
      <c r="D127" s="15"/>
      <c r="E127" s="15"/>
      <c r="F127" s="15"/>
      <c r="G127" s="15"/>
      <c r="V127" s="10" t="s">
        <v>169</v>
      </c>
      <c r="W127" s="98" t="str">
        <f t="shared" si="9"/>
        <v>HD</v>
      </c>
      <c r="X127" s="10" t="str">
        <f t="shared" si="10"/>
        <v>Port machining for Sun Valve Body WJB, WJC, WJD, VZN, VZO and VZP SKA165534</v>
      </c>
      <c r="Y127" s="99" t="s">
        <v>256</v>
      </c>
    </row>
    <row r="128" spans="2:25" x14ac:dyDescent="0.3">
      <c r="B128" s="11"/>
      <c r="C128" s="8"/>
      <c r="D128" s="15"/>
      <c r="E128" s="15"/>
      <c r="F128" s="15"/>
      <c r="G128" s="15"/>
      <c r="V128" s="10" t="s">
        <v>170</v>
      </c>
      <c r="W128" s="98" t="str">
        <f t="shared" si="9"/>
        <v>JN</v>
      </c>
      <c r="X128" s="10" t="str">
        <f t="shared" si="10"/>
        <v>Undersize NPTF, One Size Under, Port and Needle Valve Per Drawings 0965370000 thru 0965420000</v>
      </c>
      <c r="Y128" s="99" t="s">
        <v>256</v>
      </c>
    </row>
    <row r="129" spans="2:25" x14ac:dyDescent="0.3">
      <c r="B129" s="11"/>
      <c r="C129" s="8"/>
      <c r="D129" s="15"/>
      <c r="E129" s="15"/>
      <c r="F129" s="15"/>
      <c r="G129" s="15"/>
      <c r="V129" s="10" t="s">
        <v>171</v>
      </c>
      <c r="W129" s="98" t="str">
        <f t="shared" si="9"/>
        <v>LE</v>
      </c>
      <c r="X129" s="10" t="str">
        <f t="shared" si="10"/>
        <v>Welded Lifting eye in position A per Drawing 133434 (6" bore and under) and 133435 (above 6" bore). (See Section 2.3 for placing code in part number)</v>
      </c>
      <c r="Y129" s="99" t="s">
        <v>258</v>
      </c>
    </row>
    <row r="130" spans="2:25" x14ac:dyDescent="0.3">
      <c r="B130" s="11"/>
      <c r="C130" s="8"/>
      <c r="D130" s="15"/>
      <c r="E130" s="15"/>
      <c r="F130" s="15"/>
      <c r="G130" s="15"/>
      <c r="V130" s="10" t="s">
        <v>172</v>
      </c>
      <c r="W130" s="98" t="str">
        <f t="shared" si="9"/>
        <v>LL</v>
      </c>
      <c r="X130" s="10" t="str">
        <f t="shared" si="10"/>
        <v>Welded Lifting eye in position B per Drawing 133434 (6" bore and under) and 133435 (above 6" bore). (See Section 2.3 for placing code in part number)</v>
      </c>
      <c r="Y130" s="99" t="s">
        <v>258</v>
      </c>
    </row>
    <row r="131" spans="2:25" x14ac:dyDescent="0.3">
      <c r="B131" s="11"/>
      <c r="C131" s="8"/>
      <c r="D131" s="15"/>
      <c r="E131" s="15"/>
      <c r="F131" s="15"/>
      <c r="G131" s="15"/>
      <c r="V131" s="10" t="s">
        <v>173</v>
      </c>
      <c r="W131" s="98" t="str">
        <f>LEFT(V131,2)</f>
        <v>LN</v>
      </c>
      <c r="X131" s="10" t="str">
        <f t="shared" si="10"/>
        <v>Undersize SAE Port, One Size Under and Needle Valve Per Drawings 0965370000 thru 0965420000</v>
      </c>
      <c r="Y131" s="99" t="s">
        <v>256</v>
      </c>
    </row>
    <row r="132" spans="2:25" x14ac:dyDescent="0.3">
      <c r="B132" s="11"/>
      <c r="C132" s="8"/>
      <c r="D132" s="15"/>
      <c r="E132" s="15"/>
      <c r="F132" s="15"/>
      <c r="G132" s="15"/>
      <c r="V132" s="10" t="s">
        <v>174</v>
      </c>
      <c r="W132" s="98" t="str">
        <f t="shared" si="9"/>
        <v>LT</v>
      </c>
      <c r="X132" s="10" t="str">
        <f t="shared" si="10"/>
        <v>LDT Linear Displacement Transducer Machining Per 0860130000, 0860140000, 0860160000, 0860170000, 0860180000, 0860190000, 0860210000, and 0860220000, 0975070000 Gen II and 0974970000 Gen II (See Section 2.3 for how to place code in part number, 9 &amp; 10 digit)</v>
      </c>
      <c r="Y132" s="99" t="s">
        <v>256</v>
      </c>
    </row>
    <row r="133" spans="2:25" x14ac:dyDescent="0.3">
      <c r="B133" s="11"/>
      <c r="C133" s="8"/>
      <c r="D133" s="15"/>
      <c r="E133" s="15"/>
      <c r="F133" s="15"/>
      <c r="G133" s="15"/>
      <c r="V133" s="10" t="s">
        <v>175</v>
      </c>
      <c r="W133" s="98" t="str">
        <f t="shared" si="9"/>
        <v>LR</v>
      </c>
      <c r="X133" s="10" t="str">
        <f t="shared" si="10"/>
        <v>LRT Linear Resistance Transducer Per 1490020000 thru 1490100000 (Used for connector position on cap)</v>
      </c>
      <c r="Y133" s="99" t="s">
        <v>256</v>
      </c>
    </row>
    <row r="134" spans="2:25" x14ac:dyDescent="0.3">
      <c r="B134" s="11"/>
      <c r="C134" s="8"/>
      <c r="D134" s="15"/>
      <c r="E134" s="15"/>
      <c r="F134" s="15"/>
      <c r="G134" s="15"/>
      <c r="V134" s="10" t="s">
        <v>216</v>
      </c>
      <c r="W134" s="98" t="str">
        <f t="shared" si="9"/>
        <v>MA</v>
      </c>
      <c r="X134" s="10" t="str">
        <f t="shared" ref="X134:X196" si="11">MID(V134, 6, 5000)</f>
        <v>Metric Flange port Code 61 size #8 per Drawing 1469260000/(0896420000 for HMI}</v>
      </c>
      <c r="Y134" s="99" t="s">
        <v>256</v>
      </c>
    </row>
    <row r="135" spans="2:25" x14ac:dyDescent="0.3">
      <c r="B135" s="11"/>
      <c r="C135" s="8"/>
      <c r="D135" s="15"/>
      <c r="E135" s="15"/>
      <c r="F135" s="15"/>
      <c r="G135" s="15"/>
      <c r="V135" s="10" t="s">
        <v>217</v>
      </c>
      <c r="W135" s="98" t="str">
        <f t="shared" si="9"/>
        <v>MB</v>
      </c>
      <c r="X135" s="10" t="str">
        <f t="shared" si="11"/>
        <v>* Metric Flange port Code 61 size #12 per Drawing 1469260000/(0896420000 for HMI)</v>
      </c>
      <c r="Y135" s="99" t="s">
        <v>256</v>
      </c>
    </row>
    <row r="136" spans="2:25" x14ac:dyDescent="0.3">
      <c r="B136" s="11"/>
      <c r="C136" s="8"/>
      <c r="D136" s="15"/>
      <c r="E136" s="15"/>
      <c r="F136" s="15"/>
      <c r="G136" s="15"/>
      <c r="V136" s="10" t="s">
        <v>218</v>
      </c>
      <c r="W136" s="98" t="str">
        <f t="shared" si="9"/>
        <v>MC</v>
      </c>
      <c r="X136" s="10" t="str">
        <f t="shared" si="11"/>
        <v>* Metric Flange port Code 61 size #16 per Drawing 1469260000/(0896420000 for HMI)</v>
      </c>
      <c r="Y136" s="99" t="s">
        <v>256</v>
      </c>
    </row>
    <row r="137" spans="2:25" x14ac:dyDescent="0.3">
      <c r="B137" s="11"/>
      <c r="C137" s="8"/>
      <c r="D137" s="15"/>
      <c r="E137" s="15"/>
      <c r="F137" s="15"/>
      <c r="G137" s="15"/>
      <c r="V137" s="10" t="s">
        <v>219</v>
      </c>
      <c r="W137" s="98" t="str">
        <f t="shared" si="9"/>
        <v>MD</v>
      </c>
      <c r="X137" s="10" t="str">
        <f t="shared" si="11"/>
        <v>* Metric Flange port Code 61 size #20 per Drawing 1469260000/(0896420000 for HMI)</v>
      </c>
      <c r="Y137" s="99" t="s">
        <v>256</v>
      </c>
    </row>
    <row r="138" spans="2:25" x14ac:dyDescent="0.3">
      <c r="B138" s="11"/>
      <c r="C138" s="8"/>
      <c r="D138" s="15"/>
      <c r="E138" s="15"/>
      <c r="F138" s="15"/>
      <c r="G138" s="15"/>
      <c r="V138" s="10" t="s">
        <v>220</v>
      </c>
      <c r="W138" s="98" t="str">
        <f t="shared" si="9"/>
        <v>ME</v>
      </c>
      <c r="X138" s="10" t="str">
        <f t="shared" si="11"/>
        <v>* Metric Flange port Code 61 size #24 per Drawing 1469260000/(0896420000 for HMI)</v>
      </c>
      <c r="Y138" s="99" t="s">
        <v>256</v>
      </c>
    </row>
    <row r="139" spans="2:25" x14ac:dyDescent="0.3">
      <c r="B139" s="11"/>
      <c r="C139" s="8"/>
      <c r="D139" s="15"/>
      <c r="E139" s="15"/>
      <c r="F139" s="15"/>
      <c r="G139" s="15"/>
      <c r="V139" s="10" t="s">
        <v>221</v>
      </c>
      <c r="W139" s="98" t="str">
        <f t="shared" si="9"/>
        <v>MF</v>
      </c>
      <c r="X139" s="10" t="str">
        <f t="shared" si="11"/>
        <v>* Metric Flange port Code 61 size #32 per Drawing 1469260000/0896420000 for HMI}</v>
      </c>
      <c r="Y139" s="99" t="s">
        <v>256</v>
      </c>
    </row>
    <row r="140" spans="2:25" x14ac:dyDescent="0.3">
      <c r="B140" s="11"/>
      <c r="C140" s="8"/>
      <c r="D140" s="15"/>
      <c r="E140" s="15"/>
      <c r="F140" s="15"/>
      <c r="G140" s="15"/>
      <c r="V140" s="10" t="s">
        <v>222</v>
      </c>
      <c r="W140" s="98" t="str">
        <f t="shared" si="9"/>
        <v>MG</v>
      </c>
      <c r="X140" s="10" t="str">
        <f t="shared" si="11"/>
        <v>*Metric Flange port Code 61 size #40 per Drawing 1469260000/(0896420000 for HMI)</v>
      </c>
      <c r="Y140" s="99" t="s">
        <v>256</v>
      </c>
    </row>
    <row r="141" spans="2:25" x14ac:dyDescent="0.3">
      <c r="B141" s="11"/>
      <c r="C141" s="8"/>
      <c r="D141" s="15"/>
      <c r="E141" s="15"/>
      <c r="F141" s="15"/>
      <c r="G141" s="15"/>
      <c r="V141" s="10" t="s">
        <v>223</v>
      </c>
      <c r="W141" s="98" t="str">
        <f t="shared" si="9"/>
        <v>MH</v>
      </c>
      <c r="X141" s="10" t="str">
        <f t="shared" si="11"/>
        <v>* Metric Flange port Code 61 size #48 per Drawing 1469260000/(0896420000 for HMI)</v>
      </c>
      <c r="Y141" s="99" t="s">
        <v>256</v>
      </c>
    </row>
    <row r="142" spans="2:25" x14ac:dyDescent="0.3">
      <c r="B142" s="11"/>
      <c r="C142" s="8"/>
      <c r="D142" s="15"/>
      <c r="E142" s="15"/>
      <c r="F142" s="15"/>
      <c r="G142" s="15"/>
      <c r="V142" s="10" t="s">
        <v>224</v>
      </c>
      <c r="W142" s="98" t="str">
        <f t="shared" si="9"/>
        <v>MJ</v>
      </c>
      <c r="X142" s="10" t="str">
        <f t="shared" si="11"/>
        <v>* Metric Flange port Code 61 size #56 per Drawing 1469260000/(0896420000 for HMI)</v>
      </c>
      <c r="Y142" s="99" t="s">
        <v>256</v>
      </c>
    </row>
    <row r="143" spans="2:25" x14ac:dyDescent="0.3">
      <c r="B143" s="11"/>
      <c r="C143" s="8"/>
      <c r="D143" s="15"/>
      <c r="E143" s="15"/>
      <c r="F143" s="15"/>
      <c r="G143" s="15"/>
      <c r="V143" s="10" t="s">
        <v>178</v>
      </c>
      <c r="W143" s="98" t="str">
        <f t="shared" si="9"/>
        <v>ML</v>
      </c>
      <c r="X143" s="10" t="str">
        <f t="shared" si="11"/>
        <v>Milled face 1 inch bore 2A/3L Head</v>
      </c>
      <c r="Y143" s="99" t="s">
        <v>256</v>
      </c>
    </row>
    <row r="144" spans="2:25" x14ac:dyDescent="0.3">
      <c r="B144" s="11"/>
      <c r="C144" s="8"/>
      <c r="D144" s="15"/>
      <c r="E144" s="15"/>
      <c r="F144" s="15"/>
      <c r="G144" s="15"/>
      <c r="V144" s="10" t="s">
        <v>179</v>
      </c>
      <c r="W144" s="98" t="str">
        <f t="shared" si="9"/>
        <v>NA</v>
      </c>
      <c r="X144" s="10" t="str">
        <f t="shared" si="11"/>
        <v>(Replaced by code BA) Bolt-on-Manifold port machining Group A</v>
      </c>
      <c r="Y144" s="99" t="s">
        <v>256</v>
      </c>
    </row>
    <row r="145" spans="2:25" x14ac:dyDescent="0.3">
      <c r="B145" s="11"/>
      <c r="C145" s="8"/>
      <c r="D145" s="15"/>
      <c r="E145" s="15"/>
      <c r="F145" s="15"/>
      <c r="G145" s="15"/>
      <c r="V145" s="10" t="s">
        <v>180</v>
      </c>
      <c r="W145" s="98" t="str">
        <f t="shared" si="9"/>
        <v>NB</v>
      </c>
      <c r="X145" s="10" t="str">
        <f t="shared" si="11"/>
        <v>(Replaced by code BD)Bolt-on-Manifold port machining Group D</v>
      </c>
      <c r="Y145" s="99" t="s">
        <v>256</v>
      </c>
    </row>
    <row r="146" spans="2:25" x14ac:dyDescent="0.3">
      <c r="B146" s="11"/>
      <c r="C146" s="8"/>
      <c r="D146" s="15"/>
      <c r="E146" s="15"/>
      <c r="F146" s="15"/>
      <c r="G146" s="15"/>
      <c r="V146" s="10" t="s">
        <v>181</v>
      </c>
      <c r="W146" s="98" t="str">
        <f t="shared" si="9"/>
        <v>NC</v>
      </c>
      <c r="X146" s="10" t="str">
        <f t="shared" si="11"/>
        <v>(Replaced by code BG)Bolt-on-Manifold port machining Group G (D03)</v>
      </c>
      <c r="Y146" s="99" t="s">
        <v>256</v>
      </c>
    </row>
    <row r="147" spans="2:25" x14ac:dyDescent="0.3">
      <c r="B147" s="11"/>
      <c r="C147" s="8"/>
      <c r="D147" s="15"/>
      <c r="E147" s="15"/>
      <c r="F147" s="15"/>
      <c r="G147" s="15"/>
      <c r="V147" s="10" t="s">
        <v>182</v>
      </c>
      <c r="W147" s="98" t="str">
        <f t="shared" si="9"/>
        <v>ND</v>
      </c>
      <c r="X147" s="10" t="str">
        <f t="shared" si="11"/>
        <v>(Replaced by code BH)Bolt-on-Manifold port machining Group H (DOS)</v>
      </c>
      <c r="Y147" s="99" t="s">
        <v>256</v>
      </c>
    </row>
    <row r="148" spans="2:25" x14ac:dyDescent="0.3">
      <c r="B148" s="11"/>
      <c r="C148" s="8"/>
      <c r="D148" s="15"/>
      <c r="E148" s="15"/>
      <c r="F148" s="15"/>
      <c r="G148" s="15"/>
      <c r="V148" s="10" t="s">
        <v>183</v>
      </c>
      <c r="W148" s="98" t="str">
        <f t="shared" si="9"/>
        <v>NE</v>
      </c>
      <c r="X148" s="10" t="str">
        <f t="shared" si="11"/>
        <v>(Replaced by code BJ)Bolt-on-Manifold port machining Group J (D06)</v>
      </c>
      <c r="Y148" s="99" t="s">
        <v>256</v>
      </c>
    </row>
    <row r="149" spans="2:25" x14ac:dyDescent="0.3">
      <c r="B149" s="11"/>
      <c r="C149" s="8"/>
      <c r="D149" s="15"/>
      <c r="E149" s="15"/>
      <c r="F149" s="15"/>
      <c r="G149" s="15"/>
      <c r="V149" s="10" t="s">
        <v>184</v>
      </c>
      <c r="W149" s="98" t="str">
        <f t="shared" si="9"/>
        <v>NF</v>
      </c>
      <c r="X149" s="10" t="str">
        <f t="shared" si="11"/>
        <v>(Replaced by code BK)Bolt-on-Manifold port machining Group K (D07)</v>
      </c>
      <c r="Y149" s="99" t="s">
        <v>256</v>
      </c>
    </row>
    <row r="150" spans="2:25" x14ac:dyDescent="0.3">
      <c r="B150" s="11"/>
      <c r="C150" s="8"/>
      <c r="D150" s="15"/>
      <c r="E150" s="15"/>
      <c r="F150" s="15"/>
      <c r="G150" s="15"/>
      <c r="V150" s="10" t="s">
        <v>185</v>
      </c>
      <c r="W150" s="98" t="str">
        <f t="shared" si="9"/>
        <v>NG</v>
      </c>
      <c r="X150" s="10" t="str">
        <f t="shared" si="11"/>
        <v>(Replaced by code BM)Bolt-on-Manifold port machining Group M (D08)</v>
      </c>
      <c r="Y150" s="99" t="s">
        <v>256</v>
      </c>
    </row>
    <row r="151" spans="2:25" x14ac:dyDescent="0.3">
      <c r="B151" s="11"/>
      <c r="C151" s="8"/>
      <c r="D151" s="15"/>
      <c r="E151" s="15"/>
      <c r="F151" s="15"/>
      <c r="G151" s="15"/>
      <c r="V151" s="10" t="s">
        <v>186</v>
      </c>
      <c r="W151" s="98" t="str">
        <f t="shared" si="9"/>
        <v>NH</v>
      </c>
      <c r="X151" s="10" t="str">
        <f t="shared" si="11"/>
        <v>(Replaced by code BF)Bolt-on-Manifold port machining Group F (MOOG 72)</v>
      </c>
      <c r="Y151" s="99" t="s">
        <v>256</v>
      </c>
    </row>
    <row r="152" spans="2:25" x14ac:dyDescent="0.3">
      <c r="B152" s="11"/>
      <c r="C152" s="8"/>
      <c r="D152" s="15"/>
      <c r="E152" s="15"/>
      <c r="F152" s="15"/>
      <c r="G152" s="15"/>
      <c r="V152" s="10" t="s">
        <v>187</v>
      </c>
      <c r="W152" s="98" t="str">
        <f t="shared" si="9"/>
        <v>NR</v>
      </c>
      <c r="X152" s="10" t="str">
        <f t="shared" si="11"/>
        <v>Cartridge Needle valve per drawings, 0975450000 thru 0975480000</v>
      </c>
      <c r="Y152" s="99" t="s">
        <v>256</v>
      </c>
    </row>
    <row r="153" spans="2:25" x14ac:dyDescent="0.3">
      <c r="B153" s="11"/>
      <c r="C153" s="8"/>
      <c r="D153" s="15"/>
      <c r="E153" s="15"/>
      <c r="F153" s="15"/>
      <c r="G153" s="15"/>
      <c r="V153" s="10" t="s">
        <v>188</v>
      </c>
      <c r="W153" s="98" t="str">
        <f t="shared" si="9"/>
        <v>PA</v>
      </c>
      <c r="X153" s="10" t="str">
        <f t="shared" si="11"/>
        <v>* Flange port code 61 size #8 per Drawing 1408100000</v>
      </c>
      <c r="Y153" s="99" t="s">
        <v>256</v>
      </c>
    </row>
    <row r="154" spans="2:25" x14ac:dyDescent="0.3">
      <c r="B154" s="11"/>
      <c r="C154" s="8"/>
      <c r="D154" s="15"/>
      <c r="E154" s="15"/>
      <c r="F154" s="15"/>
      <c r="G154" s="15"/>
      <c r="V154" s="10" t="s">
        <v>189</v>
      </c>
      <c r="W154" s="98" t="str">
        <f t="shared" si="9"/>
        <v>PB</v>
      </c>
      <c r="X154" s="10" t="str">
        <f t="shared" si="11"/>
        <v>Flange port code 61 size #12 per Drawing 1408100000</v>
      </c>
      <c r="Y154" s="99" t="s">
        <v>256</v>
      </c>
    </row>
    <row r="155" spans="2:25" x14ac:dyDescent="0.3">
      <c r="B155" s="11"/>
      <c r="C155" s="8"/>
      <c r="D155" s="15"/>
      <c r="E155" s="15"/>
      <c r="F155" s="15"/>
      <c r="G155" s="15"/>
      <c r="V155" s="10" t="s">
        <v>190</v>
      </c>
      <c r="W155" s="98" t="str">
        <f t="shared" si="9"/>
        <v>PC</v>
      </c>
      <c r="X155" s="10" t="str">
        <f t="shared" si="11"/>
        <v>Flange port code 61 size #16 per Drawing 1408100000</v>
      </c>
      <c r="Y155" s="99" t="s">
        <v>256</v>
      </c>
    </row>
    <row r="156" spans="2:25" x14ac:dyDescent="0.3">
      <c r="B156" s="11"/>
      <c r="C156" s="8"/>
      <c r="D156" s="15"/>
      <c r="E156" s="15"/>
      <c r="F156" s="15"/>
      <c r="G156" s="15"/>
      <c r="V156" s="10" t="s">
        <v>191</v>
      </c>
      <c r="W156" s="98" t="str">
        <f t="shared" si="9"/>
        <v>PD</v>
      </c>
      <c r="X156" s="10" t="str">
        <f t="shared" si="11"/>
        <v>* Flange port code 61 size #20 per Drawing 1408100000</v>
      </c>
      <c r="Y156" s="99" t="s">
        <v>256</v>
      </c>
    </row>
    <row r="157" spans="2:25" x14ac:dyDescent="0.3">
      <c r="B157" s="11"/>
      <c r="C157" s="8"/>
      <c r="D157" s="15"/>
      <c r="E157" s="15"/>
      <c r="F157" s="15"/>
      <c r="G157" s="15"/>
      <c r="V157" s="10" t="s">
        <v>192</v>
      </c>
      <c r="W157" s="98" t="str">
        <f t="shared" si="9"/>
        <v>PE</v>
      </c>
      <c r="X157" s="10" t="str">
        <f t="shared" si="11"/>
        <v>Flange port code 61 size #24 per Drawing 1408100000</v>
      </c>
      <c r="Y157" s="99" t="s">
        <v>256</v>
      </c>
    </row>
    <row r="158" spans="2:25" x14ac:dyDescent="0.3">
      <c r="B158" s="11"/>
      <c r="C158" s="8"/>
      <c r="D158" s="15"/>
      <c r="E158" s="15"/>
      <c r="F158" s="15"/>
      <c r="G158" s="15"/>
      <c r="V158" s="10" t="s">
        <v>193</v>
      </c>
      <c r="W158" s="98" t="str">
        <f t="shared" si="9"/>
        <v>PF</v>
      </c>
      <c r="X158" s="10" t="str">
        <f t="shared" si="11"/>
        <v>* Flange port code 61 size #32 per Drawing 1408100000</v>
      </c>
      <c r="Y158" s="99" t="s">
        <v>256</v>
      </c>
    </row>
    <row r="159" spans="2:25" x14ac:dyDescent="0.3">
      <c r="B159" s="11"/>
      <c r="C159" s="8"/>
      <c r="D159" s="15"/>
      <c r="E159" s="15"/>
      <c r="F159" s="15"/>
      <c r="G159" s="15"/>
      <c r="V159" s="10" t="s">
        <v>194</v>
      </c>
      <c r="W159" s="98" t="str">
        <f t="shared" si="9"/>
        <v>PG</v>
      </c>
      <c r="X159" s="10" t="str">
        <f t="shared" si="11"/>
        <v>* Flange port code 61 size #40 per Drawing 1408100000</v>
      </c>
      <c r="Y159" s="99" t="s">
        <v>256</v>
      </c>
    </row>
    <row r="160" spans="2:25" x14ac:dyDescent="0.3">
      <c r="B160" s="11"/>
      <c r="C160" s="8"/>
      <c r="D160" s="15"/>
      <c r="E160" s="15"/>
      <c r="F160" s="15"/>
      <c r="G160" s="15"/>
      <c r="V160" s="10" t="s">
        <v>195</v>
      </c>
      <c r="W160" s="98" t="str">
        <f t="shared" si="9"/>
        <v>PH</v>
      </c>
      <c r="X160" s="10" t="str">
        <f t="shared" si="11"/>
        <v>* Flange port code 61 size #48 per Drawing 1408100000</v>
      </c>
      <c r="Y160" s="99" t="s">
        <v>256</v>
      </c>
    </row>
    <row r="161" spans="2:25" x14ac:dyDescent="0.3">
      <c r="B161" s="11"/>
      <c r="C161" s="8"/>
      <c r="D161" s="15"/>
      <c r="E161" s="15"/>
      <c r="F161" s="15"/>
      <c r="G161" s="15"/>
      <c r="V161" s="10" t="s">
        <v>196</v>
      </c>
      <c r="W161" s="98" t="str">
        <f t="shared" si="9"/>
        <v>PJ</v>
      </c>
      <c r="X161" s="10" t="str">
        <f t="shared" si="11"/>
        <v xml:space="preserve"> Flange port code 61 size #56 per Drawing 1408100000</v>
      </c>
      <c r="Y161" s="99" t="s">
        <v>256</v>
      </c>
    </row>
    <row r="162" spans="2:25" x14ac:dyDescent="0.3">
      <c r="B162" s="11"/>
      <c r="C162" s="8"/>
      <c r="D162" s="15"/>
      <c r="E162" s="15"/>
      <c r="F162" s="15"/>
      <c r="G162" s="15"/>
      <c r="V162" s="10" t="s">
        <v>197</v>
      </c>
      <c r="W162" s="98" t="str">
        <f t="shared" si="9"/>
        <v>QN</v>
      </c>
      <c r="X162" s="10" t="str">
        <f t="shared" si="11"/>
        <v>Undersize SAE Port, Two Sizes Under and Needle Valve</v>
      </c>
      <c r="Y162" s="99" t="s">
        <v>256</v>
      </c>
    </row>
    <row r="163" spans="2:25" x14ac:dyDescent="0.3">
      <c r="B163" s="11"/>
      <c r="C163" s="8"/>
      <c r="D163" s="15"/>
      <c r="E163" s="15"/>
      <c r="F163" s="15"/>
      <c r="G163" s="15"/>
      <c r="V163" s="10" t="s">
        <v>225</v>
      </c>
      <c r="W163" s="98" t="str">
        <f t="shared" si="9"/>
        <v>RB</v>
      </c>
      <c r="X163" s="10" t="str">
        <f t="shared" si="11"/>
        <v>Tapped Head/Retainer Face for Rod Boot Retainer Screws (See Section 2.3 for placing code in part number)</v>
      </c>
      <c r="Y163" s="99" t="s">
        <v>258</v>
      </c>
    </row>
    <row r="164" spans="2:25" x14ac:dyDescent="0.3">
      <c r="B164" s="11"/>
      <c r="C164" s="8"/>
      <c r="D164" s="15"/>
      <c r="E164" s="15"/>
      <c r="F164" s="15"/>
      <c r="G164" s="15"/>
      <c r="V164" s="10" t="s">
        <v>226</v>
      </c>
      <c r="W164" s="98" t="str">
        <f t="shared" si="9"/>
        <v>RN</v>
      </c>
      <c r="X164" s="10" t="str">
        <f t="shared" si="11"/>
        <v>BSPP British Standard Port and Needle Valve Per Drawings 0965430000 thru 0965480000</v>
      </c>
      <c r="Y164" s="99" t="s">
        <v>256</v>
      </c>
    </row>
    <row r="165" spans="2:25" x14ac:dyDescent="0.3">
      <c r="B165" s="11"/>
      <c r="C165" s="8"/>
      <c r="D165" s="15"/>
      <c r="E165" s="15"/>
      <c r="F165" s="15"/>
      <c r="G165" s="15"/>
      <c r="V165" s="10" t="s">
        <v>246</v>
      </c>
      <c r="W165" s="98" t="str">
        <f t="shared" si="9"/>
        <v>SA</v>
      </c>
      <c r="X165" s="10" t="str">
        <f t="shared" si="11"/>
        <v>Stroke Adjuster Machining Cap Face Per Drawing PAGE 164 (See Sect 2.3 for placing code in part number)</v>
      </c>
      <c r="Y165" s="99" t="s">
        <v>258</v>
      </c>
    </row>
    <row r="166" spans="2:25" x14ac:dyDescent="0.3">
      <c r="B166" s="11"/>
      <c r="C166" s="8"/>
      <c r="D166" s="15"/>
      <c r="E166" s="15"/>
      <c r="F166" s="15"/>
      <c r="G166" s="15"/>
      <c r="V166" s="10" t="s">
        <v>198</v>
      </c>
      <c r="W166" s="98" t="str">
        <f t="shared" si="9"/>
        <v>SB</v>
      </c>
      <c r="X166" s="10" t="str">
        <f t="shared" si="11"/>
        <v>Undersize BSPT Port Two Sizes Under Per ES-087</v>
      </c>
      <c r="Y166" s="99" t="s">
        <v>256</v>
      </c>
    </row>
    <row r="167" spans="2:25" x14ac:dyDescent="0.3">
      <c r="B167" s="11"/>
      <c r="C167" s="8"/>
      <c r="D167" s="15"/>
      <c r="E167" s="15"/>
      <c r="F167" s="15"/>
      <c r="G167" s="15"/>
      <c r="V167" s="10" t="s">
        <v>227</v>
      </c>
      <c r="W167" s="98" t="str">
        <f t="shared" si="9"/>
        <v>SC</v>
      </c>
      <c r="X167" s="10" t="str">
        <f t="shared" si="11"/>
        <v>* #14 SAE Port machined into standard port position. Only to be used on Non-cushioned heads and caps and on bore sizes where the #14 SAE port size or larger is the standard port size. See drawing 0693640000</v>
      </c>
      <c r="Y167" s="99" t="s">
        <v>256</v>
      </c>
    </row>
    <row r="168" spans="2:25" x14ac:dyDescent="0.3">
      <c r="B168" s="11"/>
      <c r="C168" s="8"/>
      <c r="D168" s="15"/>
      <c r="E168" s="15"/>
      <c r="F168" s="15"/>
      <c r="G168" s="15"/>
      <c r="V168" s="10" t="s">
        <v>199</v>
      </c>
      <c r="W168" s="98" t="str">
        <f t="shared" ref="W168:W196" si="12">LEFT(V168,2)</f>
        <v>SN</v>
      </c>
      <c r="X168" s="10" t="str">
        <f t="shared" si="11"/>
        <v>Undersize NPTF, Two Sizes Under and Needle Valve</v>
      </c>
      <c r="Y168" s="99" t="s">
        <v>256</v>
      </c>
    </row>
    <row r="169" spans="2:25" x14ac:dyDescent="0.3">
      <c r="B169" s="11"/>
      <c r="C169" s="8"/>
      <c r="D169" s="15"/>
      <c r="E169" s="15"/>
      <c r="F169" s="15"/>
      <c r="G169" s="15"/>
      <c r="V169" s="10" t="s">
        <v>228</v>
      </c>
      <c r="W169" s="98" t="str">
        <f t="shared" si="12"/>
        <v>SW</v>
      </c>
      <c r="X169" s="10" t="str">
        <f t="shared" si="11"/>
        <v>Seal Weld reference drawing HH426561 F1 (See Section 2.3 for placing code in part number)</v>
      </c>
      <c r="Y169" s="99" t="s">
        <v>258</v>
      </c>
    </row>
    <row r="170" spans="2:25" x14ac:dyDescent="0.3">
      <c r="B170" s="11"/>
      <c r="C170" s="8"/>
      <c r="D170" s="15"/>
      <c r="E170" s="15"/>
      <c r="F170" s="15"/>
      <c r="G170" s="15"/>
      <c r="V170" s="10" t="s">
        <v>229</v>
      </c>
      <c r="W170" s="98" t="str">
        <f>LEFT(V170,2)</f>
        <v>SZ</v>
      </c>
      <c r="X170" s="10" t="str">
        <f t="shared" si="11"/>
        <v>Designates a Special (Customer Specified Port, this is a number generated by Stacklt, when this number comes up the planner or engineer must assign a new ETO part number to the part)</v>
      </c>
      <c r="Y170" s="99" t="s">
        <v>256</v>
      </c>
    </row>
    <row r="171" spans="2:25" x14ac:dyDescent="0.3">
      <c r="B171" s="11"/>
      <c r="C171" s="8"/>
      <c r="D171" s="15"/>
      <c r="E171" s="15"/>
      <c r="F171" s="15"/>
      <c r="G171" s="15"/>
      <c r="V171" s="10" t="s">
        <v>200</v>
      </c>
      <c r="W171" s="98" t="str">
        <f t="shared" si="12"/>
        <v>SR</v>
      </c>
      <c r="X171" s="10" t="str">
        <f t="shared" si="11"/>
        <v>Undersize BSPP Port Two Sizes Under Per ES-089</v>
      </c>
      <c r="Y171" s="99" t="s">
        <v>256</v>
      </c>
    </row>
    <row r="172" spans="2:25" x14ac:dyDescent="0.3">
      <c r="B172" s="11"/>
      <c r="C172" s="8"/>
      <c r="D172" s="15"/>
      <c r="E172" s="15"/>
      <c r="F172" s="15"/>
      <c r="G172" s="15"/>
      <c r="V172" s="10" t="s">
        <v>230</v>
      </c>
      <c r="W172" s="98" t="str">
        <f t="shared" si="12"/>
        <v>TB</v>
      </c>
      <c r="X172" s="10" t="str">
        <f t="shared" si="11"/>
        <v>Threaded tie rod holes drilled out and retainer/head face tapped for Rod boot retainer (See Section 2.3 for how to place code in part number for heads, Section 3.0 for retainers)</v>
      </c>
      <c r="Y172" s="99" t="s">
        <v>258</v>
      </c>
    </row>
    <row r="173" spans="2:25" x14ac:dyDescent="0.3">
      <c r="B173" s="11"/>
      <c r="C173" s="8"/>
      <c r="D173" s="15"/>
      <c r="E173" s="15"/>
      <c r="F173" s="15"/>
      <c r="G173" s="15"/>
      <c r="V173" s="10" t="s">
        <v>201</v>
      </c>
      <c r="W173" s="98" t="str">
        <f t="shared" si="12"/>
        <v>TG</v>
      </c>
      <c r="X173" s="10" t="str">
        <f t="shared" si="11"/>
        <v>Undersize Metric Port Two Sizes Under Per ES-088</v>
      </c>
      <c r="Y173" s="99" t="s">
        <v>256</v>
      </c>
    </row>
    <row r="174" spans="2:25" x14ac:dyDescent="0.3">
      <c r="B174" s="11"/>
      <c r="C174" s="8"/>
      <c r="D174" s="15"/>
      <c r="E174" s="15"/>
      <c r="F174" s="15"/>
      <c r="G174" s="15"/>
      <c r="V174" s="10" t="s">
        <v>202</v>
      </c>
      <c r="W174" s="98" t="str">
        <f t="shared" si="12"/>
        <v>TN</v>
      </c>
      <c r="X174" s="10" t="str">
        <f t="shared" si="11"/>
        <v>Undersize BSPT Port, Two Sizes Under and Needle Valve</v>
      </c>
      <c r="Y174" s="99" t="s">
        <v>256</v>
      </c>
    </row>
    <row r="175" spans="2:25" x14ac:dyDescent="0.3">
      <c r="B175" s="11"/>
      <c r="C175" s="8"/>
      <c r="D175" s="15"/>
      <c r="E175" s="15"/>
      <c r="F175" s="15"/>
      <c r="G175" s="15"/>
      <c r="V175" s="10" t="s">
        <v>203</v>
      </c>
      <c r="W175" s="98" t="str">
        <f t="shared" si="12"/>
        <v>TY</v>
      </c>
      <c r="X175" s="10" t="str">
        <f t="shared" si="11"/>
        <v>Undersize ISO-6149-1 Port, Two Sizes Under Per Drawing 146928</v>
      </c>
      <c r="Y175" s="99" t="s">
        <v>256</v>
      </c>
    </row>
    <row r="176" spans="2:25" x14ac:dyDescent="0.3">
      <c r="B176" s="11"/>
      <c r="C176" s="8"/>
      <c r="D176" s="15"/>
      <c r="E176" s="15"/>
      <c r="F176" s="15"/>
      <c r="G176" s="15"/>
      <c r="V176" s="10" t="s">
        <v>204</v>
      </c>
      <c r="W176" s="98" t="str">
        <f t="shared" si="12"/>
        <v>UG</v>
      </c>
      <c r="X176" s="10" t="str">
        <f t="shared" si="11"/>
        <v>Undersize Metric Port One Size Under Per ES-088</v>
      </c>
      <c r="Y176" s="99" t="s">
        <v>256</v>
      </c>
    </row>
    <row r="177" spans="2:25" x14ac:dyDescent="0.3">
      <c r="B177" s="11"/>
      <c r="C177" s="8"/>
      <c r="D177" s="15"/>
      <c r="E177" s="15"/>
      <c r="F177" s="15"/>
      <c r="G177" s="15"/>
      <c r="V177" s="10" t="s">
        <v>205</v>
      </c>
      <c r="W177" s="98" t="str">
        <f t="shared" si="12"/>
        <v>UN</v>
      </c>
      <c r="X177" s="10" t="str">
        <f t="shared" si="11"/>
        <v>Undersize BSPP Port Two Sizes Under and Needle Valve</v>
      </c>
      <c r="Y177" s="99" t="s">
        <v>256</v>
      </c>
    </row>
    <row r="178" spans="2:25" x14ac:dyDescent="0.3">
      <c r="B178" s="11"/>
      <c r="C178" s="8"/>
      <c r="D178" s="15"/>
      <c r="E178" s="15"/>
      <c r="F178" s="15"/>
      <c r="G178" s="15"/>
      <c r="V178" s="10" t="s">
        <v>206</v>
      </c>
      <c r="W178" s="98" t="str">
        <f t="shared" si="12"/>
        <v>UY</v>
      </c>
      <c r="X178" s="10" t="str">
        <f t="shared" si="11"/>
        <v>Undersize ISO-6149-1 Port One Size Under Per Drawing 146928</v>
      </c>
      <c r="Y178" s="99" t="s">
        <v>256</v>
      </c>
    </row>
    <row r="179" spans="2:25" x14ac:dyDescent="0.3">
      <c r="B179" s="11"/>
      <c r="C179" s="8"/>
      <c r="D179" s="15"/>
      <c r="E179" s="15"/>
      <c r="F179" s="15"/>
      <c r="G179" s="15"/>
      <c r="V179" s="10" t="s">
        <v>248</v>
      </c>
      <c r="W179" s="98" t="str">
        <f t="shared" si="12"/>
        <v>V1</v>
      </c>
      <c r="X179" s="10" t="str">
        <f t="shared" si="11"/>
        <v>Air Vent Per Drawing 0812920000 Design 3</v>
      </c>
      <c r="Y179" s="99" t="s">
        <v>256</v>
      </c>
    </row>
    <row r="180" spans="2:25" x14ac:dyDescent="0.3">
      <c r="B180" s="11"/>
      <c r="C180" s="8"/>
      <c r="D180" s="15"/>
      <c r="E180" s="15"/>
      <c r="F180" s="15"/>
      <c r="G180" s="15"/>
      <c r="V180" s="10" t="s">
        <v>247</v>
      </c>
      <c r="W180" s="98" t="str">
        <f t="shared" si="12"/>
        <v>V2</v>
      </c>
      <c r="X180" s="10" t="str">
        <f t="shared" si="11"/>
        <v>Air Vent Per Drawing 0812930000 Design 2</v>
      </c>
      <c r="Y180" s="99" t="s">
        <v>256</v>
      </c>
    </row>
    <row r="181" spans="2:25" x14ac:dyDescent="0.3">
      <c r="B181" s="11"/>
      <c r="C181" s="8"/>
      <c r="D181" s="15"/>
      <c r="E181" s="15"/>
      <c r="F181" s="15"/>
      <c r="G181" s="15"/>
      <c r="V181" s="10" t="s">
        <v>207</v>
      </c>
      <c r="W181" s="98" t="str">
        <f t="shared" si="12"/>
        <v>V3</v>
      </c>
      <c r="X181" s="10" t="str">
        <f t="shared" si="11"/>
        <v>#4 SAE Bleed Port Per Drawing 0855800000</v>
      </c>
      <c r="Y181" s="99" t="s">
        <v>256</v>
      </c>
    </row>
    <row r="182" spans="2:25" x14ac:dyDescent="0.3">
      <c r="B182" s="11"/>
      <c r="C182" s="8"/>
      <c r="D182" s="15"/>
      <c r="E182" s="15"/>
      <c r="F182" s="15"/>
      <c r="G182" s="15"/>
      <c r="V182" s="10" t="s">
        <v>208</v>
      </c>
      <c r="W182" s="98" t="str">
        <f t="shared" si="12"/>
        <v>V4</v>
      </c>
      <c r="X182" s="10" t="str">
        <f t="shared" si="11"/>
        <v>1/8 NPTF Bleed Ports for HMI per Drawing 0978750000</v>
      </c>
      <c r="Y182" s="99" t="s">
        <v>256</v>
      </c>
    </row>
    <row r="183" spans="2:25" x14ac:dyDescent="0.3">
      <c r="B183" s="11"/>
      <c r="C183" s="8"/>
      <c r="D183" s="15"/>
      <c r="E183" s="15"/>
      <c r="F183" s="15"/>
      <c r="G183" s="15"/>
      <c r="V183" s="10" t="s">
        <v>209</v>
      </c>
      <c r="W183" s="98" t="str">
        <f t="shared" si="12"/>
        <v>VS</v>
      </c>
      <c r="X183" s="10" t="str">
        <f t="shared" si="11"/>
        <v>(Reserved For New Bleed Fitting Design)</v>
      </c>
      <c r="Y183" s="99" t="s">
        <v>256</v>
      </c>
    </row>
    <row r="184" spans="2:25" x14ac:dyDescent="0.3">
      <c r="B184" s="11"/>
      <c r="C184" s="8"/>
      <c r="D184" s="15"/>
      <c r="E184" s="15"/>
      <c r="F184" s="15"/>
      <c r="G184" s="15"/>
      <c r="V184" s="10" t="s">
        <v>210</v>
      </c>
      <c r="W184" s="98" t="str">
        <f t="shared" si="12"/>
        <v>V6</v>
      </c>
      <c r="X184" s="10" t="str">
        <f t="shared" si="11"/>
        <v>Metric Air bleed per drawing HM1058</v>
      </c>
      <c r="Y184" s="99" t="s">
        <v>256</v>
      </c>
    </row>
    <row r="185" spans="2:25" x14ac:dyDescent="0.3">
      <c r="B185" s="11"/>
      <c r="C185" s="8"/>
      <c r="D185" s="15"/>
      <c r="E185" s="15"/>
      <c r="F185" s="15"/>
      <c r="G185" s="15"/>
      <c r="V185" s="10" t="s">
        <v>211</v>
      </c>
      <c r="W185" s="98" t="str">
        <f t="shared" si="12"/>
        <v>V7</v>
      </c>
      <c r="X185" s="10" t="str">
        <f t="shared" si="11"/>
        <v>#2 SAE Bleed port</v>
      </c>
      <c r="Y185" s="99" t="s">
        <v>256</v>
      </c>
    </row>
    <row r="186" spans="2:25" x14ac:dyDescent="0.3">
      <c r="B186" s="11"/>
      <c r="C186" s="8"/>
      <c r="D186" s="15"/>
      <c r="E186" s="15"/>
      <c r="F186" s="15"/>
      <c r="G186" s="15"/>
      <c r="V186" s="10" t="s">
        <v>212</v>
      </c>
      <c r="W186" s="98" t="str">
        <f t="shared" si="12"/>
        <v>W4</v>
      </c>
      <c r="X186" s="10" t="str">
        <f t="shared" si="11"/>
        <v>Oversize BSPT Welded Port Spud, One Size Over PAGE 153A</v>
      </c>
      <c r="Y186" s="99" t="s">
        <v>256</v>
      </c>
    </row>
    <row r="187" spans="2:25" x14ac:dyDescent="0.3">
      <c r="B187" s="11"/>
      <c r="C187" s="8"/>
      <c r="D187" s="15"/>
      <c r="E187" s="15"/>
      <c r="F187" s="15"/>
      <c r="G187" s="15"/>
      <c r="V187" s="10" t="s">
        <v>249</v>
      </c>
      <c r="W187" s="98" t="str">
        <f t="shared" si="12"/>
        <v>W6</v>
      </c>
      <c r="X187" s="10" t="str">
        <f t="shared" si="11"/>
        <v>Oversize Metric Welded Port Spud, One Size Over PAGE 154A</v>
      </c>
      <c r="Y187" s="99" t="s">
        <v>256</v>
      </c>
    </row>
    <row r="188" spans="2:25" x14ac:dyDescent="0.3">
      <c r="B188" s="11"/>
      <c r="C188" s="8"/>
      <c r="D188" s="15"/>
      <c r="E188" s="15"/>
      <c r="F188" s="15"/>
      <c r="G188" s="15"/>
      <c r="V188" s="10" t="s">
        <v>213</v>
      </c>
      <c r="W188" s="98" t="str">
        <f t="shared" si="12"/>
        <v>WH</v>
      </c>
      <c r="X188" s="10" t="str">
        <f t="shared" si="11"/>
        <v>Oversize NPTF Welded Port Spud, One Size Over PAGE 153 and PAGE 160</v>
      </c>
      <c r="Y188" s="99" t="s">
        <v>256</v>
      </c>
    </row>
    <row r="189" spans="2:25" x14ac:dyDescent="0.3">
      <c r="B189" s="11"/>
      <c r="C189" s="8"/>
      <c r="D189" s="15"/>
      <c r="E189" s="15"/>
      <c r="F189" s="15"/>
      <c r="G189" s="15"/>
      <c r="V189" s="10" t="s">
        <v>250</v>
      </c>
      <c r="W189" s="98" t="str">
        <f t="shared" si="12"/>
        <v>WK</v>
      </c>
      <c r="X189" s="10" t="str">
        <f t="shared" si="11"/>
        <v>Oversize SAE Welded Port Spud, One Size Over PAGE 154 and PAGE 161</v>
      </c>
      <c r="Y189" s="99" t="s">
        <v>256</v>
      </c>
    </row>
    <row r="190" spans="2:25" x14ac:dyDescent="0.3">
      <c r="B190" s="11"/>
      <c r="C190" s="8"/>
      <c r="D190" s="15"/>
      <c r="E190" s="15"/>
      <c r="F190" s="15"/>
      <c r="G190" s="15"/>
      <c r="V190" s="10" t="s">
        <v>214</v>
      </c>
      <c r="W190" s="98" t="str">
        <f t="shared" si="12"/>
        <v>WP</v>
      </c>
      <c r="X190" s="10" t="str">
        <f t="shared" si="11"/>
        <v>Slide-thru Welded Port Spud Series HAS 0988880000</v>
      </c>
      <c r="Y190" s="99" t="s">
        <v>256</v>
      </c>
    </row>
    <row r="191" spans="2:25" x14ac:dyDescent="0.3">
      <c r="B191" s="11"/>
      <c r="C191" s="8"/>
      <c r="D191" s="15"/>
      <c r="E191" s="15"/>
      <c r="F191" s="15"/>
      <c r="G191" s="15"/>
      <c r="V191" s="10" t="s">
        <v>231</v>
      </c>
      <c r="W191" s="98" t="str">
        <f t="shared" si="12"/>
        <v>WS</v>
      </c>
      <c r="X191" s="10" t="str">
        <f t="shared" si="11"/>
        <v>Wave scale electrical box machining PAGE 340 and PAGE 340-GEN II (Used for electrical head and mounting block position on cap)</v>
      </c>
      <c r="Y191" s="99" t="s">
        <v>256</v>
      </c>
    </row>
    <row r="192" spans="2:25" x14ac:dyDescent="0.3">
      <c r="B192" s="11"/>
      <c r="C192" s="8"/>
      <c r="D192" s="15"/>
      <c r="E192" s="15"/>
      <c r="F192" s="15"/>
      <c r="G192" s="15"/>
      <c r="V192" s="10" t="s">
        <v>215</v>
      </c>
      <c r="W192" s="98" t="str">
        <f t="shared" si="12"/>
        <v>WX</v>
      </c>
      <c r="X192" s="10" t="str">
        <f t="shared" si="11"/>
        <v>Oversize BSPP Welded Port Spud, One Size Over PAGE 153A</v>
      </c>
      <c r="Y192" s="99" t="s">
        <v>256</v>
      </c>
    </row>
    <row r="193" spans="2:25" x14ac:dyDescent="0.3">
      <c r="B193" s="11"/>
      <c r="C193" s="8"/>
      <c r="D193" s="15"/>
      <c r="E193" s="15"/>
      <c r="F193" s="15"/>
      <c r="G193" s="15"/>
      <c r="V193" s="10" t="s">
        <v>251</v>
      </c>
      <c r="W193" s="98" t="str">
        <f t="shared" si="12"/>
        <v>WZ</v>
      </c>
      <c r="X193" s="10" t="str">
        <f t="shared" si="11"/>
        <v>Oversize ISO-6149-1 Welded Port Spud, One Size Over PAGE 159.</v>
      </c>
      <c r="Y193" s="99" t="s">
        <v>256</v>
      </c>
    </row>
    <row r="194" spans="2:25" x14ac:dyDescent="0.3">
      <c r="B194" s="11"/>
      <c r="C194" s="8"/>
      <c r="D194" s="15"/>
      <c r="E194" s="15"/>
      <c r="F194" s="15"/>
      <c r="G194" s="15"/>
      <c r="V194" s="10" t="s">
        <v>252</v>
      </c>
      <c r="W194" s="98" t="str">
        <f t="shared" si="12"/>
        <v>XA</v>
      </c>
      <c r="X194" s="10" t="str">
        <f t="shared" si="11"/>
        <v>Intermediate cap for heavy duty enclosure, 2HX, Style A &amp; B (See Section 2.3 for how to place code in part number, 9 &amp; 10 digit)</v>
      </c>
      <c r="Y194" s="99" t="s">
        <v>258</v>
      </c>
    </row>
    <row r="195" spans="2:25" x14ac:dyDescent="0.3">
      <c r="B195" s="11"/>
      <c r="C195" s="8"/>
      <c r="D195" s="15"/>
      <c r="E195" s="15"/>
      <c r="F195" s="15"/>
      <c r="G195" s="15"/>
      <c r="V195" s="10" t="s">
        <v>232</v>
      </c>
      <c r="W195" s="98" t="str">
        <f t="shared" si="12"/>
        <v>XD</v>
      </c>
      <c r="X195" s="10" t="str">
        <f t="shared" si="11"/>
        <v>Machining for Light Duty 2HX Cover per drawings 0860130000 thru 0860220000 (See Section 2.3 for how to place code in part number)</v>
      </c>
      <c r="Y195" s="99" t="s">
        <v>258</v>
      </c>
    </row>
    <row r="196" spans="2:25" x14ac:dyDescent="0.3">
      <c r="B196" s="11"/>
      <c r="C196" s="8"/>
      <c r="D196" s="15"/>
      <c r="E196" s="15"/>
      <c r="F196" s="15"/>
      <c r="G196" s="15"/>
      <c r="V196" s="10" t="s">
        <v>233</v>
      </c>
      <c r="W196" s="98" t="str">
        <f t="shared" si="12"/>
        <v>XF</v>
      </c>
      <c r="X196" s="10" t="str">
        <f t="shared" si="11"/>
        <v>Intermediate cap for medium duty enclosure, 2HX, Style F &amp; G (See Section 2.3 for how to place code in part number, 9 &amp; 10 digit)</v>
      </c>
      <c r="Y196" s="99" t="s">
        <v>258</v>
      </c>
    </row>
    <row r="197" spans="2:25" x14ac:dyDescent="0.3">
      <c r="B197" s="11"/>
      <c r="C197" s="8"/>
      <c r="D197" s="15"/>
      <c r="E197" s="15"/>
      <c r="F197" s="15"/>
      <c r="G197" s="15"/>
      <c r="U197" s="2" t="s">
        <v>254</v>
      </c>
      <c r="V197" s="10" t="s">
        <v>253</v>
      </c>
      <c r="W197" s="98" t="str">
        <f>LEFT(V197,1)</f>
        <v>W</v>
      </c>
      <c r="X197" s="10" t="str">
        <f>MID(V197, 5, 5000)</f>
        <v>The single letter Wis for Electroless Nickel Plating per ES-046 (1 st or 7th digit per Section 2.3.1.1)</v>
      </c>
      <c r="Y197" s="98" t="s">
        <v>257</v>
      </c>
    </row>
    <row r="198" spans="2:25" x14ac:dyDescent="0.3">
      <c r="B198" s="11"/>
      <c r="C198" s="8"/>
      <c r="D198" s="15"/>
      <c r="E198" s="15"/>
      <c r="F198" s="15"/>
      <c r="G198" s="15"/>
    </row>
    <row r="199" spans="2:25" x14ac:dyDescent="0.3">
      <c r="B199" s="11"/>
      <c r="C199" s="8"/>
      <c r="D199" s="15"/>
      <c r="E199" s="15"/>
      <c r="F199" s="15"/>
      <c r="G199" s="15"/>
    </row>
    <row r="200" spans="2:25" x14ac:dyDescent="0.3">
      <c r="B200" s="11"/>
      <c r="C200" s="8"/>
      <c r="D200" s="15"/>
      <c r="E200" s="15"/>
      <c r="F200" s="15"/>
      <c r="G200" s="15"/>
    </row>
    <row r="201" spans="2:25" x14ac:dyDescent="0.3">
      <c r="B201" s="7"/>
      <c r="C201" s="8"/>
      <c r="D201" s="6"/>
      <c r="E201" s="7"/>
      <c r="F201" s="8"/>
      <c r="G201" s="8"/>
    </row>
    <row r="202" spans="2:25" x14ac:dyDescent="0.3">
      <c r="B202" s="7"/>
      <c r="C202" s="8"/>
      <c r="D202" s="6"/>
      <c r="E202" s="7"/>
      <c r="F202" s="8"/>
      <c r="G202" s="8"/>
    </row>
    <row r="203" spans="2:25" x14ac:dyDescent="0.3">
      <c r="B203" s="7"/>
      <c r="C203" s="8"/>
      <c r="D203" s="6"/>
      <c r="E203" s="7"/>
      <c r="F203" s="8"/>
      <c r="G203" s="8"/>
    </row>
    <row r="204" spans="2:25" x14ac:dyDescent="0.3">
      <c r="B204" s="7"/>
      <c r="C204" s="8"/>
      <c r="D204" s="6"/>
      <c r="E204" s="7"/>
      <c r="F204" s="8"/>
      <c r="G204" s="8"/>
    </row>
    <row r="205" spans="2:25" x14ac:dyDescent="0.3">
      <c r="B205" s="7"/>
      <c r="C205" s="8"/>
      <c r="D205" s="6"/>
      <c r="E205" s="7"/>
      <c r="F205" s="8"/>
      <c r="G205" s="8"/>
    </row>
    <row r="206" spans="2:25" x14ac:dyDescent="0.3">
      <c r="B206" s="7"/>
      <c r="C206" s="8"/>
      <c r="D206" s="6"/>
      <c r="E206" s="7"/>
      <c r="F206" s="8"/>
      <c r="G206" s="8"/>
    </row>
    <row r="207" spans="2:25" x14ac:dyDescent="0.3">
      <c r="B207" s="7"/>
      <c r="C207" s="8"/>
      <c r="D207" s="6"/>
      <c r="E207" s="7"/>
      <c r="F207" s="8"/>
      <c r="G207" s="8"/>
    </row>
    <row r="208" spans="2:25" x14ac:dyDescent="0.3">
      <c r="B208" s="7"/>
      <c r="C208" s="8"/>
      <c r="D208" s="6"/>
      <c r="E208" s="7"/>
      <c r="F208" s="8"/>
      <c r="G208" s="8"/>
    </row>
  </sheetData>
  <mergeCells count="2">
    <mergeCell ref="I9:M9"/>
    <mergeCell ref="V8:Y8"/>
  </mergeCells>
  <phoneticPr fontId="27" type="noConversion"/>
  <conditionalFormatting sqref="A1:XFD1048576">
    <cfRule type="notContainsBlanks" dxfId="0" priority="1">
      <formula>LEN(TRIM(A1))&gt;0</formula>
    </cfRule>
  </conditionalFormatting>
  <pageMargins left="0.25" right="0.25" top="0.1" bottom="0.1" header="0.3" footer="0"/>
  <pageSetup scale="68" fitToHeight="0" orientation="landscape" r:id="rId1"/>
  <headerFooter>
    <oddFooter>Page &amp;P of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31F4C-1883-4820-8B33-4A248F71962C}">
  <sheetPr codeName="Sheet3">
    <pageSetUpPr fitToPage="1"/>
  </sheetPr>
  <dimension ref="A1:J208"/>
  <sheetViews>
    <sheetView showGridLines="0" showRowColHeaders="0" zoomScaleNormal="100" zoomScaleSheetLayoutView="85" workbookViewId="0"/>
  </sheetViews>
  <sheetFormatPr defaultColWidth="9.140625" defaultRowHeight="18.75" x14ac:dyDescent="0.3"/>
  <cols>
    <col min="1" max="1" width="42.140625" style="2" customWidth="1"/>
    <col min="2" max="2" width="17.28515625" style="9" bestFit="1" customWidth="1"/>
    <col min="3" max="3" width="57" style="2" customWidth="1"/>
    <col min="4" max="4" width="48.7109375" style="10" customWidth="1"/>
    <col min="5" max="5" width="9.140625" style="9" customWidth="1"/>
    <col min="6" max="6" width="0.42578125" style="9" hidden="1" customWidth="1"/>
    <col min="7" max="7" width="0.42578125" style="2" hidden="1" customWidth="1"/>
    <col min="8" max="8" width="28.5703125" style="2" customWidth="1"/>
    <col min="9" max="9" width="11.85546875" style="2" bestFit="1" customWidth="1"/>
    <col min="10" max="10" width="26.42578125" style="2" customWidth="1"/>
    <col min="11" max="16384" width="9.140625" style="2"/>
  </cols>
  <sheetData>
    <row r="1" spans="1:10" s="24" customFormat="1" ht="60" customHeight="1" x14ac:dyDescent="1.35">
      <c r="B1" s="25"/>
      <c r="C1" s="25"/>
      <c r="D1" s="25"/>
      <c r="E1" s="25"/>
      <c r="F1" s="25"/>
      <c r="G1" s="25"/>
      <c r="H1" s="25"/>
      <c r="I1" s="25"/>
      <c r="J1" s="25"/>
    </row>
    <row r="2" spans="1:10" s="26" customFormat="1" ht="75" customHeight="1" thickBot="1" x14ac:dyDescent="0.3">
      <c r="B2" s="27">
        <f>COUNT(B9:B201)</f>
        <v>0</v>
      </c>
      <c r="C2" s="29" t="s">
        <v>318</v>
      </c>
      <c r="D2" s="29"/>
      <c r="E2" s="29"/>
      <c r="F2" s="29"/>
      <c r="G2" s="29"/>
      <c r="H2" s="29"/>
      <c r="I2" s="29"/>
    </row>
    <row r="3" spans="1:10" s="12" customFormat="1" ht="30" customHeight="1" thickTop="1" x14ac:dyDescent="0.25">
      <c r="A3" s="71"/>
      <c r="B3" s="14"/>
      <c r="D3" s="13"/>
      <c r="E3" s="14"/>
      <c r="F3" s="14"/>
    </row>
    <row r="4" spans="1:10" s="12" customFormat="1" ht="11.25" customHeight="1" x14ac:dyDescent="0.25">
      <c r="A4" s="72"/>
      <c r="B4" s="14"/>
      <c r="D4" s="13"/>
      <c r="E4" s="14"/>
      <c r="F4" s="14"/>
    </row>
    <row r="5" spans="1:10" s="12" customFormat="1" ht="52.5" customHeight="1" x14ac:dyDescent="0.65">
      <c r="A5" s="73"/>
      <c r="B5" s="192" t="s">
        <v>317</v>
      </c>
      <c r="C5" s="192"/>
      <c r="D5" s="192"/>
      <c r="E5" s="193"/>
      <c r="F5" s="193"/>
      <c r="G5" s="193"/>
      <c r="H5" s="193"/>
      <c r="I5" s="193"/>
    </row>
    <row r="6" spans="1:10" x14ac:dyDescent="0.3">
      <c r="A6" s="8"/>
      <c r="B6" s="3" t="s">
        <v>20</v>
      </c>
      <c r="C6" s="160" t="s">
        <v>319</v>
      </c>
      <c r="D6" s="4" t="s">
        <v>320</v>
      </c>
      <c r="E6" s="193"/>
      <c r="F6" s="193"/>
      <c r="G6" s="193"/>
      <c r="H6" s="193"/>
      <c r="I6" s="193"/>
    </row>
    <row r="7" spans="1:10" x14ac:dyDescent="0.3">
      <c r="A7" s="8"/>
      <c r="B7" s="3" t="s">
        <v>21</v>
      </c>
      <c r="C7" s="4"/>
      <c r="D7" s="5"/>
      <c r="E7" s="193"/>
      <c r="F7" s="193"/>
      <c r="G7" s="193"/>
      <c r="H7" s="193"/>
      <c r="I7" s="193"/>
    </row>
    <row r="8" spans="1:10" ht="60.75" customHeight="1" x14ac:dyDescent="0.3">
      <c r="A8" s="8"/>
      <c r="B8" s="161" t="s">
        <v>12</v>
      </c>
      <c r="C8" s="162" t="s">
        <v>13</v>
      </c>
      <c r="D8" s="162" t="s">
        <v>14</v>
      </c>
      <c r="E8" s="162" t="s">
        <v>15</v>
      </c>
      <c r="F8" s="161" t="s">
        <v>16</v>
      </c>
      <c r="G8" s="161" t="s">
        <v>17</v>
      </c>
      <c r="H8" s="162" t="s">
        <v>18</v>
      </c>
      <c r="I8" s="161" t="s">
        <v>19</v>
      </c>
    </row>
    <row r="9" spans="1:10" x14ac:dyDescent="0.3">
      <c r="B9" s="11"/>
      <c r="C9" s="17"/>
      <c r="D9" s="15"/>
      <c r="E9" s="15"/>
      <c r="F9" s="11"/>
      <c r="G9" s="15"/>
      <c r="H9" s="15"/>
      <c r="I9" s="15"/>
    </row>
    <row r="10" spans="1:10" x14ac:dyDescent="0.3">
      <c r="B10" s="11"/>
      <c r="C10" s="17"/>
      <c r="D10" s="15"/>
      <c r="E10" s="15"/>
      <c r="F10" s="11"/>
      <c r="G10" s="15"/>
      <c r="H10" s="15"/>
      <c r="I10" s="15"/>
    </row>
    <row r="11" spans="1:10" x14ac:dyDescent="0.3">
      <c r="B11" s="11"/>
      <c r="C11" s="17"/>
      <c r="D11" s="15"/>
      <c r="E11" s="15"/>
      <c r="F11" s="11"/>
      <c r="G11" s="15"/>
      <c r="H11" s="15"/>
      <c r="I11" s="15"/>
    </row>
    <row r="12" spans="1:10" x14ac:dyDescent="0.3">
      <c r="B12" s="11"/>
      <c r="C12" s="17"/>
      <c r="D12" s="15"/>
      <c r="E12" s="15"/>
      <c r="F12" s="11"/>
      <c r="G12" s="15"/>
      <c r="H12" s="15"/>
      <c r="I12" s="15"/>
    </row>
    <row r="13" spans="1:10" x14ac:dyDescent="0.3">
      <c r="B13" s="11"/>
      <c r="C13" s="17"/>
      <c r="D13" s="15"/>
      <c r="E13" s="15"/>
      <c r="F13" s="11"/>
      <c r="G13" s="15"/>
      <c r="H13" s="15"/>
      <c r="I13" s="15"/>
    </row>
    <row r="14" spans="1:10" x14ac:dyDescent="0.3">
      <c r="B14" s="11"/>
      <c r="C14" s="17"/>
      <c r="D14" s="15"/>
      <c r="E14" s="15"/>
      <c r="F14" s="11"/>
      <c r="G14" s="15"/>
      <c r="H14" s="15"/>
      <c r="I14" s="15"/>
    </row>
    <row r="15" spans="1:10" x14ac:dyDescent="0.3">
      <c r="B15" s="11"/>
      <c r="C15" s="17"/>
      <c r="D15" s="15"/>
      <c r="E15" s="15"/>
      <c r="F15" s="11"/>
      <c r="G15" s="15"/>
      <c r="H15" s="15"/>
      <c r="I15" s="15"/>
    </row>
    <row r="16" spans="1:10" x14ac:dyDescent="0.3">
      <c r="B16" s="11"/>
      <c r="C16" s="15"/>
      <c r="D16" s="15"/>
      <c r="E16" s="15"/>
      <c r="F16" s="11"/>
      <c r="G16" s="15"/>
      <c r="H16" s="15"/>
      <c r="I16" s="15"/>
    </row>
    <row r="17" spans="2:9" x14ac:dyDescent="0.3">
      <c r="B17" s="11"/>
      <c r="C17" s="15"/>
      <c r="D17" s="15"/>
      <c r="E17" s="15"/>
      <c r="F17" s="11"/>
      <c r="G17" s="15"/>
      <c r="H17" s="15"/>
      <c r="I17" s="15"/>
    </row>
    <row r="18" spans="2:9" x14ac:dyDescent="0.3">
      <c r="B18" s="11"/>
      <c r="C18" s="17"/>
      <c r="D18" s="15"/>
      <c r="E18" s="15"/>
      <c r="F18" s="11"/>
      <c r="G18" s="15"/>
      <c r="H18" s="15"/>
      <c r="I18" s="15"/>
    </row>
    <row r="19" spans="2:9" x14ac:dyDescent="0.3">
      <c r="B19" s="11"/>
      <c r="C19" s="17"/>
      <c r="D19" s="15"/>
      <c r="E19" s="15"/>
      <c r="F19" s="11"/>
      <c r="G19" s="15"/>
      <c r="H19" s="15"/>
      <c r="I19" s="15"/>
    </row>
    <row r="20" spans="2:9" x14ac:dyDescent="0.3">
      <c r="B20" s="11"/>
      <c r="C20" s="17"/>
      <c r="D20" s="15"/>
      <c r="E20" s="15"/>
      <c r="F20" s="11"/>
      <c r="G20" s="15"/>
      <c r="H20" s="15"/>
      <c r="I20" s="15"/>
    </row>
    <row r="21" spans="2:9" x14ac:dyDescent="0.3">
      <c r="B21" s="11"/>
      <c r="C21" s="17"/>
      <c r="D21" s="15"/>
      <c r="E21" s="15"/>
      <c r="F21" s="11"/>
      <c r="G21" s="15"/>
      <c r="H21" s="15"/>
      <c r="I21" s="15"/>
    </row>
    <row r="22" spans="2:9" x14ac:dyDescent="0.3">
      <c r="B22" s="11"/>
      <c r="C22" s="17"/>
      <c r="D22" s="15"/>
      <c r="E22" s="15"/>
      <c r="F22" s="11"/>
      <c r="G22" s="15"/>
      <c r="H22" s="15"/>
      <c r="I22" s="15"/>
    </row>
    <row r="23" spans="2:9" x14ac:dyDescent="0.3">
      <c r="B23" s="11"/>
      <c r="C23" s="15"/>
      <c r="D23" s="15"/>
      <c r="E23" s="15"/>
      <c r="F23" s="11"/>
      <c r="G23" s="15"/>
      <c r="H23" s="15"/>
      <c r="I23" s="15"/>
    </row>
    <row r="24" spans="2:9" x14ac:dyDescent="0.3">
      <c r="B24" s="11"/>
      <c r="C24" s="15"/>
      <c r="D24" s="15"/>
      <c r="E24" s="15"/>
      <c r="F24" s="11"/>
      <c r="G24" s="15"/>
      <c r="H24" s="15"/>
      <c r="I24" s="15"/>
    </row>
    <row r="25" spans="2:9" x14ac:dyDescent="0.3">
      <c r="B25" s="11"/>
      <c r="C25" s="17"/>
      <c r="D25" s="15"/>
      <c r="E25" s="15"/>
      <c r="F25" s="11"/>
      <c r="G25" s="15"/>
      <c r="H25" s="15"/>
      <c r="I25" s="15"/>
    </row>
    <row r="26" spans="2:9" x14ac:dyDescent="0.3">
      <c r="B26" s="11"/>
      <c r="C26" s="17"/>
      <c r="D26" s="15"/>
      <c r="E26" s="15"/>
      <c r="F26" s="11"/>
      <c r="G26" s="15"/>
      <c r="H26" s="15"/>
      <c r="I26" s="15"/>
    </row>
    <row r="27" spans="2:9" x14ac:dyDescent="0.3">
      <c r="B27" s="11"/>
      <c r="C27" s="17"/>
      <c r="D27" s="15"/>
      <c r="E27" s="15"/>
      <c r="F27" s="11"/>
      <c r="G27" s="15"/>
      <c r="H27" s="15"/>
      <c r="I27" s="15"/>
    </row>
    <row r="28" spans="2:9" x14ac:dyDescent="0.3">
      <c r="B28" s="11"/>
      <c r="C28" s="17"/>
      <c r="D28" s="15"/>
      <c r="E28" s="15"/>
      <c r="F28" s="11"/>
      <c r="G28" s="15"/>
      <c r="H28" s="15"/>
      <c r="I28" s="15"/>
    </row>
    <row r="29" spans="2:9" x14ac:dyDescent="0.3">
      <c r="B29" s="11"/>
      <c r="C29" s="17"/>
      <c r="D29" s="15"/>
      <c r="E29" s="15"/>
      <c r="F29" s="11"/>
      <c r="G29" s="15"/>
      <c r="H29" s="15"/>
      <c r="I29" s="15"/>
    </row>
    <row r="30" spans="2:9" x14ac:dyDescent="0.3">
      <c r="B30" s="11"/>
      <c r="C30" s="15"/>
      <c r="D30" s="15"/>
      <c r="E30" s="15"/>
      <c r="F30" s="11"/>
      <c r="G30" s="15"/>
      <c r="H30" s="15"/>
      <c r="I30" s="15"/>
    </row>
    <row r="31" spans="2:9" x14ac:dyDescent="0.3">
      <c r="B31" s="11"/>
      <c r="C31" s="17"/>
      <c r="D31" s="15"/>
      <c r="E31" s="15"/>
      <c r="F31" s="11"/>
      <c r="G31" s="15"/>
      <c r="H31" s="15"/>
      <c r="I31" s="15"/>
    </row>
    <row r="32" spans="2:9" x14ac:dyDescent="0.3">
      <c r="B32" s="11"/>
      <c r="C32" s="17"/>
      <c r="D32" s="15"/>
      <c r="E32" s="15"/>
      <c r="F32" s="11"/>
      <c r="G32" s="15"/>
      <c r="H32" s="15"/>
      <c r="I32" s="15"/>
    </row>
    <row r="33" spans="2:9" x14ac:dyDescent="0.3">
      <c r="B33" s="11"/>
      <c r="C33" s="17"/>
      <c r="D33" s="15"/>
      <c r="E33" s="15"/>
      <c r="F33" s="11"/>
      <c r="G33" s="15"/>
      <c r="H33" s="15"/>
      <c r="I33" s="15"/>
    </row>
    <row r="34" spans="2:9" x14ac:dyDescent="0.3">
      <c r="B34" s="11"/>
      <c r="C34" s="17"/>
      <c r="D34" s="15"/>
      <c r="E34" s="15"/>
      <c r="F34" s="11"/>
      <c r="G34" s="15"/>
      <c r="H34" s="15"/>
      <c r="I34" s="15"/>
    </row>
    <row r="35" spans="2:9" x14ac:dyDescent="0.3">
      <c r="B35" s="11"/>
      <c r="C35" s="17"/>
      <c r="D35" s="15"/>
      <c r="E35" s="15"/>
      <c r="F35" s="11"/>
      <c r="G35" s="15"/>
      <c r="H35" s="15"/>
      <c r="I35" s="15"/>
    </row>
    <row r="36" spans="2:9" x14ac:dyDescent="0.3">
      <c r="B36" s="11"/>
      <c r="C36" s="17"/>
      <c r="D36" s="15"/>
      <c r="E36" s="15"/>
      <c r="F36" s="11"/>
      <c r="G36" s="15"/>
      <c r="H36" s="15"/>
      <c r="I36" s="15"/>
    </row>
    <row r="37" spans="2:9" x14ac:dyDescent="0.3">
      <c r="B37" s="11"/>
      <c r="C37" s="17"/>
      <c r="D37" s="15"/>
      <c r="E37" s="15"/>
      <c r="F37" s="11"/>
      <c r="G37" s="15"/>
      <c r="H37" s="15"/>
      <c r="I37" s="15"/>
    </row>
    <row r="38" spans="2:9" x14ac:dyDescent="0.3">
      <c r="B38" s="11"/>
      <c r="C38" s="17"/>
      <c r="D38" s="15"/>
      <c r="E38" s="15"/>
      <c r="F38" s="11"/>
      <c r="G38" s="15"/>
      <c r="H38" s="15"/>
      <c r="I38" s="15"/>
    </row>
    <row r="39" spans="2:9" x14ac:dyDescent="0.3">
      <c r="B39" s="11"/>
      <c r="C39" s="17"/>
      <c r="D39" s="15"/>
      <c r="E39" s="15"/>
      <c r="F39" s="11"/>
      <c r="G39" s="15"/>
      <c r="H39" s="15"/>
      <c r="I39" s="15"/>
    </row>
    <row r="40" spans="2:9" x14ac:dyDescent="0.3">
      <c r="B40" s="11"/>
      <c r="C40" s="17"/>
      <c r="D40" s="15"/>
      <c r="E40" s="15"/>
      <c r="F40" s="11"/>
      <c r="G40" s="15"/>
      <c r="H40" s="15"/>
      <c r="I40" s="15"/>
    </row>
    <row r="41" spans="2:9" x14ac:dyDescent="0.3">
      <c r="B41" s="11"/>
      <c r="C41" s="17"/>
      <c r="D41" s="15"/>
      <c r="E41" s="15"/>
      <c r="F41" s="11"/>
      <c r="G41" s="15"/>
      <c r="H41" s="15"/>
      <c r="I41" s="15"/>
    </row>
    <row r="42" spans="2:9" x14ac:dyDescent="0.3">
      <c r="B42" s="11"/>
      <c r="C42" s="17"/>
      <c r="D42" s="15"/>
      <c r="E42" s="15"/>
      <c r="F42" s="11"/>
      <c r="G42" s="15"/>
      <c r="H42" s="15"/>
      <c r="I42" s="15"/>
    </row>
    <row r="43" spans="2:9" x14ac:dyDescent="0.3">
      <c r="B43" s="11"/>
      <c r="C43" s="17"/>
      <c r="D43" s="15"/>
      <c r="E43" s="15"/>
      <c r="F43" s="11"/>
      <c r="G43" s="15"/>
      <c r="H43" s="15"/>
      <c r="I43" s="15"/>
    </row>
    <row r="44" spans="2:9" x14ac:dyDescent="0.3">
      <c r="B44" s="11"/>
      <c r="C44" s="17"/>
      <c r="D44" s="15"/>
      <c r="E44" s="15"/>
      <c r="F44" s="11"/>
      <c r="G44" s="15"/>
      <c r="H44" s="15"/>
      <c r="I44" s="15"/>
    </row>
    <row r="45" spans="2:9" x14ac:dyDescent="0.3">
      <c r="B45" s="11"/>
      <c r="C45" s="17"/>
      <c r="D45" s="15"/>
      <c r="E45" s="15"/>
      <c r="F45" s="11"/>
      <c r="G45" s="15"/>
      <c r="H45" s="15"/>
      <c r="I45" s="15"/>
    </row>
    <row r="46" spans="2:9" x14ac:dyDescent="0.3">
      <c r="B46" s="11"/>
      <c r="C46" s="17"/>
      <c r="D46" s="15"/>
      <c r="E46" s="15"/>
      <c r="F46" s="11"/>
      <c r="G46" s="15"/>
      <c r="H46" s="15"/>
      <c r="I46" s="15"/>
    </row>
    <row r="47" spans="2:9" x14ac:dyDescent="0.3">
      <c r="B47" s="11"/>
      <c r="C47" s="17"/>
      <c r="D47" s="15"/>
      <c r="E47" s="15"/>
      <c r="F47" s="11"/>
      <c r="G47" s="15"/>
      <c r="H47" s="15"/>
      <c r="I47" s="15"/>
    </row>
    <row r="48" spans="2:9" x14ac:dyDescent="0.3">
      <c r="B48" s="11"/>
      <c r="C48" s="17"/>
      <c r="D48" s="15"/>
      <c r="E48" s="15"/>
      <c r="F48" s="11"/>
      <c r="G48" s="15"/>
      <c r="H48" s="15"/>
      <c r="I48" s="15"/>
    </row>
    <row r="49" spans="2:9" x14ac:dyDescent="0.3">
      <c r="B49" s="11"/>
      <c r="C49" s="17"/>
      <c r="D49" s="15"/>
      <c r="E49" s="15"/>
      <c r="F49" s="11"/>
      <c r="G49" s="15"/>
      <c r="H49" s="15"/>
      <c r="I49" s="15"/>
    </row>
    <row r="50" spans="2:9" x14ac:dyDescent="0.3">
      <c r="B50" s="11"/>
      <c r="C50" s="17"/>
      <c r="D50" s="15"/>
      <c r="E50" s="15"/>
      <c r="F50" s="11"/>
      <c r="G50" s="15"/>
      <c r="H50" s="15"/>
      <c r="I50" s="15"/>
    </row>
    <row r="51" spans="2:9" x14ac:dyDescent="0.3">
      <c r="B51" s="11"/>
      <c r="C51" s="17"/>
      <c r="D51" s="15"/>
      <c r="E51" s="15"/>
      <c r="F51" s="11"/>
      <c r="G51" s="15"/>
      <c r="H51" s="15"/>
      <c r="I51" s="15"/>
    </row>
    <row r="52" spans="2:9" x14ac:dyDescent="0.3">
      <c r="B52" s="11"/>
      <c r="C52" s="17"/>
      <c r="D52" s="15"/>
      <c r="E52" s="15"/>
      <c r="F52" s="11"/>
      <c r="G52" s="15"/>
      <c r="H52" s="15"/>
      <c r="I52" s="15"/>
    </row>
    <row r="53" spans="2:9" x14ac:dyDescent="0.3">
      <c r="B53" s="11"/>
      <c r="C53" s="17"/>
      <c r="D53" s="15"/>
      <c r="E53" s="15"/>
      <c r="F53" s="11"/>
      <c r="G53" s="15"/>
      <c r="H53" s="15"/>
      <c r="I53" s="15"/>
    </row>
    <row r="54" spans="2:9" x14ac:dyDescent="0.3">
      <c r="B54" s="11"/>
      <c r="C54" s="17"/>
      <c r="D54" s="15"/>
      <c r="E54" s="15"/>
      <c r="F54" s="11"/>
      <c r="G54" s="15"/>
      <c r="H54" s="15"/>
      <c r="I54" s="15"/>
    </row>
    <row r="55" spans="2:9" x14ac:dyDescent="0.3">
      <c r="B55" s="11"/>
      <c r="C55" s="17"/>
      <c r="D55" s="15"/>
      <c r="E55" s="15"/>
      <c r="F55" s="11"/>
      <c r="G55" s="15"/>
      <c r="H55" s="15"/>
      <c r="I55" s="15"/>
    </row>
    <row r="56" spans="2:9" x14ac:dyDescent="0.3">
      <c r="B56" s="11"/>
      <c r="C56" s="17"/>
      <c r="D56" s="15"/>
      <c r="E56" s="15"/>
      <c r="F56" s="11"/>
      <c r="G56" s="15"/>
      <c r="H56" s="15"/>
      <c r="I56" s="15"/>
    </row>
    <row r="57" spans="2:9" x14ac:dyDescent="0.3">
      <c r="B57" s="11"/>
      <c r="C57" s="17"/>
      <c r="D57" s="15"/>
      <c r="E57" s="15"/>
      <c r="F57" s="11"/>
      <c r="G57" s="15"/>
      <c r="H57" s="15"/>
      <c r="I57" s="15"/>
    </row>
    <row r="58" spans="2:9" x14ac:dyDescent="0.3">
      <c r="B58" s="11"/>
      <c r="C58" s="17"/>
      <c r="D58" s="15"/>
      <c r="E58" s="15"/>
      <c r="F58" s="11"/>
      <c r="G58" s="15"/>
      <c r="H58" s="15"/>
      <c r="I58" s="15"/>
    </row>
    <row r="59" spans="2:9" x14ac:dyDescent="0.3">
      <c r="B59" s="11"/>
      <c r="C59" s="17"/>
      <c r="D59" s="15"/>
      <c r="E59" s="15"/>
      <c r="F59" s="11"/>
      <c r="G59" s="15"/>
      <c r="H59" s="15"/>
      <c r="I59" s="15"/>
    </row>
    <row r="60" spans="2:9" x14ac:dyDescent="0.3">
      <c r="B60" s="11"/>
      <c r="C60" s="17"/>
      <c r="D60" s="15"/>
      <c r="E60" s="15"/>
      <c r="F60" s="11"/>
      <c r="G60" s="15"/>
      <c r="H60" s="15"/>
      <c r="I60" s="15"/>
    </row>
    <row r="61" spans="2:9" x14ac:dyDescent="0.3">
      <c r="B61" s="11"/>
      <c r="C61" s="17"/>
      <c r="D61" s="15"/>
      <c r="E61" s="15"/>
      <c r="F61" s="11"/>
      <c r="G61" s="15"/>
      <c r="H61" s="15"/>
      <c r="I61" s="15"/>
    </row>
    <row r="62" spans="2:9" x14ac:dyDescent="0.3">
      <c r="B62" s="11"/>
      <c r="C62" s="17"/>
      <c r="D62" s="15"/>
      <c r="E62" s="15"/>
      <c r="F62" s="11"/>
      <c r="G62" s="15"/>
      <c r="H62" s="15"/>
      <c r="I62" s="15"/>
    </row>
    <row r="63" spans="2:9" x14ac:dyDescent="0.3">
      <c r="B63" s="11"/>
      <c r="C63" s="17"/>
      <c r="D63" s="15"/>
      <c r="E63" s="15"/>
      <c r="F63" s="11"/>
      <c r="G63" s="15"/>
      <c r="H63" s="15"/>
      <c r="I63" s="15"/>
    </row>
    <row r="64" spans="2:9" x14ac:dyDescent="0.3">
      <c r="B64" s="11"/>
      <c r="C64" s="17"/>
      <c r="D64" s="15"/>
      <c r="E64" s="15"/>
      <c r="F64" s="11"/>
      <c r="G64" s="15"/>
      <c r="H64" s="15"/>
      <c r="I64" s="15"/>
    </row>
    <row r="65" spans="2:9" x14ac:dyDescent="0.3">
      <c r="B65" s="11"/>
      <c r="C65" s="17"/>
      <c r="D65" s="15"/>
      <c r="E65" s="15"/>
      <c r="F65" s="11"/>
      <c r="G65" s="15"/>
      <c r="H65" s="15"/>
      <c r="I65" s="15"/>
    </row>
    <row r="66" spans="2:9" x14ac:dyDescent="0.3">
      <c r="B66" s="11"/>
      <c r="C66" s="17"/>
      <c r="D66" s="15"/>
      <c r="E66" s="15"/>
      <c r="F66" s="11"/>
      <c r="G66" s="15"/>
      <c r="H66" s="15"/>
      <c r="I66" s="15"/>
    </row>
    <row r="67" spans="2:9" x14ac:dyDescent="0.3">
      <c r="B67" s="11"/>
      <c r="C67" s="17"/>
      <c r="D67" s="15"/>
      <c r="E67" s="15"/>
      <c r="F67" s="11"/>
      <c r="G67" s="15"/>
      <c r="H67" s="15"/>
      <c r="I67" s="15"/>
    </row>
    <row r="68" spans="2:9" x14ac:dyDescent="0.3">
      <c r="B68" s="11"/>
      <c r="C68" s="17"/>
      <c r="D68" s="15"/>
      <c r="E68" s="15"/>
      <c r="F68" s="11"/>
      <c r="G68" s="15"/>
      <c r="H68" s="15"/>
      <c r="I68" s="15"/>
    </row>
    <row r="69" spans="2:9" x14ac:dyDescent="0.3">
      <c r="B69" s="11"/>
      <c r="C69" s="17"/>
      <c r="D69" s="15"/>
      <c r="E69" s="15"/>
      <c r="F69" s="11"/>
      <c r="G69" s="15"/>
      <c r="H69" s="15"/>
      <c r="I69" s="15"/>
    </row>
    <row r="70" spans="2:9" x14ac:dyDescent="0.3">
      <c r="B70" s="11"/>
      <c r="C70" s="17"/>
      <c r="D70" s="15"/>
      <c r="E70" s="15"/>
      <c r="F70" s="11"/>
      <c r="G70" s="15"/>
      <c r="H70" s="15"/>
      <c r="I70" s="15"/>
    </row>
    <row r="71" spans="2:9" x14ac:dyDescent="0.3">
      <c r="B71" s="11"/>
      <c r="C71" s="17"/>
      <c r="D71" s="15"/>
      <c r="E71" s="15"/>
      <c r="F71" s="11"/>
      <c r="G71" s="15"/>
      <c r="H71" s="15"/>
      <c r="I71" s="15"/>
    </row>
    <row r="72" spans="2:9" x14ac:dyDescent="0.3">
      <c r="B72" s="11"/>
      <c r="C72" s="17"/>
      <c r="D72" s="15"/>
      <c r="E72" s="15"/>
      <c r="F72" s="11"/>
      <c r="G72" s="15"/>
      <c r="H72" s="15"/>
      <c r="I72" s="15"/>
    </row>
    <row r="73" spans="2:9" x14ac:dyDescent="0.3">
      <c r="B73" s="11"/>
      <c r="C73" s="17"/>
      <c r="D73" s="15"/>
      <c r="E73" s="15"/>
      <c r="F73" s="11"/>
      <c r="G73" s="15"/>
      <c r="H73" s="15"/>
      <c r="I73" s="15"/>
    </row>
    <row r="74" spans="2:9" x14ac:dyDescent="0.3">
      <c r="B74" s="11"/>
      <c r="C74" s="17"/>
      <c r="D74" s="15"/>
      <c r="E74" s="15"/>
      <c r="F74" s="11"/>
      <c r="G74" s="15"/>
      <c r="H74" s="15"/>
      <c r="I74" s="15"/>
    </row>
    <row r="75" spans="2:9" x14ac:dyDescent="0.3">
      <c r="B75" s="11"/>
      <c r="C75" s="17"/>
      <c r="D75" s="15"/>
      <c r="E75" s="15"/>
      <c r="F75" s="11"/>
      <c r="G75" s="15"/>
      <c r="H75" s="15"/>
      <c r="I75" s="15"/>
    </row>
    <row r="76" spans="2:9" x14ac:dyDescent="0.3">
      <c r="B76" s="11"/>
      <c r="C76" s="17"/>
      <c r="D76" s="15"/>
      <c r="E76" s="15"/>
      <c r="F76" s="11"/>
      <c r="G76" s="15"/>
      <c r="H76" s="15"/>
      <c r="I76" s="15"/>
    </row>
    <row r="77" spans="2:9" x14ac:dyDescent="0.3">
      <c r="B77" s="11"/>
      <c r="C77" s="17"/>
      <c r="D77" s="15"/>
      <c r="E77" s="15"/>
      <c r="F77" s="11"/>
      <c r="G77" s="15"/>
      <c r="H77" s="15"/>
      <c r="I77" s="15"/>
    </row>
    <row r="78" spans="2:9" x14ac:dyDescent="0.3">
      <c r="B78" s="11"/>
      <c r="C78" s="8"/>
      <c r="D78" s="15"/>
      <c r="E78" s="15"/>
      <c r="F78" s="11"/>
      <c r="G78" s="15"/>
      <c r="H78" s="15"/>
      <c r="I78" s="15"/>
    </row>
    <row r="79" spans="2:9" x14ac:dyDescent="0.3">
      <c r="B79" s="11"/>
      <c r="C79" s="8"/>
      <c r="D79" s="15"/>
      <c r="E79" s="15"/>
      <c r="F79" s="11"/>
      <c r="G79" s="15"/>
      <c r="H79" s="15"/>
      <c r="I79" s="15"/>
    </row>
    <row r="80" spans="2:9" x14ac:dyDescent="0.3">
      <c r="B80" s="11"/>
      <c r="C80" s="8"/>
      <c r="D80" s="15"/>
      <c r="E80" s="15"/>
      <c r="F80" s="11"/>
      <c r="G80" s="15"/>
      <c r="H80" s="15"/>
      <c r="I80" s="15"/>
    </row>
    <row r="81" spans="2:9" x14ac:dyDescent="0.3">
      <c r="B81" s="11"/>
      <c r="C81" s="8"/>
      <c r="D81" s="15"/>
      <c r="E81" s="15"/>
      <c r="F81" s="11"/>
      <c r="G81" s="15"/>
      <c r="H81" s="15"/>
      <c r="I81" s="15"/>
    </row>
    <row r="82" spans="2:9" x14ac:dyDescent="0.3">
      <c r="B82" s="11"/>
      <c r="C82" s="8"/>
      <c r="D82" s="15"/>
      <c r="E82" s="15"/>
      <c r="F82" s="11"/>
      <c r="G82" s="15"/>
      <c r="H82" s="15"/>
      <c r="I82" s="15"/>
    </row>
    <row r="83" spans="2:9" x14ac:dyDescent="0.3">
      <c r="B83" s="11"/>
      <c r="C83" s="8"/>
      <c r="D83" s="15"/>
      <c r="E83" s="15"/>
      <c r="F83" s="11"/>
      <c r="G83" s="15"/>
      <c r="H83" s="15"/>
      <c r="I83" s="15"/>
    </row>
    <row r="84" spans="2:9" x14ac:dyDescent="0.3">
      <c r="B84" s="11"/>
      <c r="C84" s="8"/>
      <c r="D84" s="15"/>
      <c r="E84" s="15"/>
      <c r="F84" s="11"/>
      <c r="G84" s="15"/>
      <c r="H84" s="15"/>
      <c r="I84" s="15"/>
    </row>
    <row r="85" spans="2:9" x14ac:dyDescent="0.3">
      <c r="B85" s="11"/>
      <c r="C85" s="8"/>
      <c r="D85" s="15"/>
      <c r="E85" s="15"/>
      <c r="F85" s="11"/>
      <c r="G85" s="15"/>
      <c r="H85" s="15"/>
      <c r="I85" s="15"/>
    </row>
    <row r="86" spans="2:9" x14ac:dyDescent="0.3">
      <c r="B86" s="11"/>
      <c r="C86" s="8"/>
      <c r="D86" s="15"/>
      <c r="E86" s="15"/>
      <c r="F86" s="11"/>
      <c r="G86" s="15"/>
      <c r="H86" s="15"/>
      <c r="I86" s="15"/>
    </row>
    <row r="87" spans="2:9" x14ac:dyDescent="0.3">
      <c r="B87" s="11"/>
      <c r="C87" s="8"/>
      <c r="D87" s="15"/>
      <c r="E87" s="15"/>
      <c r="F87" s="11"/>
      <c r="G87" s="15"/>
      <c r="H87" s="15"/>
      <c r="I87" s="15"/>
    </row>
    <row r="88" spans="2:9" x14ac:dyDescent="0.3">
      <c r="B88" s="11"/>
      <c r="C88" s="8"/>
      <c r="D88" s="15"/>
      <c r="E88" s="15"/>
      <c r="F88" s="11"/>
      <c r="G88" s="15"/>
      <c r="H88" s="15"/>
      <c r="I88" s="15"/>
    </row>
    <row r="89" spans="2:9" x14ac:dyDescent="0.3">
      <c r="B89" s="11"/>
      <c r="C89" s="8"/>
      <c r="D89" s="15"/>
      <c r="E89" s="15"/>
      <c r="F89" s="11"/>
      <c r="G89" s="15"/>
      <c r="H89" s="15"/>
      <c r="I89" s="15"/>
    </row>
    <row r="90" spans="2:9" x14ac:dyDescent="0.3">
      <c r="B90" s="11"/>
      <c r="C90" s="8"/>
      <c r="D90" s="15"/>
      <c r="E90" s="15"/>
      <c r="F90" s="11"/>
      <c r="G90" s="15"/>
      <c r="H90" s="15"/>
      <c r="I90" s="15"/>
    </row>
    <row r="91" spans="2:9" x14ac:dyDescent="0.3">
      <c r="B91" s="11"/>
      <c r="C91" s="8"/>
      <c r="D91" s="15"/>
      <c r="E91" s="15"/>
      <c r="F91" s="11"/>
      <c r="G91" s="15"/>
      <c r="H91" s="15"/>
      <c r="I91" s="15"/>
    </row>
    <row r="92" spans="2:9" x14ac:dyDescent="0.3">
      <c r="B92" s="11"/>
      <c r="C92" s="8"/>
      <c r="D92" s="15"/>
      <c r="E92" s="15"/>
      <c r="F92" s="11"/>
      <c r="G92" s="15"/>
      <c r="H92" s="15"/>
      <c r="I92" s="15"/>
    </row>
    <row r="93" spans="2:9" x14ac:dyDescent="0.3">
      <c r="B93" s="11"/>
      <c r="C93" s="8"/>
      <c r="D93" s="15"/>
      <c r="E93" s="15"/>
      <c r="F93" s="11"/>
      <c r="G93" s="15"/>
      <c r="H93" s="15"/>
      <c r="I93" s="15"/>
    </row>
    <row r="94" spans="2:9" x14ac:dyDescent="0.3">
      <c r="B94" s="11"/>
      <c r="C94" s="8"/>
      <c r="D94" s="15"/>
      <c r="E94" s="15"/>
      <c r="F94" s="11"/>
      <c r="G94" s="15"/>
      <c r="H94" s="15"/>
      <c r="I94" s="15"/>
    </row>
    <row r="95" spans="2:9" x14ac:dyDescent="0.3">
      <c r="B95" s="11"/>
      <c r="C95" s="8"/>
      <c r="D95" s="15"/>
      <c r="E95" s="15"/>
      <c r="F95" s="11"/>
      <c r="G95" s="15"/>
      <c r="H95" s="15"/>
      <c r="I95" s="15"/>
    </row>
    <row r="96" spans="2:9" x14ac:dyDescent="0.3">
      <c r="B96" s="11"/>
      <c r="C96" s="8"/>
      <c r="D96" s="15"/>
      <c r="E96" s="15"/>
      <c r="F96" s="11"/>
      <c r="G96" s="15"/>
      <c r="H96" s="15"/>
      <c r="I96" s="15"/>
    </row>
    <row r="97" spans="2:9" x14ac:dyDescent="0.3">
      <c r="B97" s="11"/>
      <c r="C97" s="8"/>
      <c r="D97" s="15"/>
      <c r="E97" s="15"/>
      <c r="F97" s="11"/>
      <c r="G97" s="15"/>
      <c r="H97" s="15"/>
      <c r="I97" s="15"/>
    </row>
    <row r="98" spans="2:9" x14ac:dyDescent="0.3">
      <c r="B98" s="11"/>
      <c r="C98" s="8"/>
      <c r="D98" s="15"/>
      <c r="E98" s="15"/>
      <c r="F98" s="11"/>
      <c r="G98" s="15"/>
      <c r="H98" s="15"/>
      <c r="I98" s="15"/>
    </row>
    <row r="99" spans="2:9" x14ac:dyDescent="0.3">
      <c r="B99" s="11"/>
      <c r="C99" s="8"/>
      <c r="D99" s="15"/>
      <c r="E99" s="15"/>
      <c r="F99" s="11"/>
      <c r="G99" s="15"/>
      <c r="H99" s="15"/>
      <c r="I99" s="15"/>
    </row>
    <row r="100" spans="2:9" x14ac:dyDescent="0.3">
      <c r="B100" s="11"/>
      <c r="C100" s="8"/>
      <c r="D100" s="15"/>
      <c r="E100" s="15"/>
      <c r="F100" s="11"/>
      <c r="G100" s="15"/>
      <c r="H100" s="15"/>
      <c r="I100" s="15"/>
    </row>
    <row r="101" spans="2:9" x14ac:dyDescent="0.3">
      <c r="B101" s="11"/>
      <c r="C101" s="8"/>
      <c r="D101" s="15"/>
      <c r="E101" s="15"/>
      <c r="F101" s="11"/>
      <c r="G101" s="15"/>
      <c r="H101" s="15"/>
      <c r="I101" s="15"/>
    </row>
    <row r="102" spans="2:9" x14ac:dyDescent="0.3">
      <c r="B102" s="11"/>
      <c r="C102" s="8"/>
      <c r="D102" s="15"/>
      <c r="E102" s="15"/>
      <c r="F102" s="11"/>
      <c r="G102" s="15"/>
      <c r="H102" s="15"/>
      <c r="I102" s="15"/>
    </row>
    <row r="103" spans="2:9" x14ac:dyDescent="0.3">
      <c r="B103" s="11"/>
      <c r="C103" s="8"/>
      <c r="D103" s="15"/>
      <c r="E103" s="15"/>
      <c r="F103" s="11"/>
      <c r="G103" s="15"/>
      <c r="H103" s="15"/>
      <c r="I103" s="15"/>
    </row>
    <row r="104" spans="2:9" x14ac:dyDescent="0.3">
      <c r="B104" s="11"/>
      <c r="C104" s="8"/>
      <c r="D104" s="15"/>
      <c r="E104" s="15"/>
      <c r="F104" s="11"/>
      <c r="G104" s="15"/>
      <c r="H104" s="15"/>
      <c r="I104" s="15"/>
    </row>
    <row r="105" spans="2:9" x14ac:dyDescent="0.3">
      <c r="B105" s="11"/>
      <c r="C105" s="8"/>
      <c r="D105" s="15"/>
      <c r="E105" s="15"/>
      <c r="F105" s="11"/>
      <c r="G105" s="15"/>
      <c r="H105" s="15"/>
      <c r="I105" s="15"/>
    </row>
    <row r="106" spans="2:9" x14ac:dyDescent="0.3">
      <c r="B106" s="11"/>
      <c r="C106" s="8"/>
      <c r="D106" s="15"/>
      <c r="E106" s="15"/>
      <c r="F106" s="11"/>
      <c r="G106" s="15"/>
      <c r="H106" s="15"/>
      <c r="I106" s="15"/>
    </row>
    <row r="107" spans="2:9" x14ac:dyDescent="0.3">
      <c r="B107" s="11"/>
      <c r="C107" s="8"/>
      <c r="D107" s="15"/>
      <c r="E107" s="15"/>
      <c r="F107" s="11"/>
      <c r="G107" s="15"/>
      <c r="H107" s="15"/>
      <c r="I107" s="15"/>
    </row>
    <row r="108" spans="2:9" x14ac:dyDescent="0.3">
      <c r="B108" s="11"/>
      <c r="C108" s="8"/>
      <c r="D108" s="15"/>
      <c r="E108" s="15"/>
      <c r="F108" s="11"/>
      <c r="G108" s="15"/>
      <c r="H108" s="15"/>
      <c r="I108" s="15"/>
    </row>
    <row r="109" spans="2:9" x14ac:dyDescent="0.3">
      <c r="B109" s="11"/>
      <c r="C109" s="8"/>
      <c r="D109" s="15"/>
      <c r="E109" s="15"/>
      <c r="F109" s="11"/>
      <c r="G109" s="15"/>
      <c r="H109" s="15"/>
      <c r="I109" s="15"/>
    </row>
    <row r="110" spans="2:9" x14ac:dyDescent="0.3">
      <c r="B110" s="11"/>
      <c r="C110" s="8"/>
      <c r="D110" s="15"/>
      <c r="E110" s="15"/>
      <c r="F110" s="11"/>
      <c r="G110" s="15"/>
      <c r="H110" s="15"/>
      <c r="I110" s="15"/>
    </row>
    <row r="111" spans="2:9" x14ac:dyDescent="0.3">
      <c r="B111" s="11"/>
      <c r="C111" s="8"/>
      <c r="D111" s="15"/>
      <c r="E111" s="15"/>
      <c r="F111" s="11"/>
      <c r="G111" s="15"/>
      <c r="H111" s="15"/>
      <c r="I111" s="15"/>
    </row>
    <row r="112" spans="2:9" x14ac:dyDescent="0.3">
      <c r="B112" s="11"/>
      <c r="C112" s="8"/>
      <c r="D112" s="15"/>
      <c r="E112" s="15"/>
      <c r="F112" s="11"/>
      <c r="G112" s="15"/>
      <c r="H112" s="15"/>
      <c r="I112" s="15"/>
    </row>
    <row r="113" spans="2:9" x14ac:dyDescent="0.3">
      <c r="B113" s="11"/>
      <c r="C113" s="8"/>
      <c r="D113" s="15"/>
      <c r="E113" s="15"/>
      <c r="F113" s="11"/>
      <c r="G113" s="15"/>
      <c r="H113" s="15"/>
      <c r="I113" s="15"/>
    </row>
    <row r="114" spans="2:9" x14ac:dyDescent="0.3">
      <c r="B114" s="11"/>
      <c r="C114" s="8"/>
      <c r="D114" s="15"/>
      <c r="E114" s="15"/>
      <c r="F114" s="11"/>
      <c r="G114" s="15"/>
      <c r="H114" s="15"/>
      <c r="I114" s="15"/>
    </row>
    <row r="115" spans="2:9" x14ac:dyDescent="0.3">
      <c r="B115" s="11"/>
      <c r="C115" s="8"/>
      <c r="D115" s="15"/>
      <c r="E115" s="15"/>
      <c r="F115" s="11"/>
      <c r="G115" s="15"/>
      <c r="H115" s="15"/>
      <c r="I115" s="15"/>
    </row>
    <row r="116" spans="2:9" x14ac:dyDescent="0.3">
      <c r="B116" s="11"/>
      <c r="C116" s="8"/>
      <c r="D116" s="15"/>
      <c r="E116" s="15"/>
      <c r="F116" s="11"/>
      <c r="G116" s="15"/>
      <c r="H116" s="15"/>
      <c r="I116" s="15"/>
    </row>
    <row r="117" spans="2:9" x14ac:dyDescent="0.3">
      <c r="B117" s="11"/>
      <c r="C117" s="8"/>
      <c r="D117" s="15"/>
      <c r="E117" s="15"/>
      <c r="F117" s="11"/>
      <c r="G117" s="15"/>
      <c r="H117" s="15"/>
      <c r="I117" s="15"/>
    </row>
    <row r="118" spans="2:9" x14ac:dyDescent="0.3">
      <c r="B118" s="11"/>
      <c r="C118" s="8"/>
      <c r="D118" s="15"/>
      <c r="E118" s="15"/>
      <c r="F118" s="11"/>
      <c r="G118" s="15"/>
      <c r="H118" s="15"/>
      <c r="I118" s="15"/>
    </row>
    <row r="119" spans="2:9" x14ac:dyDescent="0.3">
      <c r="B119" s="11"/>
      <c r="C119" s="8"/>
      <c r="D119" s="15"/>
      <c r="E119" s="15"/>
      <c r="F119" s="11"/>
      <c r="G119" s="15"/>
      <c r="H119" s="15"/>
      <c r="I119" s="15"/>
    </row>
    <row r="120" spans="2:9" x14ac:dyDescent="0.3">
      <c r="B120" s="11"/>
      <c r="C120" s="8"/>
      <c r="D120" s="15"/>
      <c r="E120" s="15"/>
      <c r="F120" s="11"/>
      <c r="G120" s="15"/>
      <c r="H120" s="15"/>
      <c r="I120" s="15"/>
    </row>
    <row r="121" spans="2:9" x14ac:dyDescent="0.3">
      <c r="B121" s="11"/>
      <c r="C121" s="8"/>
      <c r="D121" s="15"/>
      <c r="E121" s="15"/>
      <c r="F121" s="11"/>
      <c r="G121" s="15"/>
      <c r="H121" s="15"/>
      <c r="I121" s="15"/>
    </row>
    <row r="122" spans="2:9" x14ac:dyDescent="0.3">
      <c r="B122" s="11"/>
      <c r="C122" s="8"/>
      <c r="D122" s="15"/>
      <c r="E122" s="15"/>
      <c r="F122" s="11"/>
      <c r="G122" s="15"/>
      <c r="H122" s="15"/>
      <c r="I122" s="15"/>
    </row>
    <row r="123" spans="2:9" x14ac:dyDescent="0.3">
      <c r="B123" s="11"/>
      <c r="C123" s="8"/>
      <c r="D123" s="15"/>
      <c r="E123" s="15"/>
      <c r="F123" s="11"/>
      <c r="G123" s="15"/>
      <c r="H123" s="15"/>
      <c r="I123" s="15"/>
    </row>
    <row r="124" spans="2:9" x14ac:dyDescent="0.3">
      <c r="B124" s="11"/>
      <c r="C124" s="8"/>
      <c r="D124" s="15"/>
      <c r="E124" s="15"/>
      <c r="F124" s="11"/>
      <c r="G124" s="15"/>
      <c r="H124" s="15"/>
      <c r="I124" s="15"/>
    </row>
    <row r="125" spans="2:9" x14ac:dyDescent="0.3">
      <c r="B125" s="11"/>
      <c r="C125" s="8"/>
      <c r="D125" s="15"/>
      <c r="E125" s="15"/>
      <c r="F125" s="11"/>
      <c r="G125" s="15"/>
      <c r="H125" s="15"/>
      <c r="I125" s="15"/>
    </row>
    <row r="126" spans="2:9" x14ac:dyDescent="0.3">
      <c r="B126" s="11"/>
      <c r="C126" s="8"/>
      <c r="D126" s="15"/>
      <c r="E126" s="15"/>
      <c r="F126" s="11"/>
      <c r="G126" s="15"/>
      <c r="H126" s="15"/>
      <c r="I126" s="15"/>
    </row>
    <row r="127" spans="2:9" x14ac:dyDescent="0.3">
      <c r="B127" s="11"/>
      <c r="C127" s="8"/>
      <c r="D127" s="15"/>
      <c r="E127" s="15"/>
      <c r="F127" s="11"/>
      <c r="G127" s="15"/>
      <c r="H127" s="15"/>
      <c r="I127" s="15"/>
    </row>
    <row r="128" spans="2:9" x14ac:dyDescent="0.3">
      <c r="B128" s="11"/>
      <c r="C128" s="8"/>
      <c r="D128" s="15"/>
      <c r="E128" s="15"/>
      <c r="F128" s="11"/>
      <c r="G128" s="15"/>
      <c r="H128" s="15"/>
      <c r="I128" s="15"/>
    </row>
    <row r="129" spans="2:9" x14ac:dyDescent="0.3">
      <c r="B129" s="11"/>
      <c r="C129" s="8"/>
      <c r="D129" s="15"/>
      <c r="E129" s="15"/>
      <c r="F129" s="11"/>
      <c r="G129" s="15"/>
      <c r="H129" s="15"/>
      <c r="I129" s="15"/>
    </row>
    <row r="130" spans="2:9" x14ac:dyDescent="0.3">
      <c r="B130" s="11"/>
      <c r="C130" s="8"/>
      <c r="D130" s="15"/>
      <c r="E130" s="15"/>
      <c r="F130" s="11"/>
      <c r="G130" s="15"/>
      <c r="H130" s="15"/>
      <c r="I130" s="15"/>
    </row>
    <row r="131" spans="2:9" x14ac:dyDescent="0.3">
      <c r="B131" s="11"/>
      <c r="C131" s="8"/>
      <c r="D131" s="15"/>
      <c r="E131" s="15"/>
      <c r="F131" s="11"/>
      <c r="G131" s="15"/>
      <c r="H131" s="15"/>
      <c r="I131" s="15"/>
    </row>
    <row r="132" spans="2:9" x14ac:dyDescent="0.3">
      <c r="B132" s="11"/>
      <c r="C132" s="8"/>
      <c r="D132" s="15"/>
      <c r="E132" s="15"/>
      <c r="F132" s="11"/>
      <c r="G132" s="15"/>
      <c r="H132" s="15"/>
      <c r="I132" s="15"/>
    </row>
    <row r="133" spans="2:9" x14ac:dyDescent="0.3">
      <c r="B133" s="11"/>
      <c r="C133" s="8"/>
      <c r="D133" s="15"/>
      <c r="E133" s="15"/>
      <c r="F133" s="11"/>
      <c r="G133" s="15"/>
      <c r="H133" s="15"/>
      <c r="I133" s="15"/>
    </row>
    <row r="134" spans="2:9" x14ac:dyDescent="0.3">
      <c r="B134" s="11"/>
      <c r="C134" s="8"/>
      <c r="D134" s="15"/>
      <c r="E134" s="15"/>
      <c r="F134" s="11"/>
      <c r="G134" s="15"/>
      <c r="H134" s="15"/>
      <c r="I134" s="15"/>
    </row>
    <row r="135" spans="2:9" x14ac:dyDescent="0.3">
      <c r="B135" s="11"/>
      <c r="C135" s="8"/>
      <c r="D135" s="15"/>
      <c r="E135" s="15"/>
      <c r="F135" s="11"/>
      <c r="G135" s="15"/>
      <c r="H135" s="15"/>
      <c r="I135" s="15"/>
    </row>
    <row r="136" spans="2:9" x14ac:dyDescent="0.3">
      <c r="B136" s="11"/>
      <c r="C136" s="8"/>
      <c r="D136" s="15"/>
      <c r="E136" s="15"/>
      <c r="F136" s="11"/>
      <c r="G136" s="15"/>
      <c r="H136" s="15"/>
      <c r="I136" s="15"/>
    </row>
    <row r="137" spans="2:9" x14ac:dyDescent="0.3">
      <c r="B137" s="11"/>
      <c r="C137" s="8"/>
      <c r="D137" s="15"/>
      <c r="E137" s="15"/>
      <c r="F137" s="11"/>
      <c r="G137" s="15"/>
      <c r="H137" s="15"/>
      <c r="I137" s="15"/>
    </row>
    <row r="138" spans="2:9" x14ac:dyDescent="0.3">
      <c r="B138" s="11"/>
      <c r="C138" s="8"/>
      <c r="D138" s="15"/>
      <c r="E138" s="15"/>
      <c r="F138" s="11"/>
      <c r="G138" s="15"/>
      <c r="H138" s="15"/>
      <c r="I138" s="15"/>
    </row>
    <row r="139" spans="2:9" x14ac:dyDescent="0.3">
      <c r="B139" s="11"/>
      <c r="C139" s="8"/>
      <c r="D139" s="15"/>
      <c r="E139" s="15"/>
      <c r="F139" s="11"/>
      <c r="G139" s="15"/>
      <c r="H139" s="15"/>
      <c r="I139" s="15"/>
    </row>
    <row r="140" spans="2:9" x14ac:dyDescent="0.3">
      <c r="B140" s="11"/>
      <c r="C140" s="8"/>
      <c r="D140" s="15"/>
      <c r="E140" s="15"/>
      <c r="F140" s="11"/>
      <c r="G140" s="15"/>
      <c r="H140" s="15"/>
      <c r="I140" s="15"/>
    </row>
    <row r="141" spans="2:9" x14ac:dyDescent="0.3">
      <c r="B141" s="11"/>
      <c r="C141" s="8"/>
      <c r="D141" s="15"/>
      <c r="E141" s="15"/>
      <c r="F141" s="11"/>
      <c r="G141" s="15"/>
      <c r="H141" s="15"/>
      <c r="I141" s="15"/>
    </row>
    <row r="142" spans="2:9" x14ac:dyDescent="0.3">
      <c r="B142" s="11"/>
      <c r="C142" s="8"/>
      <c r="D142" s="15"/>
      <c r="E142" s="15"/>
      <c r="F142" s="11"/>
      <c r="G142" s="15"/>
      <c r="H142" s="15"/>
      <c r="I142" s="15"/>
    </row>
    <row r="143" spans="2:9" x14ac:dyDescent="0.3">
      <c r="B143" s="11"/>
      <c r="C143" s="8"/>
      <c r="D143" s="15"/>
      <c r="E143" s="15"/>
      <c r="F143" s="11"/>
      <c r="G143" s="15"/>
      <c r="H143" s="15"/>
      <c r="I143" s="15"/>
    </row>
    <row r="144" spans="2:9" x14ac:dyDescent="0.3">
      <c r="B144" s="11"/>
      <c r="C144" s="8"/>
      <c r="D144" s="15"/>
      <c r="E144" s="15"/>
      <c r="F144" s="11"/>
      <c r="G144" s="15"/>
      <c r="H144" s="15"/>
      <c r="I144" s="15"/>
    </row>
    <row r="145" spans="2:9" x14ac:dyDescent="0.3">
      <c r="B145" s="11"/>
      <c r="C145" s="8"/>
      <c r="D145" s="15"/>
      <c r="E145" s="15"/>
      <c r="F145" s="11"/>
      <c r="G145" s="15"/>
      <c r="H145" s="15"/>
      <c r="I145" s="15"/>
    </row>
    <row r="146" spans="2:9" x14ac:dyDescent="0.3">
      <c r="B146" s="11"/>
      <c r="C146" s="8"/>
      <c r="D146" s="15"/>
      <c r="E146" s="15"/>
      <c r="F146" s="11"/>
      <c r="G146" s="15"/>
      <c r="H146" s="15"/>
      <c r="I146" s="15"/>
    </row>
    <row r="147" spans="2:9" x14ac:dyDescent="0.3">
      <c r="B147" s="11"/>
      <c r="C147" s="8"/>
      <c r="D147" s="15"/>
      <c r="E147" s="15"/>
      <c r="F147" s="11"/>
      <c r="G147" s="15"/>
      <c r="H147" s="15"/>
      <c r="I147" s="15"/>
    </row>
    <row r="148" spans="2:9" x14ac:dyDescent="0.3">
      <c r="B148" s="11"/>
      <c r="C148" s="8"/>
      <c r="D148" s="15"/>
      <c r="E148" s="15"/>
      <c r="F148" s="11"/>
      <c r="G148" s="15"/>
      <c r="H148" s="15"/>
      <c r="I148" s="15"/>
    </row>
    <row r="149" spans="2:9" x14ac:dyDescent="0.3">
      <c r="B149" s="11"/>
      <c r="C149" s="8"/>
      <c r="D149" s="15"/>
      <c r="E149" s="15"/>
      <c r="F149" s="11"/>
      <c r="G149" s="15"/>
      <c r="H149" s="15"/>
      <c r="I149" s="15"/>
    </row>
    <row r="150" spans="2:9" x14ac:dyDescent="0.3">
      <c r="B150" s="11"/>
      <c r="C150" s="8"/>
      <c r="D150" s="15"/>
      <c r="E150" s="15"/>
      <c r="F150" s="11"/>
      <c r="G150" s="15"/>
      <c r="H150" s="15"/>
      <c r="I150" s="15"/>
    </row>
    <row r="151" spans="2:9" x14ac:dyDescent="0.3">
      <c r="B151" s="11"/>
      <c r="C151" s="8"/>
      <c r="D151" s="15"/>
      <c r="E151" s="15"/>
      <c r="F151" s="11"/>
      <c r="G151" s="15"/>
      <c r="H151" s="15"/>
      <c r="I151" s="15"/>
    </row>
    <row r="152" spans="2:9" x14ac:dyDescent="0.3">
      <c r="B152" s="11"/>
      <c r="C152" s="8"/>
      <c r="D152" s="15"/>
      <c r="E152" s="15"/>
      <c r="F152" s="11"/>
      <c r="G152" s="15"/>
      <c r="H152" s="15"/>
      <c r="I152" s="15"/>
    </row>
    <row r="153" spans="2:9" x14ac:dyDescent="0.3">
      <c r="B153" s="11"/>
      <c r="C153" s="8"/>
      <c r="D153" s="15"/>
      <c r="E153" s="15"/>
      <c r="F153" s="11"/>
      <c r="G153" s="15"/>
      <c r="H153" s="15"/>
      <c r="I153" s="15"/>
    </row>
    <row r="154" spans="2:9" x14ac:dyDescent="0.3">
      <c r="B154" s="11"/>
      <c r="C154" s="8"/>
      <c r="D154" s="15"/>
      <c r="E154" s="15"/>
      <c r="F154" s="11"/>
      <c r="G154" s="15"/>
      <c r="H154" s="15"/>
      <c r="I154" s="15"/>
    </row>
    <row r="155" spans="2:9" x14ac:dyDescent="0.3">
      <c r="B155" s="11"/>
      <c r="C155" s="8"/>
      <c r="D155" s="15"/>
      <c r="E155" s="15"/>
      <c r="F155" s="11"/>
      <c r="G155" s="15"/>
      <c r="H155" s="15"/>
      <c r="I155" s="15"/>
    </row>
    <row r="156" spans="2:9" x14ac:dyDescent="0.3">
      <c r="B156" s="11"/>
      <c r="C156" s="8"/>
      <c r="D156" s="15"/>
      <c r="E156" s="15"/>
      <c r="F156" s="11"/>
      <c r="G156" s="15"/>
      <c r="H156" s="15"/>
      <c r="I156" s="15"/>
    </row>
    <row r="157" spans="2:9" x14ac:dyDescent="0.3">
      <c r="B157" s="11"/>
      <c r="C157" s="8"/>
      <c r="D157" s="15"/>
      <c r="E157" s="15"/>
      <c r="F157" s="11"/>
      <c r="G157" s="15"/>
      <c r="H157" s="15"/>
      <c r="I157" s="15"/>
    </row>
    <row r="158" spans="2:9" x14ac:dyDescent="0.3">
      <c r="B158" s="11"/>
      <c r="C158" s="8"/>
      <c r="D158" s="15"/>
      <c r="E158" s="15"/>
      <c r="F158" s="11"/>
      <c r="G158" s="15"/>
      <c r="H158" s="15"/>
      <c r="I158" s="15"/>
    </row>
    <row r="159" spans="2:9" x14ac:dyDescent="0.3">
      <c r="B159" s="11"/>
      <c r="C159" s="8"/>
      <c r="D159" s="15"/>
      <c r="E159" s="15"/>
      <c r="F159" s="11"/>
      <c r="G159" s="15"/>
      <c r="H159" s="15"/>
      <c r="I159" s="15"/>
    </row>
    <row r="160" spans="2:9" x14ac:dyDescent="0.3">
      <c r="B160" s="11"/>
      <c r="C160" s="8"/>
      <c r="D160" s="15"/>
      <c r="E160" s="15"/>
      <c r="F160" s="11"/>
      <c r="G160" s="15"/>
      <c r="H160" s="15"/>
      <c r="I160" s="15"/>
    </row>
    <row r="161" spans="2:9" x14ac:dyDescent="0.3">
      <c r="B161" s="11"/>
      <c r="C161" s="8"/>
      <c r="D161" s="15"/>
      <c r="E161" s="15"/>
      <c r="F161" s="11"/>
      <c r="G161" s="15"/>
      <c r="H161" s="15"/>
      <c r="I161" s="15"/>
    </row>
    <row r="162" spans="2:9" x14ac:dyDescent="0.3">
      <c r="B162" s="11"/>
      <c r="C162" s="8"/>
      <c r="D162" s="15"/>
      <c r="E162" s="15"/>
      <c r="F162" s="11"/>
      <c r="G162" s="15"/>
      <c r="H162" s="15"/>
      <c r="I162" s="15"/>
    </row>
    <row r="163" spans="2:9" x14ac:dyDescent="0.3">
      <c r="B163" s="11"/>
      <c r="C163" s="8"/>
      <c r="D163" s="15"/>
      <c r="E163" s="15"/>
      <c r="F163" s="11"/>
      <c r="G163" s="15"/>
      <c r="H163" s="15"/>
      <c r="I163" s="15"/>
    </row>
    <row r="164" spans="2:9" x14ac:dyDescent="0.3">
      <c r="B164" s="11"/>
      <c r="C164" s="8"/>
      <c r="D164" s="15"/>
      <c r="E164" s="15"/>
      <c r="F164" s="11"/>
      <c r="G164" s="15"/>
      <c r="H164" s="15"/>
      <c r="I164" s="15"/>
    </row>
    <row r="165" spans="2:9" x14ac:dyDescent="0.3">
      <c r="B165" s="11"/>
      <c r="C165" s="8"/>
      <c r="D165" s="15"/>
      <c r="E165" s="15"/>
      <c r="F165" s="11"/>
      <c r="G165" s="15"/>
      <c r="H165" s="15"/>
      <c r="I165" s="15"/>
    </row>
    <row r="166" spans="2:9" x14ac:dyDescent="0.3">
      <c r="B166" s="11"/>
      <c r="C166" s="8"/>
      <c r="D166" s="15"/>
      <c r="E166" s="15"/>
      <c r="F166" s="11"/>
      <c r="G166" s="15"/>
      <c r="H166" s="15"/>
      <c r="I166" s="15"/>
    </row>
    <row r="167" spans="2:9" x14ac:dyDescent="0.3">
      <c r="B167" s="11"/>
      <c r="C167" s="8"/>
      <c r="D167" s="15"/>
      <c r="E167" s="15"/>
      <c r="F167" s="11"/>
      <c r="G167" s="15"/>
      <c r="H167" s="15"/>
      <c r="I167" s="15"/>
    </row>
    <row r="168" spans="2:9" x14ac:dyDescent="0.3">
      <c r="B168" s="11"/>
      <c r="C168" s="8"/>
      <c r="D168" s="15"/>
      <c r="E168" s="15"/>
      <c r="F168" s="11"/>
      <c r="G168" s="15"/>
      <c r="H168" s="15"/>
      <c r="I168" s="15"/>
    </row>
    <row r="169" spans="2:9" x14ac:dyDescent="0.3">
      <c r="B169" s="11"/>
      <c r="C169" s="8"/>
      <c r="D169" s="15"/>
      <c r="E169" s="15"/>
      <c r="F169" s="11"/>
      <c r="G169" s="15"/>
      <c r="H169" s="15"/>
      <c r="I169" s="15"/>
    </row>
    <row r="170" spans="2:9" x14ac:dyDescent="0.3">
      <c r="B170" s="11"/>
      <c r="C170" s="8"/>
      <c r="D170" s="15"/>
      <c r="E170" s="15"/>
      <c r="F170" s="11"/>
      <c r="G170" s="15"/>
      <c r="H170" s="15"/>
      <c r="I170" s="15"/>
    </row>
    <row r="171" spans="2:9" x14ac:dyDescent="0.3">
      <c r="B171" s="11"/>
      <c r="C171" s="8"/>
      <c r="D171" s="15"/>
      <c r="E171" s="15"/>
      <c r="F171" s="11"/>
      <c r="G171" s="15"/>
      <c r="H171" s="15"/>
      <c r="I171" s="15"/>
    </row>
    <row r="172" spans="2:9" x14ac:dyDescent="0.3">
      <c r="B172" s="11"/>
      <c r="C172" s="8"/>
      <c r="D172" s="15"/>
      <c r="E172" s="15"/>
      <c r="F172" s="11"/>
      <c r="G172" s="15"/>
      <c r="H172" s="15"/>
      <c r="I172" s="15"/>
    </row>
    <row r="173" spans="2:9" x14ac:dyDescent="0.3">
      <c r="B173" s="11"/>
      <c r="C173" s="8"/>
      <c r="D173" s="15"/>
      <c r="E173" s="15"/>
      <c r="F173" s="11"/>
      <c r="G173" s="15"/>
      <c r="H173" s="15"/>
      <c r="I173" s="15"/>
    </row>
    <row r="174" spans="2:9" x14ac:dyDescent="0.3">
      <c r="B174" s="11"/>
      <c r="C174" s="8"/>
      <c r="D174" s="15"/>
      <c r="E174" s="15"/>
      <c r="F174" s="11"/>
      <c r="G174" s="15"/>
      <c r="H174" s="15"/>
      <c r="I174" s="15"/>
    </row>
    <row r="175" spans="2:9" x14ac:dyDescent="0.3">
      <c r="B175" s="11"/>
      <c r="C175" s="8"/>
      <c r="D175" s="15"/>
      <c r="E175" s="15"/>
      <c r="F175" s="11"/>
      <c r="G175" s="15"/>
      <c r="H175" s="15"/>
      <c r="I175" s="15"/>
    </row>
    <row r="176" spans="2:9" x14ac:dyDescent="0.3">
      <c r="B176" s="11"/>
      <c r="C176" s="8"/>
      <c r="D176" s="15"/>
      <c r="E176" s="15"/>
      <c r="F176" s="11"/>
      <c r="G176" s="15"/>
      <c r="H176" s="15"/>
      <c r="I176" s="15"/>
    </row>
    <row r="177" spans="2:9" x14ac:dyDescent="0.3">
      <c r="B177" s="11"/>
      <c r="C177" s="8"/>
      <c r="D177" s="15"/>
      <c r="E177" s="15"/>
      <c r="F177" s="11"/>
      <c r="G177" s="15"/>
      <c r="H177" s="15"/>
      <c r="I177" s="15"/>
    </row>
    <row r="178" spans="2:9" x14ac:dyDescent="0.3">
      <c r="B178" s="11"/>
      <c r="C178" s="8"/>
      <c r="D178" s="15"/>
      <c r="E178" s="15"/>
      <c r="F178" s="11"/>
      <c r="G178" s="15"/>
      <c r="H178" s="15"/>
      <c r="I178" s="15"/>
    </row>
    <row r="179" spans="2:9" x14ac:dyDescent="0.3">
      <c r="B179" s="11"/>
      <c r="C179" s="8"/>
      <c r="D179" s="15"/>
      <c r="E179" s="15"/>
      <c r="F179" s="11"/>
      <c r="G179" s="15"/>
      <c r="H179" s="15"/>
      <c r="I179" s="15"/>
    </row>
    <row r="180" spans="2:9" x14ac:dyDescent="0.3">
      <c r="B180" s="11"/>
      <c r="C180" s="8"/>
      <c r="D180" s="15"/>
      <c r="E180" s="15"/>
      <c r="F180" s="11"/>
      <c r="G180" s="15"/>
      <c r="H180" s="15"/>
      <c r="I180" s="15"/>
    </row>
    <row r="181" spans="2:9" x14ac:dyDescent="0.3">
      <c r="B181" s="11"/>
      <c r="C181" s="8"/>
      <c r="D181" s="15"/>
      <c r="E181" s="15"/>
      <c r="F181" s="11"/>
      <c r="G181" s="15"/>
      <c r="H181" s="15"/>
      <c r="I181" s="15"/>
    </row>
    <row r="182" spans="2:9" x14ac:dyDescent="0.3">
      <c r="B182" s="11"/>
      <c r="C182" s="8"/>
      <c r="D182" s="15"/>
      <c r="E182" s="15"/>
      <c r="F182" s="11"/>
      <c r="G182" s="15"/>
      <c r="H182" s="15"/>
      <c r="I182" s="15"/>
    </row>
    <row r="183" spans="2:9" x14ac:dyDescent="0.3">
      <c r="B183" s="11"/>
      <c r="C183" s="8"/>
      <c r="D183" s="15"/>
      <c r="E183" s="15"/>
      <c r="F183" s="11"/>
      <c r="G183" s="15"/>
      <c r="H183" s="15"/>
      <c r="I183" s="15"/>
    </row>
    <row r="184" spans="2:9" x14ac:dyDescent="0.3">
      <c r="B184" s="11"/>
      <c r="C184" s="8"/>
      <c r="D184" s="15"/>
      <c r="E184" s="15"/>
      <c r="F184" s="11"/>
      <c r="G184" s="15"/>
      <c r="H184" s="15"/>
      <c r="I184" s="15"/>
    </row>
    <row r="185" spans="2:9" x14ac:dyDescent="0.3">
      <c r="B185" s="11"/>
      <c r="C185" s="8"/>
      <c r="D185" s="15"/>
      <c r="E185" s="15"/>
      <c r="F185" s="11"/>
      <c r="G185" s="15"/>
      <c r="H185" s="15"/>
      <c r="I185" s="15"/>
    </row>
    <row r="186" spans="2:9" x14ac:dyDescent="0.3">
      <c r="B186" s="11"/>
      <c r="C186" s="8"/>
      <c r="D186" s="15"/>
      <c r="E186" s="15"/>
      <c r="F186" s="11"/>
      <c r="G186" s="15"/>
      <c r="H186" s="15"/>
      <c r="I186" s="15"/>
    </row>
    <row r="187" spans="2:9" x14ac:dyDescent="0.3">
      <c r="B187" s="11"/>
      <c r="C187" s="8"/>
      <c r="D187" s="15"/>
      <c r="E187" s="15"/>
      <c r="F187" s="11"/>
      <c r="G187" s="15"/>
      <c r="H187" s="15"/>
      <c r="I187" s="15"/>
    </row>
    <row r="188" spans="2:9" x14ac:dyDescent="0.3">
      <c r="B188" s="11"/>
      <c r="C188" s="8"/>
      <c r="D188" s="15"/>
      <c r="E188" s="15"/>
      <c r="F188" s="11"/>
      <c r="G188" s="15"/>
      <c r="H188" s="15"/>
      <c r="I188" s="15"/>
    </row>
    <row r="189" spans="2:9" x14ac:dyDescent="0.3">
      <c r="B189" s="11"/>
      <c r="C189" s="8"/>
      <c r="D189" s="15"/>
      <c r="E189" s="15"/>
      <c r="F189" s="11"/>
      <c r="G189" s="15"/>
      <c r="H189" s="15"/>
      <c r="I189" s="15"/>
    </row>
    <row r="190" spans="2:9" x14ac:dyDescent="0.3">
      <c r="B190" s="11"/>
      <c r="C190" s="8"/>
      <c r="D190" s="15"/>
      <c r="E190" s="15"/>
      <c r="F190" s="11"/>
      <c r="G190" s="15"/>
      <c r="H190" s="15"/>
      <c r="I190" s="15"/>
    </row>
    <row r="191" spans="2:9" x14ac:dyDescent="0.3">
      <c r="B191" s="11"/>
      <c r="C191" s="8"/>
      <c r="D191" s="15"/>
      <c r="E191" s="15"/>
      <c r="F191" s="11"/>
      <c r="G191" s="15"/>
      <c r="H191" s="15"/>
      <c r="I191" s="15"/>
    </row>
    <row r="192" spans="2:9" x14ac:dyDescent="0.3">
      <c r="B192" s="11"/>
      <c r="C192" s="8"/>
      <c r="D192" s="15"/>
      <c r="E192" s="15"/>
      <c r="F192" s="11"/>
      <c r="G192" s="15"/>
      <c r="H192" s="15"/>
      <c r="I192" s="15"/>
    </row>
    <row r="193" spans="2:9" x14ac:dyDescent="0.3">
      <c r="B193" s="164"/>
      <c r="C193" s="8"/>
      <c r="D193" s="6"/>
      <c r="E193" s="164"/>
      <c r="F193" s="164"/>
      <c r="G193" s="8"/>
      <c r="H193" s="8"/>
      <c r="I193" s="8"/>
    </row>
    <row r="194" spans="2:9" x14ac:dyDescent="0.3">
      <c r="B194" s="164"/>
      <c r="C194" s="8"/>
      <c r="D194" s="6"/>
      <c r="E194" s="164"/>
      <c r="F194" s="164"/>
      <c r="G194" s="8"/>
      <c r="H194" s="8"/>
      <c r="I194" s="8"/>
    </row>
    <row r="195" spans="2:9" x14ac:dyDescent="0.3">
      <c r="B195" s="164"/>
      <c r="C195" s="8"/>
      <c r="D195" s="6"/>
      <c r="E195" s="164"/>
      <c r="F195" s="164"/>
      <c r="G195" s="8"/>
      <c r="H195" s="8"/>
      <c r="I195" s="8"/>
    </row>
    <row r="196" spans="2:9" x14ac:dyDescent="0.3">
      <c r="B196" s="164"/>
      <c r="C196" s="8"/>
      <c r="D196" s="6"/>
      <c r="E196" s="164"/>
      <c r="F196" s="164"/>
      <c r="G196" s="8"/>
      <c r="H196" s="8"/>
      <c r="I196" s="8"/>
    </row>
    <row r="197" spans="2:9" x14ac:dyDescent="0.3">
      <c r="B197" s="164"/>
      <c r="C197" s="8"/>
      <c r="D197" s="6"/>
      <c r="E197" s="164"/>
      <c r="F197" s="164"/>
      <c r="G197" s="8"/>
      <c r="H197" s="8"/>
      <c r="I197" s="8"/>
    </row>
    <row r="198" spans="2:9" x14ac:dyDescent="0.3">
      <c r="B198" s="164"/>
      <c r="C198" s="8"/>
      <c r="D198" s="6"/>
      <c r="E198" s="164"/>
      <c r="F198" s="164"/>
      <c r="G198" s="8"/>
      <c r="H198" s="8"/>
      <c r="I198" s="8"/>
    </row>
    <row r="199" spans="2:9" x14ac:dyDescent="0.3">
      <c r="B199" s="164"/>
      <c r="C199" s="8"/>
      <c r="D199" s="6"/>
      <c r="E199" s="164"/>
      <c r="F199" s="164"/>
      <c r="G199" s="8"/>
      <c r="H199" s="8"/>
      <c r="I199" s="8"/>
    </row>
    <row r="200" spans="2:9" x14ac:dyDescent="0.3">
      <c r="B200" s="164"/>
      <c r="C200" s="8"/>
      <c r="D200" s="6"/>
      <c r="E200" s="164"/>
      <c r="F200" s="164"/>
      <c r="G200" s="8"/>
      <c r="H200" s="8"/>
      <c r="I200" s="8"/>
    </row>
    <row r="201" spans="2:9" x14ac:dyDescent="0.3">
      <c r="B201" s="164"/>
      <c r="C201" s="8"/>
      <c r="D201" s="6"/>
      <c r="E201" s="164"/>
      <c r="F201" s="164"/>
      <c r="G201" s="8"/>
      <c r="H201" s="8"/>
      <c r="I201" s="8"/>
    </row>
    <row r="202" spans="2:9" x14ac:dyDescent="0.3">
      <c r="B202" s="164"/>
      <c r="C202" s="8"/>
      <c r="D202" s="6"/>
      <c r="E202" s="164"/>
      <c r="F202" s="164"/>
      <c r="G202" s="8"/>
      <c r="H202" s="8"/>
      <c r="I202" s="8"/>
    </row>
    <row r="203" spans="2:9" x14ac:dyDescent="0.3">
      <c r="B203" s="164"/>
      <c r="C203" s="8"/>
      <c r="D203" s="6"/>
      <c r="E203" s="164"/>
      <c r="F203" s="164"/>
      <c r="G203" s="8"/>
      <c r="H203" s="8"/>
      <c r="I203" s="8"/>
    </row>
    <row r="204" spans="2:9" x14ac:dyDescent="0.3">
      <c r="B204" s="164"/>
      <c r="C204" s="8"/>
      <c r="D204" s="6"/>
      <c r="E204" s="164"/>
      <c r="F204" s="164"/>
      <c r="G204" s="8"/>
      <c r="H204" s="8"/>
      <c r="I204" s="8"/>
    </row>
    <row r="205" spans="2:9" x14ac:dyDescent="0.3">
      <c r="B205" s="164"/>
      <c r="C205" s="8"/>
      <c r="D205" s="6"/>
      <c r="E205" s="164"/>
      <c r="F205" s="164"/>
      <c r="G205" s="8"/>
      <c r="H205" s="8"/>
      <c r="I205" s="8"/>
    </row>
    <row r="206" spans="2:9" x14ac:dyDescent="0.3">
      <c r="B206" s="164"/>
      <c r="C206" s="8"/>
      <c r="D206" s="6"/>
      <c r="E206" s="164"/>
      <c r="F206" s="164"/>
      <c r="G206" s="8"/>
      <c r="H206" s="8"/>
      <c r="I206" s="8"/>
    </row>
    <row r="207" spans="2:9" x14ac:dyDescent="0.3">
      <c r="B207" s="164"/>
      <c r="C207" s="8"/>
      <c r="D207" s="6"/>
      <c r="E207" s="164"/>
      <c r="F207" s="164"/>
      <c r="G207" s="8"/>
      <c r="H207" s="8"/>
      <c r="I207" s="8"/>
    </row>
    <row r="208" spans="2:9" x14ac:dyDescent="0.3">
      <c r="B208" s="164"/>
      <c r="C208" s="8"/>
      <c r="D208" s="6"/>
      <c r="E208" s="164"/>
      <c r="F208" s="164"/>
      <c r="G208" s="8"/>
      <c r="H208" s="8"/>
      <c r="I208" s="8"/>
    </row>
  </sheetData>
  <sortState xmlns:xlrd2="http://schemas.microsoft.com/office/spreadsheetml/2017/richdata2" ref="A9:J30">
    <sortCondition ref="B9"/>
  </sortState>
  <mergeCells count="2">
    <mergeCell ref="B5:D5"/>
    <mergeCell ref="E5:I7"/>
  </mergeCells>
  <pageMargins left="0.25" right="0.25" top="0.1" bottom="0.2" header="0.3" footer="0"/>
  <pageSetup scale="77" fitToHeight="0" orientation="landscape" r:id="rId1"/>
  <headerFooter>
    <oddFooter>Page &amp;P of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F0CFB-8FD2-47E7-AB62-52B963C9DA44}">
  <sheetPr codeName="Sheet4"/>
  <dimension ref="A1:E23"/>
  <sheetViews>
    <sheetView workbookViewId="0">
      <selection activeCell="B19" sqref="B19"/>
    </sheetView>
  </sheetViews>
  <sheetFormatPr defaultColWidth="9.140625" defaultRowHeight="15" x14ac:dyDescent="0.25"/>
  <cols>
    <col min="1" max="16384" width="9.140625" style="20"/>
  </cols>
  <sheetData>
    <row r="1" spans="1:5" x14ac:dyDescent="0.25">
      <c r="A1" s="20" t="s">
        <v>24</v>
      </c>
    </row>
    <row r="2" spans="1:5" x14ac:dyDescent="0.25">
      <c r="B2" s="20" t="s">
        <v>289</v>
      </c>
    </row>
    <row r="3" spans="1:5" x14ac:dyDescent="0.25">
      <c r="B3" s="20" t="s">
        <v>290</v>
      </c>
    </row>
    <row r="4" spans="1:5" x14ac:dyDescent="0.25">
      <c r="C4" s="20" t="s">
        <v>291</v>
      </c>
    </row>
    <row r="5" spans="1:5" x14ac:dyDescent="0.25">
      <c r="C5" s="20" t="s">
        <v>292</v>
      </c>
    </row>
    <row r="6" spans="1:5" x14ac:dyDescent="0.25">
      <c r="C6" s="20" t="s">
        <v>305</v>
      </c>
    </row>
    <row r="7" spans="1:5" x14ac:dyDescent="0.25">
      <c r="C7" s="20" t="s">
        <v>293</v>
      </c>
    </row>
    <row r="8" spans="1:5" x14ac:dyDescent="0.25">
      <c r="D8" s="20" t="s">
        <v>294</v>
      </c>
    </row>
    <row r="9" spans="1:5" x14ac:dyDescent="0.25">
      <c r="E9" s="20" t="s">
        <v>295</v>
      </c>
    </row>
    <row r="10" spans="1:5" x14ac:dyDescent="0.25">
      <c r="E10" s="20" t="s">
        <v>9</v>
      </c>
    </row>
    <row r="11" spans="1:5" x14ac:dyDescent="0.25">
      <c r="E11" s="20" t="s">
        <v>296</v>
      </c>
    </row>
    <row r="12" spans="1:5" x14ac:dyDescent="0.25">
      <c r="E12" s="20" t="s">
        <v>297</v>
      </c>
    </row>
    <row r="13" spans="1:5" x14ac:dyDescent="0.25">
      <c r="E13" s="20" t="s">
        <v>298</v>
      </c>
    </row>
    <row r="14" spans="1:5" x14ac:dyDescent="0.25">
      <c r="E14" s="20" t="s">
        <v>299</v>
      </c>
    </row>
    <row r="15" spans="1:5" x14ac:dyDescent="0.25">
      <c r="E15" s="20" t="s">
        <v>300</v>
      </c>
    </row>
    <row r="16" spans="1:5" x14ac:dyDescent="0.25">
      <c r="E16" s="20" t="s">
        <v>301</v>
      </c>
    </row>
    <row r="17" spans="1:2" x14ac:dyDescent="0.25">
      <c r="B17" s="20" t="s">
        <v>302</v>
      </c>
    </row>
    <row r="18" spans="1:2" x14ac:dyDescent="0.25">
      <c r="B18" s="20" t="s">
        <v>303</v>
      </c>
    </row>
    <row r="19" spans="1:2" x14ac:dyDescent="0.25">
      <c r="B19" s="20" t="s">
        <v>304</v>
      </c>
    </row>
    <row r="21" spans="1:2" x14ac:dyDescent="0.25">
      <c r="A21" s="20" t="s">
        <v>22</v>
      </c>
    </row>
    <row r="22" spans="1:2" x14ac:dyDescent="0.25">
      <c r="A22" s="20">
        <v>2</v>
      </c>
      <c r="B22" s="20" t="s">
        <v>23</v>
      </c>
    </row>
    <row r="23" spans="1:2" x14ac:dyDescent="0.25">
      <c r="A23" s="20">
        <v>5</v>
      </c>
      <c r="B23" s="20" t="s">
        <v>28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C3C7D069C303FE438AAC504224236E12" ma:contentTypeVersion="10" ma:contentTypeDescription="Create a new document." ma:contentTypeScope="" ma:versionID="0836f97e5f0a34e7124a567d9d1d40bf">
  <xsd:schema xmlns:xsd="http://www.w3.org/2001/XMLSchema" xmlns:xs="http://www.w3.org/2001/XMLSchema" xmlns:p="http://schemas.microsoft.com/office/2006/metadata/properties" xmlns:ns3="b358988c-ee89-4661-995f-02d587b7a7f7" xmlns:ns4="da562652-8c57-4780-b06a-3556131a0ea1" targetNamespace="http://schemas.microsoft.com/office/2006/metadata/properties" ma:root="true" ma:fieldsID="9b83db0d16240a47f7f25c194ee269d3" ns3:_="" ns4:_="">
    <xsd:import namespace="b358988c-ee89-4661-995f-02d587b7a7f7"/>
    <xsd:import namespace="da562652-8c57-4780-b06a-3556131a0ea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358988c-ee89-4661-995f-02d587b7a7f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a562652-8c57-4780-b06a-3556131a0ea1"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_activity" ma:index="17"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activity xmlns="da562652-8c57-4780-b06a-3556131a0ea1" xsi:nil="true"/>
  </documentManagement>
</p:properties>
</file>

<file path=customXml/itemProps1.xml><?xml version="1.0" encoding="utf-8"?>
<ds:datastoreItem xmlns:ds="http://schemas.openxmlformats.org/officeDocument/2006/customXml" ds:itemID="{EBFDF917-542C-4AC2-A868-B45026D46559}">
  <ds:schemaRefs>
    <ds:schemaRef ds:uri="http://schemas.microsoft.com/sharepoint/v3/contenttype/forms"/>
  </ds:schemaRefs>
</ds:datastoreItem>
</file>

<file path=customXml/itemProps2.xml><?xml version="1.0" encoding="utf-8"?>
<ds:datastoreItem xmlns:ds="http://schemas.openxmlformats.org/officeDocument/2006/customXml" ds:itemID="{B78094B7-7AD7-4369-AD08-5344BA79BF18}">
  <ds:schemaRefs>
    <ds:schemaRef ds:uri="http://schemas.microsoft.com/DataMashup"/>
  </ds:schemaRefs>
</ds:datastoreItem>
</file>

<file path=customXml/itemProps3.xml><?xml version="1.0" encoding="utf-8"?>
<ds:datastoreItem xmlns:ds="http://schemas.openxmlformats.org/officeDocument/2006/customXml" ds:itemID="{74DD23BD-63EA-40EF-8CF9-25BE92DA9BA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358988c-ee89-4661-995f-02d587b7a7f7"/>
    <ds:schemaRef ds:uri="da562652-8c57-4780-b06a-3556131a0ea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DF2A8722-25E3-4B58-9D13-E7B2D4E79B5C}">
  <ds:schemaRefs>
    <ds:schemaRef ds:uri="http://schemas.microsoft.com/office/2006/documentManagement/types"/>
    <ds:schemaRef ds:uri="http://schemas.microsoft.com/office/infopath/2007/PartnerControls"/>
    <ds:schemaRef ds:uri="b358988c-ee89-4661-995f-02d587b7a7f7"/>
    <ds:schemaRef ds:uri="http://purl.org/dc/elements/1.1/"/>
    <ds:schemaRef ds:uri="http://schemas.microsoft.com/office/2006/metadata/properties"/>
    <ds:schemaRef ds:uri="da562652-8c57-4780-b06a-3556131a0ea1"/>
    <ds:schemaRef ds:uri="http://purl.org/dc/terms/"/>
    <ds:schemaRef ds:uri="http://schemas.openxmlformats.org/package/2006/metadata/core-properties"/>
    <ds:schemaRef ds:uri="http://www.w3.org/XML/1998/namespace"/>
    <ds:schemaRef ds:uri="http://purl.org/dc/dcmitype/"/>
  </ds:schemaRefs>
</ds:datastoreItem>
</file>

<file path=docMetadata/LabelInfo.xml><?xml version="1.0" encoding="utf-8"?>
<clbl:labelList xmlns:clbl="http://schemas.microsoft.com/office/2020/mipLabelMetadata">
  <clbl:label id="{01135ed4-302e-4f46-9f36-2084a53e783e}" enabled="1" method="Privileged" siteId="{b5da5f35-6442-4f5a-9622-92ec6a53512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Home</vt:lpstr>
      <vt:lpstr>Passwords</vt:lpstr>
      <vt:lpstr>Order Face Printer</vt:lpstr>
      <vt:lpstr>BOM Comparison Tool</vt:lpstr>
      <vt:lpstr>BOM Builder</vt:lpstr>
      <vt:lpstr>BOM Checker</vt:lpstr>
      <vt:lpstr>BOM Printer</vt:lpstr>
      <vt:lpstr>Update Notes</vt:lpstr>
      <vt:lpstr>'BOM Checker'!Print_Area</vt:lpstr>
      <vt:lpstr>'BOM Printer'!Print_Area</vt:lpstr>
      <vt:lpstr>'BOM Checker'!Print_Titles</vt:lpstr>
      <vt:lpstr>'BOM Printer'!Print_Titles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Marc A Monnette</dc:creator>
  <cp:keywords/>
  <dc:description/>
  <cp:lastModifiedBy>Marc A Monnette</cp:lastModifiedBy>
  <cp:revision/>
  <cp:lastPrinted>2025-07-01T13:16:12Z</cp:lastPrinted>
  <dcterms:created xsi:type="dcterms:W3CDTF">2022-11-04T18:56:38Z</dcterms:created>
  <dcterms:modified xsi:type="dcterms:W3CDTF">2025-07-14T12:12:57Z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0x010100C3C7D069C303FE438AAC504224236E12</vt:lpwstr>
  </property>
</Properties>
</file>